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chegini\Desktop\"/>
    </mc:Choice>
  </mc:AlternateContent>
  <xr:revisionPtr revIDLastSave="0" documentId="13_ncr:1_{A479C2EE-6641-49A6-A92E-A81B416F4C32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heet1" sheetId="1" state="hidden" r:id="rId1"/>
    <sheet name="Data" sheetId="2" r:id="rId2"/>
    <sheet name="Report" sheetId="3" r:id="rId3"/>
  </sheets>
  <definedNames>
    <definedName name="_xlnm._FilterDatabase" localSheetId="1" hidden="1">Data!$A$1:$M$1433</definedName>
    <definedName name="_xlnm._FilterDatabase" localSheetId="2" hidden="1">Report!$B$3:$D$1268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3" l="1"/>
  <c r="E58" i="3"/>
  <c r="F58" i="3"/>
  <c r="G58" i="3"/>
  <c r="D110" i="3"/>
  <c r="E110" i="3"/>
  <c r="F110" i="3"/>
  <c r="G110" i="3"/>
  <c r="D28" i="3"/>
  <c r="E28" i="3"/>
  <c r="F28" i="3"/>
  <c r="G28" i="3"/>
  <c r="D118" i="3"/>
  <c r="E118" i="3"/>
  <c r="F118" i="3"/>
  <c r="G118" i="3"/>
  <c r="D5" i="3"/>
  <c r="E5" i="3"/>
  <c r="F5" i="3"/>
  <c r="G5" i="3"/>
  <c r="D43" i="3"/>
  <c r="E43" i="3"/>
  <c r="F43" i="3"/>
  <c r="G43" i="3"/>
  <c r="D102" i="3"/>
  <c r="E102" i="3"/>
  <c r="F102" i="3"/>
  <c r="G102" i="3"/>
  <c r="D44" i="3"/>
  <c r="E44" i="3"/>
  <c r="F44" i="3"/>
  <c r="G44" i="3"/>
  <c r="D18" i="3"/>
  <c r="E18" i="3"/>
  <c r="F18" i="3"/>
  <c r="G18" i="3"/>
  <c r="D45" i="3"/>
  <c r="E45" i="3"/>
  <c r="F45" i="3"/>
  <c r="G45" i="3"/>
  <c r="D33" i="3"/>
  <c r="E33" i="3"/>
  <c r="F33" i="3"/>
  <c r="G33" i="3"/>
  <c r="D100" i="3"/>
  <c r="E100" i="3"/>
  <c r="F100" i="3"/>
  <c r="G100" i="3"/>
  <c r="D115" i="3"/>
  <c r="E115" i="3"/>
  <c r="F115" i="3"/>
  <c r="G115" i="3"/>
  <c r="D73" i="3"/>
  <c r="E73" i="3"/>
  <c r="F73" i="3"/>
  <c r="G73" i="3"/>
  <c r="D80" i="3"/>
  <c r="E80" i="3"/>
  <c r="F80" i="3"/>
  <c r="G80" i="3"/>
  <c r="D62" i="3"/>
  <c r="E62" i="3"/>
  <c r="F62" i="3"/>
  <c r="G62" i="3"/>
  <c r="D51" i="3"/>
  <c r="E51" i="3"/>
  <c r="F51" i="3"/>
  <c r="G51" i="3"/>
  <c r="D116" i="3"/>
  <c r="E116" i="3"/>
  <c r="F116" i="3"/>
  <c r="G116" i="3"/>
  <c r="D29" i="3"/>
  <c r="E29" i="3"/>
  <c r="F29" i="3"/>
  <c r="G29" i="3"/>
  <c r="D81" i="3"/>
  <c r="E81" i="3"/>
  <c r="F81" i="3"/>
  <c r="G81" i="3"/>
  <c r="D109" i="3"/>
  <c r="E109" i="3"/>
  <c r="F109" i="3"/>
  <c r="G109" i="3"/>
  <c r="D15" i="3"/>
  <c r="E15" i="3"/>
  <c r="F15" i="3"/>
  <c r="G15" i="3"/>
  <c r="D91" i="3"/>
  <c r="E91" i="3"/>
  <c r="F91" i="3"/>
  <c r="G91" i="3"/>
  <c r="D90" i="3"/>
  <c r="E90" i="3"/>
  <c r="F90" i="3"/>
  <c r="G90" i="3"/>
  <c r="D105" i="3"/>
  <c r="E105" i="3"/>
  <c r="F105" i="3"/>
  <c r="G105" i="3"/>
  <c r="D104" i="3"/>
  <c r="E104" i="3"/>
  <c r="F104" i="3"/>
  <c r="G104" i="3"/>
  <c r="D121" i="3"/>
  <c r="E121" i="3"/>
  <c r="F121" i="3"/>
  <c r="G121" i="3"/>
  <c r="D87" i="3"/>
  <c r="E87" i="3"/>
  <c r="F87" i="3"/>
  <c r="G87" i="3"/>
  <c r="D103" i="3"/>
  <c r="E103" i="3"/>
  <c r="F103" i="3"/>
  <c r="G103" i="3"/>
  <c r="D6" i="3"/>
  <c r="E6" i="3"/>
  <c r="F6" i="3"/>
  <c r="G6" i="3"/>
  <c r="D122" i="3"/>
  <c r="E122" i="3"/>
  <c r="F122" i="3"/>
  <c r="G122" i="3"/>
  <c r="D3" i="3"/>
  <c r="E3" i="3"/>
  <c r="F3" i="3"/>
  <c r="G3" i="3"/>
  <c r="D35" i="3"/>
  <c r="E35" i="3"/>
  <c r="F35" i="3"/>
  <c r="G35" i="3"/>
  <c r="D54" i="3"/>
  <c r="E54" i="3"/>
  <c r="F54" i="3"/>
  <c r="G54" i="3"/>
  <c r="D38" i="3"/>
  <c r="E38" i="3"/>
  <c r="F38" i="3"/>
  <c r="G38" i="3"/>
  <c r="D86" i="3"/>
  <c r="E86" i="3"/>
  <c r="F86" i="3"/>
  <c r="G86" i="3"/>
  <c r="D26" i="3"/>
  <c r="E26" i="3"/>
  <c r="F26" i="3"/>
  <c r="G26" i="3"/>
  <c r="D125" i="3"/>
  <c r="E125" i="3"/>
  <c r="F125" i="3"/>
  <c r="G125" i="3"/>
  <c r="D55" i="3"/>
  <c r="E55" i="3"/>
  <c r="F55" i="3"/>
  <c r="G55" i="3"/>
  <c r="D101" i="3"/>
  <c r="E101" i="3"/>
  <c r="F101" i="3"/>
  <c r="G101" i="3"/>
  <c r="D36" i="3"/>
  <c r="E36" i="3"/>
  <c r="F36" i="3"/>
  <c r="G36" i="3"/>
  <c r="D123" i="3"/>
  <c r="E123" i="3"/>
  <c r="F123" i="3"/>
  <c r="G123" i="3"/>
  <c r="D48" i="3"/>
  <c r="H48" i="3" s="1"/>
  <c r="E48" i="3"/>
  <c r="F48" i="3"/>
  <c r="G48" i="3"/>
  <c r="D117" i="3"/>
  <c r="E117" i="3"/>
  <c r="F117" i="3"/>
  <c r="G117" i="3"/>
  <c r="D95" i="3"/>
  <c r="E95" i="3"/>
  <c r="F95" i="3"/>
  <c r="G95" i="3"/>
  <c r="D94" i="3"/>
  <c r="E94" i="3"/>
  <c r="F94" i="3"/>
  <c r="G94" i="3"/>
  <c r="D7" i="3"/>
  <c r="E7" i="3"/>
  <c r="F7" i="3"/>
  <c r="G7" i="3"/>
  <c r="D92" i="3"/>
  <c r="E92" i="3"/>
  <c r="F92" i="3"/>
  <c r="G92" i="3"/>
  <c r="D128" i="3"/>
  <c r="E128" i="3"/>
  <c r="F128" i="3"/>
  <c r="G128" i="3"/>
  <c r="D24" i="3"/>
  <c r="E24" i="3"/>
  <c r="F24" i="3"/>
  <c r="G24" i="3"/>
  <c r="D97" i="3"/>
  <c r="E97" i="3"/>
  <c r="F97" i="3"/>
  <c r="G97" i="3"/>
  <c r="D57" i="3"/>
  <c r="E57" i="3"/>
  <c r="F57" i="3"/>
  <c r="G57" i="3"/>
  <c r="D85" i="3"/>
  <c r="E85" i="3"/>
  <c r="F85" i="3"/>
  <c r="G85" i="3"/>
  <c r="D20" i="3"/>
  <c r="E20" i="3"/>
  <c r="F20" i="3"/>
  <c r="G20" i="3"/>
  <c r="D22" i="3"/>
  <c r="H22" i="3" s="1"/>
  <c r="E22" i="3"/>
  <c r="F22" i="3"/>
  <c r="G22" i="3"/>
  <c r="D65" i="3"/>
  <c r="E65" i="3"/>
  <c r="F65" i="3"/>
  <c r="G65" i="3"/>
  <c r="D98" i="3"/>
  <c r="E98" i="3"/>
  <c r="F98" i="3"/>
  <c r="G98" i="3"/>
  <c r="D10" i="3"/>
  <c r="E10" i="3"/>
  <c r="F10" i="3"/>
  <c r="G10" i="3"/>
  <c r="D99" i="3"/>
  <c r="E99" i="3"/>
  <c r="F99" i="3"/>
  <c r="G99" i="3"/>
  <c r="D32" i="3"/>
  <c r="E32" i="3"/>
  <c r="F32" i="3"/>
  <c r="G32" i="3"/>
  <c r="D13" i="3"/>
  <c r="E13" i="3"/>
  <c r="F13" i="3"/>
  <c r="G13" i="3"/>
  <c r="D129" i="3"/>
  <c r="E129" i="3"/>
  <c r="F129" i="3"/>
  <c r="G129" i="3"/>
  <c r="D12" i="3"/>
  <c r="E12" i="3"/>
  <c r="F12" i="3"/>
  <c r="G12" i="3"/>
  <c r="D75" i="3"/>
  <c r="E75" i="3"/>
  <c r="F75" i="3"/>
  <c r="G75" i="3"/>
  <c r="D66" i="3"/>
  <c r="E66" i="3"/>
  <c r="F66" i="3"/>
  <c r="G66" i="3"/>
  <c r="D64" i="3"/>
  <c r="E64" i="3"/>
  <c r="F64" i="3"/>
  <c r="G64" i="3"/>
  <c r="D70" i="3"/>
  <c r="H70" i="3" s="1"/>
  <c r="E70" i="3"/>
  <c r="F70" i="3"/>
  <c r="G70" i="3"/>
  <c r="D30" i="3"/>
  <c r="E30" i="3"/>
  <c r="F30" i="3"/>
  <c r="G30" i="3"/>
  <c r="D82" i="3"/>
  <c r="E82" i="3"/>
  <c r="F82" i="3"/>
  <c r="G82" i="3"/>
  <c r="D96" i="3"/>
  <c r="E96" i="3"/>
  <c r="F96" i="3"/>
  <c r="G96" i="3"/>
  <c r="D34" i="3"/>
  <c r="E34" i="3"/>
  <c r="F34" i="3"/>
  <c r="G34" i="3"/>
  <c r="D25" i="3"/>
  <c r="E25" i="3"/>
  <c r="F25" i="3"/>
  <c r="G25" i="3"/>
  <c r="D124" i="3"/>
  <c r="E124" i="3"/>
  <c r="F124" i="3"/>
  <c r="G124" i="3"/>
  <c r="D68" i="3"/>
  <c r="E68" i="3"/>
  <c r="F68" i="3"/>
  <c r="G68" i="3"/>
  <c r="D49" i="3"/>
  <c r="E49" i="3"/>
  <c r="F49" i="3"/>
  <c r="G49" i="3"/>
  <c r="D19" i="3"/>
  <c r="E19" i="3"/>
  <c r="F19" i="3"/>
  <c r="G19" i="3"/>
  <c r="D11" i="3"/>
  <c r="E11" i="3"/>
  <c r="F11" i="3"/>
  <c r="G11" i="3"/>
  <c r="D61" i="3"/>
  <c r="E61" i="3"/>
  <c r="F61" i="3"/>
  <c r="G61" i="3"/>
  <c r="D112" i="3"/>
  <c r="H112" i="3" s="1"/>
  <c r="E112" i="3"/>
  <c r="F112" i="3"/>
  <c r="G112" i="3"/>
  <c r="D77" i="3"/>
  <c r="E77" i="3"/>
  <c r="F77" i="3"/>
  <c r="G77" i="3"/>
  <c r="D89" i="3"/>
  <c r="E89" i="3"/>
  <c r="F89" i="3"/>
  <c r="G89" i="3"/>
  <c r="D84" i="3"/>
  <c r="E84" i="3"/>
  <c r="F84" i="3"/>
  <c r="G84" i="3"/>
  <c r="D56" i="3"/>
  <c r="E56" i="3"/>
  <c r="F56" i="3"/>
  <c r="G56" i="3"/>
  <c r="D16" i="3"/>
  <c r="E16" i="3"/>
  <c r="F16" i="3"/>
  <c r="G16" i="3"/>
  <c r="D88" i="3"/>
  <c r="E88" i="3"/>
  <c r="F88" i="3"/>
  <c r="G88" i="3"/>
  <c r="D14" i="3"/>
  <c r="E14" i="3"/>
  <c r="F14" i="3"/>
  <c r="G14" i="3"/>
  <c r="D4" i="3"/>
  <c r="E4" i="3"/>
  <c r="F4" i="3"/>
  <c r="G4" i="3"/>
  <c r="D108" i="3"/>
  <c r="E108" i="3"/>
  <c r="F108" i="3"/>
  <c r="G108" i="3"/>
  <c r="D69" i="3"/>
  <c r="E69" i="3"/>
  <c r="F69" i="3"/>
  <c r="G69" i="3"/>
  <c r="D39" i="3"/>
  <c r="E39" i="3"/>
  <c r="F39" i="3"/>
  <c r="G39" i="3"/>
  <c r="D50" i="3"/>
  <c r="E50" i="3"/>
  <c r="F50" i="3"/>
  <c r="G50" i="3"/>
  <c r="D114" i="3"/>
  <c r="E114" i="3"/>
  <c r="F114" i="3"/>
  <c r="G114" i="3"/>
  <c r="D40" i="3"/>
  <c r="E40" i="3"/>
  <c r="F40" i="3"/>
  <c r="G40" i="3"/>
  <c r="D52" i="3"/>
  <c r="E52" i="3"/>
  <c r="F52" i="3"/>
  <c r="G52" i="3"/>
  <c r="D59" i="3"/>
  <c r="E59" i="3"/>
  <c r="F59" i="3"/>
  <c r="G59" i="3"/>
  <c r="D23" i="3"/>
  <c r="E23" i="3"/>
  <c r="F23" i="3"/>
  <c r="G23" i="3"/>
  <c r="D63" i="3"/>
  <c r="E63" i="3"/>
  <c r="F63" i="3"/>
  <c r="G63" i="3"/>
  <c r="D106" i="3"/>
  <c r="E106" i="3"/>
  <c r="F106" i="3"/>
  <c r="G106" i="3"/>
  <c r="D120" i="3"/>
  <c r="E120" i="3"/>
  <c r="F120" i="3"/>
  <c r="G120" i="3"/>
  <c r="D47" i="3"/>
  <c r="E47" i="3"/>
  <c r="F47" i="3"/>
  <c r="G47" i="3"/>
  <c r="D119" i="3"/>
  <c r="E119" i="3"/>
  <c r="F119" i="3"/>
  <c r="G119" i="3"/>
  <c r="D17" i="3"/>
  <c r="E17" i="3"/>
  <c r="F17" i="3"/>
  <c r="G17" i="3"/>
  <c r="D60" i="3"/>
  <c r="E60" i="3"/>
  <c r="F60" i="3"/>
  <c r="G60" i="3"/>
  <c r="D31" i="3"/>
  <c r="E31" i="3"/>
  <c r="F31" i="3"/>
  <c r="G31" i="3"/>
  <c r="D76" i="3"/>
  <c r="E76" i="3"/>
  <c r="F76" i="3"/>
  <c r="G76" i="3"/>
  <c r="D8" i="3"/>
  <c r="E8" i="3"/>
  <c r="F8" i="3"/>
  <c r="G8" i="3"/>
  <c r="D9" i="3"/>
  <c r="E9" i="3"/>
  <c r="F9" i="3"/>
  <c r="G9" i="3"/>
  <c r="D113" i="3"/>
  <c r="E113" i="3"/>
  <c r="F113" i="3"/>
  <c r="G113" i="3"/>
  <c r="D46" i="3"/>
  <c r="E46" i="3"/>
  <c r="F46" i="3"/>
  <c r="G46" i="3"/>
  <c r="D67" i="3"/>
  <c r="E67" i="3"/>
  <c r="F67" i="3"/>
  <c r="G67" i="3"/>
  <c r="D83" i="3"/>
  <c r="E83" i="3"/>
  <c r="F83" i="3"/>
  <c r="G83" i="3"/>
  <c r="D71" i="3"/>
  <c r="E71" i="3"/>
  <c r="F71" i="3"/>
  <c r="G71" i="3"/>
  <c r="D42" i="3"/>
  <c r="E42" i="3"/>
  <c r="F42" i="3"/>
  <c r="G42" i="3"/>
  <c r="D37" i="3"/>
  <c r="E37" i="3"/>
  <c r="F37" i="3"/>
  <c r="G37" i="3"/>
  <c r="D21" i="3"/>
  <c r="E21" i="3"/>
  <c r="F21" i="3"/>
  <c r="G21" i="3"/>
  <c r="D72" i="3"/>
  <c r="E72" i="3"/>
  <c r="F72" i="3"/>
  <c r="G72" i="3"/>
  <c r="D27" i="3"/>
  <c r="E27" i="3"/>
  <c r="F27" i="3"/>
  <c r="G27" i="3"/>
  <c r="D107" i="3"/>
  <c r="E107" i="3"/>
  <c r="F107" i="3"/>
  <c r="G107" i="3"/>
  <c r="D74" i="3"/>
  <c r="E74" i="3"/>
  <c r="F74" i="3"/>
  <c r="G74" i="3"/>
  <c r="D53" i="3"/>
  <c r="E53" i="3"/>
  <c r="F53" i="3"/>
  <c r="G53" i="3"/>
  <c r="D41" i="3"/>
  <c r="E41" i="3"/>
  <c r="F41" i="3"/>
  <c r="G41" i="3"/>
  <c r="D127" i="3"/>
  <c r="E127" i="3"/>
  <c r="F127" i="3"/>
  <c r="G127" i="3"/>
  <c r="D93" i="3"/>
  <c r="E93" i="3"/>
  <c r="F93" i="3"/>
  <c r="G93" i="3"/>
  <c r="D79" i="3"/>
  <c r="E79" i="3"/>
  <c r="F79" i="3"/>
  <c r="G79" i="3"/>
  <c r="D126" i="3"/>
  <c r="E126" i="3"/>
  <c r="F126" i="3"/>
  <c r="G126" i="3"/>
  <c r="D111" i="3"/>
  <c r="E111" i="3"/>
  <c r="F111" i="3"/>
  <c r="G111" i="3"/>
  <c r="E78" i="3"/>
  <c r="F78" i="3"/>
  <c r="G78" i="3"/>
  <c r="D78" i="3"/>
  <c r="O279" i="2"/>
  <c r="O280" i="2"/>
  <c r="O281" i="2"/>
  <c r="O282" i="2"/>
  <c r="O283" i="2"/>
  <c r="O284" i="2"/>
  <c r="O285" i="2"/>
  <c r="O286" i="2"/>
  <c r="O287" i="2"/>
  <c r="O288" i="2"/>
  <c r="O278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326" i="2"/>
  <c r="P495" i="2"/>
  <c r="P1125" i="2"/>
  <c r="P563" i="2"/>
  <c r="P1085" i="2"/>
  <c r="P666" i="2"/>
  <c r="P700" i="2"/>
  <c r="P190" i="2"/>
  <c r="P773" i="2"/>
  <c r="P774" i="2"/>
  <c r="P811" i="2"/>
  <c r="P509" i="2"/>
  <c r="P775" i="2"/>
  <c r="P1126" i="2"/>
  <c r="P191" i="2"/>
  <c r="P564" i="2"/>
  <c r="P565" i="2"/>
  <c r="P192" i="2"/>
  <c r="P566" i="2"/>
  <c r="P329" i="2"/>
  <c r="P255" i="2"/>
  <c r="P181" i="2"/>
  <c r="P510" i="2"/>
  <c r="P539" i="2"/>
  <c r="P193" i="2"/>
  <c r="P701" i="2"/>
  <c r="P1127" i="2"/>
  <c r="P567" i="2"/>
  <c r="P1128" i="2"/>
  <c r="P240" i="2"/>
  <c r="P702" i="2"/>
  <c r="P330" i="2"/>
  <c r="P776" i="2"/>
  <c r="P331" i="2"/>
  <c r="P289" i="2"/>
  <c r="P290" i="2"/>
  <c r="P332" i="2"/>
  <c r="P291" i="2"/>
  <c r="P292" i="2"/>
  <c r="P446" i="2"/>
  <c r="P447" i="2"/>
  <c r="P812" i="2"/>
  <c r="P813" i="2"/>
  <c r="P1119" i="2"/>
  <c r="P675" i="2"/>
  <c r="P814" i="2"/>
  <c r="P237" i="2"/>
  <c r="P448" i="2"/>
  <c r="P449" i="2"/>
  <c r="P740" i="2"/>
  <c r="P912" i="2"/>
  <c r="P256" i="2"/>
  <c r="P1120" i="2"/>
  <c r="P706" i="2"/>
  <c r="P971" i="2"/>
  <c r="P1160" i="2"/>
  <c r="P1047" i="2"/>
  <c r="P815" i="2"/>
  <c r="P50" i="2"/>
  <c r="P51" i="2"/>
  <c r="P52" i="2"/>
  <c r="P630" i="2"/>
  <c r="P631" i="2"/>
  <c r="P676" i="2"/>
  <c r="P157" i="2"/>
  <c r="P238" i="2"/>
  <c r="P757" i="2"/>
  <c r="P1161" i="2"/>
  <c r="P758" i="2"/>
  <c r="P507" i="2"/>
  <c r="P913" i="2"/>
  <c r="P511" i="2"/>
  <c r="P257" i="2"/>
  <c r="P224" i="2"/>
  <c r="P844" i="2"/>
  <c r="P759" i="2"/>
  <c r="P545" i="2"/>
  <c r="P568" i="2"/>
  <c r="P546" i="2"/>
  <c r="P547" i="2"/>
  <c r="P1114" i="2"/>
  <c r="P840" i="2"/>
  <c r="P475" i="2"/>
  <c r="P53" i="2"/>
  <c r="P54" i="2"/>
  <c r="P55" i="2"/>
  <c r="P333" i="2"/>
  <c r="P334" i="2"/>
  <c r="P335" i="2"/>
  <c r="P569" i="2"/>
  <c r="P512" i="2"/>
  <c r="P570" i="2"/>
  <c r="P571" i="2"/>
  <c r="P1018" i="2"/>
  <c r="P1019" i="2"/>
  <c r="P1129" i="2"/>
  <c r="P1130" i="2"/>
  <c r="P1131" i="2"/>
  <c r="P845" i="2"/>
  <c r="P846" i="2"/>
  <c r="P847" i="2"/>
  <c r="P848" i="2"/>
  <c r="P336" i="2"/>
  <c r="P643" i="2"/>
  <c r="P644" i="2"/>
  <c r="P645" i="2"/>
  <c r="P972" i="2"/>
  <c r="P293" i="2"/>
  <c r="P294" i="2"/>
  <c r="P295" i="2"/>
  <c r="P296" i="2"/>
  <c r="P297" i="2"/>
  <c r="P127" i="2"/>
  <c r="P152" i="2"/>
  <c r="P2" i="2"/>
  <c r="P914" i="2"/>
  <c r="P915" i="2"/>
  <c r="P1115" i="2"/>
  <c r="P973" i="2"/>
  <c r="P225" i="2"/>
  <c r="P226" i="2"/>
  <c r="P713" i="2"/>
  <c r="P714" i="2"/>
  <c r="P715" i="2"/>
  <c r="P889" i="2"/>
  <c r="P890" i="2"/>
  <c r="P337" i="2"/>
  <c r="P891" i="2"/>
  <c r="P892" i="2"/>
  <c r="P548" i="2"/>
  <c r="P338" i="2"/>
  <c r="P974" i="2"/>
  <c r="P741" i="2"/>
  <c r="P450" i="2"/>
  <c r="P270" i="2"/>
  <c r="P258" i="2"/>
  <c r="P801" i="2"/>
  <c r="P655" i="2"/>
  <c r="P451" i="2"/>
  <c r="P802" i="2"/>
  <c r="P916" i="2"/>
  <c r="P803" i="2"/>
  <c r="P742" i="2"/>
  <c r="P907" i="2"/>
  <c r="P804" i="2"/>
  <c r="P816" i="2"/>
  <c r="P339" i="2"/>
  <c r="P340" i="2"/>
  <c r="P341" i="2"/>
  <c r="P342" i="2"/>
  <c r="P943" i="2"/>
  <c r="P944" i="2"/>
  <c r="P945" i="2"/>
  <c r="P946" i="2"/>
  <c r="P56" i="2"/>
  <c r="P57" i="2"/>
  <c r="P343" i="2"/>
  <c r="P344" i="2"/>
  <c r="P345" i="2"/>
  <c r="P58" i="2"/>
  <c r="P1052" i="2"/>
  <c r="P1053" i="2"/>
  <c r="P1192" i="2"/>
  <c r="P1193" i="2"/>
  <c r="P27" i="2"/>
  <c r="P572" i="2"/>
  <c r="P573" i="2"/>
  <c r="P574" i="2"/>
  <c r="P153" i="2"/>
  <c r="P154" i="2"/>
  <c r="P155" i="2"/>
  <c r="P1048" i="2"/>
  <c r="P476" i="2"/>
  <c r="P500" i="2"/>
  <c r="P501" i="2"/>
  <c r="P502" i="2"/>
  <c r="P528" i="2"/>
  <c r="P529" i="2"/>
  <c r="P530" i="2"/>
  <c r="P531" i="2"/>
  <c r="P1086" i="2"/>
  <c r="P1087" i="2"/>
  <c r="P1088" i="2"/>
  <c r="P1089" i="2"/>
  <c r="P452" i="2"/>
  <c r="P453" i="2"/>
  <c r="P1090" i="2"/>
  <c r="P1091" i="2"/>
  <c r="P1092" i="2"/>
  <c r="P496" i="2"/>
  <c r="P1093" i="2"/>
  <c r="P227" i="2"/>
  <c r="P825" i="2"/>
  <c r="P677" i="2"/>
  <c r="P632" i="2"/>
  <c r="P7" i="2"/>
  <c r="P656" i="2"/>
  <c r="P245" i="2"/>
  <c r="P678" i="2"/>
  <c r="P454" i="2"/>
  <c r="P549" i="2"/>
  <c r="P805" i="2"/>
  <c r="P1094" i="2"/>
  <c r="P228" i="2"/>
  <c r="P777" i="2"/>
  <c r="P455" i="2"/>
  <c r="P1162" i="2"/>
  <c r="P477" i="2"/>
  <c r="P182" i="2"/>
  <c r="P160" i="2"/>
  <c r="P533" i="2"/>
  <c r="P716" i="2"/>
  <c r="P717" i="2"/>
  <c r="P534" i="2"/>
  <c r="P718" i="2"/>
  <c r="P346" i="2"/>
  <c r="P347" i="2"/>
  <c r="P348" i="2"/>
  <c r="P349" i="2"/>
  <c r="P350" i="2"/>
  <c r="P351" i="2"/>
  <c r="P352" i="2"/>
  <c r="P535" i="2"/>
  <c r="P787" i="2"/>
  <c r="P788" i="2"/>
  <c r="P789" i="2"/>
  <c r="P790" i="2"/>
  <c r="P959" i="2"/>
  <c r="P849" i="2"/>
  <c r="P850" i="2"/>
  <c r="P536" i="2"/>
  <c r="P161" i="2"/>
  <c r="P162" i="2"/>
  <c r="P163" i="2"/>
  <c r="P851" i="2"/>
  <c r="P575" i="2"/>
  <c r="P576" i="2"/>
  <c r="P577" i="2"/>
  <c r="P917" i="2"/>
  <c r="P760" i="2"/>
  <c r="P578" i="2"/>
  <c r="P579" i="2"/>
  <c r="P761" i="2"/>
  <c r="P762" i="2"/>
  <c r="P580" i="2"/>
  <c r="P581" i="2"/>
  <c r="P582" i="2"/>
  <c r="P583" i="2"/>
  <c r="P353" i="2"/>
  <c r="P584" i="2"/>
  <c r="P585" i="2"/>
  <c r="P586" i="2"/>
  <c r="P587" i="2"/>
  <c r="P588" i="2"/>
  <c r="P589" i="2"/>
  <c r="P590" i="2"/>
  <c r="P241" i="2"/>
  <c r="P918" i="2"/>
  <c r="P826" i="2"/>
  <c r="P183" i="2"/>
  <c r="P679" i="2"/>
  <c r="P259" i="2"/>
  <c r="P513" i="2"/>
  <c r="P8" i="2"/>
  <c r="P680" i="2"/>
  <c r="P919" i="2"/>
  <c r="P1121" i="2"/>
  <c r="P9" i="2"/>
  <c r="P514" i="2"/>
  <c r="P515" i="2"/>
  <c r="P633" i="2"/>
  <c r="P354" i="2"/>
  <c r="P591" i="2"/>
  <c r="P592" i="2"/>
  <c r="P1165" i="2"/>
  <c r="P852" i="2"/>
  <c r="P130" i="2"/>
  <c r="P355" i="2"/>
  <c r="P131" i="2"/>
  <c r="P132" i="2"/>
  <c r="P853" i="2"/>
  <c r="P634" i="2"/>
  <c r="P356" i="2"/>
  <c r="P10" i="2"/>
  <c r="P798" i="2"/>
  <c r="P516" i="2"/>
  <c r="P194" i="2"/>
  <c r="P195" i="2"/>
  <c r="P799" i="2"/>
  <c r="P196" i="2"/>
  <c r="P1095" i="2"/>
  <c r="P707" i="2"/>
  <c r="P1096" i="2"/>
  <c r="P960" i="2"/>
  <c r="P478" i="2"/>
  <c r="P809" i="2"/>
  <c r="P184" i="2"/>
  <c r="P593" i="2"/>
  <c r="P594" i="2"/>
  <c r="P595" i="2"/>
  <c r="P596" i="2"/>
  <c r="P1201" i="2"/>
  <c r="P357" i="2"/>
  <c r="P358" i="2"/>
  <c r="P359" i="2"/>
  <c r="P246" i="2"/>
  <c r="P247" i="2"/>
  <c r="P681" i="2"/>
  <c r="P1074" i="2"/>
  <c r="P682" i="2"/>
  <c r="P1122" i="2"/>
  <c r="P1123" i="2"/>
  <c r="P597" i="2"/>
  <c r="P22" i="2"/>
  <c r="P164" i="2"/>
  <c r="P800" i="2"/>
  <c r="P1064" i="2"/>
  <c r="P961" i="2"/>
  <c r="P962" i="2"/>
  <c r="P1065" i="2"/>
  <c r="P260" i="2"/>
  <c r="P165" i="2"/>
  <c r="P1066" i="2"/>
  <c r="P879" i="2"/>
  <c r="P963" i="2"/>
  <c r="P964" i="2"/>
  <c r="P598" i="2"/>
  <c r="P599" i="2"/>
  <c r="P600" i="2"/>
  <c r="P114" i="2"/>
  <c r="P28" i="2"/>
  <c r="P115" i="2"/>
  <c r="P116" i="2"/>
  <c r="P29" i="2"/>
  <c r="P30" i="2"/>
  <c r="P456" i="2"/>
  <c r="P457" i="2"/>
  <c r="P458" i="2"/>
  <c r="P59" i="2"/>
  <c r="P31" i="2"/>
  <c r="P60" i="2"/>
  <c r="P683" i="2"/>
  <c r="P360" i="2"/>
  <c r="P361" i="2"/>
  <c r="P362" i="2"/>
  <c r="P363" i="2"/>
  <c r="P364" i="2"/>
  <c r="P365" i="2"/>
  <c r="P145" i="2"/>
  <c r="P146" i="2"/>
  <c r="P366" i="2"/>
  <c r="P367" i="2"/>
  <c r="P368" i="2"/>
  <c r="P369" i="2"/>
  <c r="P937" i="2"/>
  <c r="P938" i="2"/>
  <c r="P657" i="2"/>
  <c r="P298" i="2"/>
  <c r="P248" i="2"/>
  <c r="P251" i="2"/>
  <c r="P817" i="2"/>
  <c r="P635" i="2"/>
  <c r="P299" i="2"/>
  <c r="P300" i="2"/>
  <c r="P301" i="2"/>
  <c r="P302" i="2"/>
  <c r="P646" i="2"/>
  <c r="P1194" i="2"/>
  <c r="P97" i="2"/>
  <c r="P98" i="2"/>
  <c r="P99" i="2"/>
  <c r="P100" i="2"/>
  <c r="P1124" i="2"/>
  <c r="P261" i="2"/>
  <c r="P370" i="2"/>
  <c r="P371" i="2"/>
  <c r="P459" i="2"/>
  <c r="P460" i="2"/>
  <c r="P461" i="2"/>
  <c r="P684" i="2"/>
  <c r="P806" i="2"/>
  <c r="P1097" i="2"/>
  <c r="P1098" i="2"/>
  <c r="P1099" i="2"/>
  <c r="P1100" i="2"/>
  <c r="P1101" i="2"/>
  <c r="P893" i="2"/>
  <c r="P197" i="2"/>
  <c r="P198" i="2"/>
  <c r="P199" i="2"/>
  <c r="P303" i="2"/>
  <c r="P304" i="2"/>
  <c r="P305" i="2"/>
  <c r="P306" i="2"/>
  <c r="P307" i="2"/>
  <c r="P1102" i="2"/>
  <c r="P920" i="2"/>
  <c r="P880" i="2"/>
  <c r="P881" i="2"/>
  <c r="P854" i="2"/>
  <c r="P647" i="2"/>
  <c r="P975" i="2"/>
  <c r="P23" i="2"/>
  <c r="P172" i="2"/>
  <c r="P173" i="2"/>
  <c r="P61" i="2"/>
  <c r="P62" i="2"/>
  <c r="P63" i="2"/>
  <c r="P1075" i="2"/>
  <c r="P174" i="2"/>
  <c r="P1147" i="2"/>
  <c r="P1148" i="2"/>
  <c r="P976" i="2"/>
  <c r="P517" i="2"/>
  <c r="P518" i="2"/>
  <c r="P519" i="2"/>
  <c r="P479" i="2"/>
  <c r="P480" i="2"/>
  <c r="P481" i="2"/>
  <c r="P855" i="2"/>
  <c r="P229" i="2"/>
  <c r="P482" i="2"/>
  <c r="P483" i="2"/>
  <c r="P921" i="2"/>
  <c r="P484" i="2"/>
  <c r="P485" i="2"/>
  <c r="P922" i="2"/>
  <c r="P1076" i="2"/>
  <c r="P1077" i="2"/>
  <c r="P1078" i="2"/>
  <c r="P1079" i="2"/>
  <c r="P1080" i="2"/>
  <c r="P856" i="2"/>
  <c r="P171" i="2"/>
  <c r="P102" i="2"/>
  <c r="P894" i="2"/>
  <c r="P601" i="2"/>
  <c r="P602" i="2"/>
  <c r="P603" i="2"/>
  <c r="P923" i="2"/>
  <c r="P462" i="2"/>
  <c r="P64" i="2"/>
  <c r="P65" i="2"/>
  <c r="P1103" i="2"/>
  <c r="P1104" i="2"/>
  <c r="P1105" i="2"/>
  <c r="P1106" i="2"/>
  <c r="P520" i="2"/>
  <c r="P1107" i="2"/>
  <c r="P1108" i="2"/>
  <c r="P1109" i="2"/>
  <c r="P977" i="2"/>
  <c r="P895" i="2"/>
  <c r="P308" i="2"/>
  <c r="P636" i="2"/>
  <c r="P11" i="2"/>
  <c r="P309" i="2"/>
  <c r="P857" i="2"/>
  <c r="P262" i="2"/>
  <c r="P508" i="2"/>
  <c r="P858" i="2"/>
  <c r="P310" i="2"/>
  <c r="P924" i="2"/>
  <c r="P550" i="2"/>
  <c r="P925" i="2"/>
  <c r="P818" i="2"/>
  <c r="P1022" i="2"/>
  <c r="P249" i="2"/>
  <c r="P1023" i="2"/>
  <c r="P463" i="2"/>
  <c r="P230" i="2"/>
  <c r="P464" i="2"/>
  <c r="P66" i="2"/>
  <c r="P978" i="2"/>
  <c r="P67" i="2"/>
  <c r="P68" i="2"/>
  <c r="P1132" i="2"/>
  <c r="P979" i="2"/>
  <c r="P1010" i="2"/>
  <c r="P896" i="2"/>
  <c r="P897" i="2"/>
  <c r="P537" i="2"/>
  <c r="P1133" i="2"/>
  <c r="P1134" i="2"/>
  <c r="P527" i="2"/>
  <c r="P695" i="2"/>
  <c r="P696" i="2"/>
  <c r="P372" i="2"/>
  <c r="P373" i="2"/>
  <c r="P374" i="2"/>
  <c r="P375" i="2"/>
  <c r="P376" i="2"/>
  <c r="P377" i="2"/>
  <c r="P1197" i="2"/>
  <c r="P311" i="2"/>
  <c r="P827" i="2"/>
  <c r="P685" i="2"/>
  <c r="P312" i="2"/>
  <c r="P313" i="2"/>
  <c r="P314" i="2"/>
  <c r="P540" i="2"/>
  <c r="P3" i="2"/>
  <c r="P828" i="2"/>
  <c r="P465" i="2"/>
  <c r="P686" i="2"/>
  <c r="P658" i="2"/>
  <c r="P103" i="2"/>
  <c r="P104" i="2"/>
  <c r="P667" i="2"/>
  <c r="P668" i="2"/>
  <c r="P1020" i="2"/>
  <c r="P669" i="2"/>
  <c r="P497" i="2"/>
  <c r="P498" i="2"/>
  <c r="P250" i="2"/>
  <c r="P185" i="2"/>
  <c r="P1110" i="2"/>
  <c r="P242" i="2"/>
  <c r="P1149" i="2"/>
  <c r="P1150" i="2"/>
  <c r="P778" i="2"/>
  <c r="P779" i="2"/>
  <c r="P780" i="2"/>
  <c r="P781" i="2"/>
  <c r="P882" i="2"/>
  <c r="P378" i="2"/>
  <c r="P12" i="2"/>
  <c r="P13" i="2"/>
  <c r="P379" i="2"/>
  <c r="P101" i="2"/>
  <c r="P32" i="2"/>
  <c r="P33" i="2"/>
  <c r="P980" i="2"/>
  <c r="P981" i="2"/>
  <c r="P69" i="2"/>
  <c r="P70" i="2"/>
  <c r="P71" i="2"/>
  <c r="P72" i="2"/>
  <c r="P810" i="2"/>
  <c r="P926" i="2"/>
  <c r="P927" i="2"/>
  <c r="P1071" i="2"/>
  <c r="P835" i="2"/>
  <c r="P1163" i="2"/>
  <c r="P1164" i="2"/>
  <c r="P147" i="2"/>
  <c r="P175" i="2"/>
  <c r="P708" i="2"/>
  <c r="P819" i="2"/>
  <c r="P490" i="2"/>
  <c r="P263" i="2"/>
  <c r="P264" i="2"/>
  <c r="P14" i="2"/>
  <c r="P859" i="2"/>
  <c r="P860" i="2"/>
  <c r="P928" i="2"/>
  <c r="P466" i="2"/>
  <c r="P467" i="2"/>
  <c r="P468" i="2"/>
  <c r="P34" i="2"/>
  <c r="P35" i="2"/>
  <c r="P939" i="2"/>
  <c r="P940" i="2"/>
  <c r="P941" i="2"/>
  <c r="P942" i="2"/>
  <c r="P36" i="2"/>
  <c r="P861" i="2"/>
  <c r="P37" i="2"/>
  <c r="P38" i="2"/>
  <c r="P929" i="2"/>
  <c r="P687" i="2"/>
  <c r="P73" i="2"/>
  <c r="P74" i="2"/>
  <c r="P75" i="2"/>
  <c r="P117" i="2"/>
  <c r="P118" i="2"/>
  <c r="P807" i="2"/>
  <c r="P982" i="2"/>
  <c r="P648" i="2"/>
  <c r="P983" i="2"/>
  <c r="P649" i="2"/>
  <c r="P650" i="2"/>
  <c r="P1166" i="2"/>
  <c r="P1167" i="2"/>
  <c r="P1168" i="2"/>
  <c r="P1169" i="2"/>
  <c r="P984" i="2"/>
  <c r="P119" i="2"/>
  <c r="P120" i="2"/>
  <c r="P808" i="2"/>
  <c r="P862" i="2"/>
  <c r="P243" i="2"/>
  <c r="P863" i="2"/>
  <c r="P965" i="2"/>
  <c r="P966" i="2"/>
  <c r="P985" i="2"/>
  <c r="P967" i="2"/>
  <c r="P898" i="2"/>
  <c r="P1198" i="2"/>
  <c r="P1199" i="2"/>
  <c r="P1200" i="2"/>
  <c r="P899" i="2"/>
  <c r="P900" i="2"/>
  <c r="P901" i="2"/>
  <c r="P380" i="2"/>
  <c r="P381" i="2"/>
  <c r="P382" i="2"/>
  <c r="P383" i="2"/>
  <c r="P121" i="2"/>
  <c r="P785" i="2"/>
  <c r="P786" i="2"/>
  <c r="P384" i="2"/>
  <c r="P986" i="2"/>
  <c r="P385" i="2"/>
  <c r="P386" i="2"/>
  <c r="P387" i="2"/>
  <c r="P604" i="2"/>
  <c r="P605" i="2"/>
  <c r="P606" i="2"/>
  <c r="P607" i="2"/>
  <c r="P608" i="2"/>
  <c r="P1024" i="2"/>
  <c r="P1025" i="2"/>
  <c r="P609" i="2"/>
  <c r="P1026" i="2"/>
  <c r="P166" i="2"/>
  <c r="P1027" i="2"/>
  <c r="P1028" i="2"/>
  <c r="P610" i="2"/>
  <c r="P1029" i="2"/>
  <c r="P1030" i="2"/>
  <c r="P611" i="2"/>
  <c r="P612" i="2"/>
  <c r="P1031" i="2"/>
  <c r="P1032" i="2"/>
  <c r="P1033" i="2"/>
  <c r="P1034" i="2"/>
  <c r="P613" i="2"/>
  <c r="P614" i="2"/>
  <c r="P388" i="2"/>
  <c r="P389" i="2"/>
  <c r="P390" i="2"/>
  <c r="P1116" i="2"/>
  <c r="P315" i="2"/>
  <c r="P391" i="2"/>
  <c r="P392" i="2"/>
  <c r="P393" i="2"/>
  <c r="P316" i="2"/>
  <c r="P317" i="2"/>
  <c r="P318" i="2"/>
  <c r="P394" i="2"/>
  <c r="P395" i="2"/>
  <c r="P396" i="2"/>
  <c r="P615" i="2"/>
  <c r="P1035" i="2"/>
  <c r="P167" i="2"/>
  <c r="P1036" i="2"/>
  <c r="P1037" i="2"/>
  <c r="P168" i="2"/>
  <c r="P791" i="2"/>
  <c r="P792" i="2"/>
  <c r="P397" i="2"/>
  <c r="P947" i="2"/>
  <c r="P948" i="2"/>
  <c r="P949" i="2"/>
  <c r="P398" i="2"/>
  <c r="P399" i="2"/>
  <c r="P616" i="2"/>
  <c r="P617" i="2"/>
  <c r="P532" i="2"/>
  <c r="P618" i="2"/>
  <c r="P200" i="2"/>
  <c r="P1038" i="2"/>
  <c r="P619" i="2"/>
  <c r="P987" i="2"/>
  <c r="P201" i="2"/>
  <c r="P202" i="2"/>
  <c r="P203" i="2"/>
  <c r="P204" i="2"/>
  <c r="P205" i="2"/>
  <c r="P620" i="2"/>
  <c r="P1039" i="2"/>
  <c r="P1040" i="2"/>
  <c r="P1041" i="2"/>
  <c r="P621" i="2"/>
  <c r="P622" i="2"/>
  <c r="P623" i="2"/>
  <c r="P624" i="2"/>
  <c r="P1049" i="2"/>
  <c r="P864" i="2"/>
  <c r="P491" i="2"/>
  <c r="P865" i="2"/>
  <c r="P866" i="2"/>
  <c r="P252" i="2"/>
  <c r="P820" i="2"/>
  <c r="P821" i="2"/>
  <c r="P867" i="2"/>
  <c r="P492" i="2"/>
  <c r="P493" i="2"/>
  <c r="P868" i="2"/>
  <c r="P793" i="2"/>
  <c r="P930" i="2"/>
  <c r="P794" i="2"/>
  <c r="P795" i="2"/>
  <c r="P796" i="2"/>
  <c r="P988" i="2"/>
  <c r="P869" i="2"/>
  <c r="P1135" i="2"/>
  <c r="P870" i="2"/>
  <c r="P989" i="2"/>
  <c r="P745" i="2"/>
  <c r="P797" i="2"/>
  <c r="P990" i="2"/>
  <c r="P1067" i="2"/>
  <c r="P746" i="2"/>
  <c r="P271" i="2"/>
  <c r="P822" i="2"/>
  <c r="P1195" i="2"/>
  <c r="P931" i="2"/>
  <c r="P1189" i="2"/>
  <c r="P1190" i="2"/>
  <c r="P1191" i="2"/>
  <c r="P141" i="2"/>
  <c r="P747" i="2"/>
  <c r="P637" i="2"/>
  <c r="P748" i="2"/>
  <c r="P749" i="2"/>
  <c r="P43" i="2"/>
  <c r="P176" i="2"/>
  <c r="P231" i="2"/>
  <c r="P177" i="2"/>
  <c r="P232" i="2"/>
  <c r="P76" i="2"/>
  <c r="P719" i="2"/>
  <c r="P720" i="2"/>
  <c r="P400" i="2"/>
  <c r="P401" i="2"/>
  <c r="P721" i="2"/>
  <c r="P722" i="2"/>
  <c r="P723" i="2"/>
  <c r="P724" i="2"/>
  <c r="P725" i="2"/>
  <c r="P726" i="2"/>
  <c r="P77" i="2"/>
  <c r="P402" i="2"/>
  <c r="P148" i="2"/>
  <c r="P149" i="2"/>
  <c r="P150" i="2"/>
  <c r="P39" i="2"/>
  <c r="P40" i="2"/>
  <c r="P991" i="2"/>
  <c r="P763" i="2"/>
  <c r="P186" i="2"/>
  <c r="P932" i="2"/>
  <c r="P15" i="2"/>
  <c r="P469" i="2"/>
  <c r="P1011" i="2"/>
  <c r="P1012" i="2"/>
  <c r="P992" i="2"/>
  <c r="P1013" i="2"/>
  <c r="P16" i="2"/>
  <c r="P133" i="2"/>
  <c r="P206" i="2"/>
  <c r="P207" i="2"/>
  <c r="P208" i="2"/>
  <c r="P209" i="2"/>
  <c r="P688" i="2"/>
  <c r="P993" i="2"/>
  <c r="P499" i="2"/>
  <c r="P169" i="2"/>
  <c r="P902" i="2"/>
  <c r="P170" i="2"/>
  <c r="P625" i="2"/>
  <c r="P134" i="2"/>
  <c r="P689" i="2"/>
  <c r="P638" i="2"/>
  <c r="P470" i="2"/>
  <c r="P135" i="2"/>
  <c r="P265" i="2"/>
  <c r="P17" i="2"/>
  <c r="P903" i="2"/>
  <c r="P233" i="2"/>
  <c r="P933" i="2"/>
  <c r="P934" i="2"/>
  <c r="P210" i="2"/>
  <c r="P211" i="2"/>
  <c r="P78" i="2"/>
  <c r="P79" i="2"/>
  <c r="P266" i="2"/>
  <c r="P994" i="2"/>
  <c r="P80" i="2"/>
  <c r="P704" i="2"/>
  <c r="P705" i="2"/>
  <c r="P538" i="2"/>
  <c r="P764" i="2"/>
  <c r="P1178" i="2"/>
  <c r="P1179" i="2"/>
  <c r="P1180" i="2"/>
  <c r="P1181" i="2"/>
  <c r="P1081" i="2"/>
  <c r="P1082" i="2"/>
  <c r="P1083" i="2"/>
  <c r="P486" i="2"/>
  <c r="P487" i="2"/>
  <c r="P142" i="2"/>
  <c r="P836" i="2"/>
  <c r="P244" i="2"/>
  <c r="P1202" i="2"/>
  <c r="P1203" i="2"/>
  <c r="P1204" i="2"/>
  <c r="P1205" i="2"/>
  <c r="P626" i="2"/>
  <c r="P627" i="2"/>
  <c r="P628" i="2"/>
  <c r="P272" i="2"/>
  <c r="P128" i="2"/>
  <c r="P239" i="2"/>
  <c r="P143" i="2"/>
  <c r="P551" i="2"/>
  <c r="P552" i="2"/>
  <c r="P935" i="2"/>
  <c r="P44" i="2"/>
  <c r="P904" i="2"/>
  <c r="P709" i="2"/>
  <c r="P144" i="2"/>
  <c r="P488" i="2"/>
  <c r="P553" i="2"/>
  <c r="P710" i="2"/>
  <c r="P711" i="2"/>
  <c r="P489" i="2"/>
  <c r="P81" i="2"/>
  <c r="P82" i="2"/>
  <c r="P83" i="2"/>
  <c r="P84" i="2"/>
  <c r="P1182" i="2"/>
  <c r="P1183" i="2"/>
  <c r="P1184" i="2"/>
  <c r="P1185" i="2"/>
  <c r="P503" i="2"/>
  <c r="P504" i="2"/>
  <c r="P505" i="2"/>
  <c r="P506" i="2"/>
  <c r="P1175" i="2"/>
  <c r="P1176" i="2"/>
  <c r="P1177" i="2"/>
  <c r="P995" i="2"/>
  <c r="P727" i="2"/>
  <c r="P728" i="2"/>
  <c r="P750" i="2"/>
  <c r="P729" i="2"/>
  <c r="P730" i="2"/>
  <c r="P731" i="2"/>
  <c r="P319" i="2"/>
  <c r="P320" i="2"/>
  <c r="P321" i="2"/>
  <c r="P322" i="2"/>
  <c r="P751" i="2"/>
  <c r="P752" i="2"/>
  <c r="P732" i="2"/>
  <c r="P733" i="2"/>
  <c r="P753" i="2"/>
  <c r="P734" i="2"/>
  <c r="P212" i="2"/>
  <c r="P213" i="2"/>
  <c r="P214" i="2"/>
  <c r="P215" i="2"/>
  <c r="P996" i="2"/>
  <c r="P1054" i="2"/>
  <c r="P1055" i="2"/>
  <c r="P997" i="2"/>
  <c r="P1056" i="2"/>
  <c r="P697" i="2"/>
  <c r="P698" i="2"/>
  <c r="P178" i="2"/>
  <c r="P179" i="2"/>
  <c r="P180" i="2"/>
  <c r="P670" i="2"/>
  <c r="P998" i="2"/>
  <c r="P837" i="2"/>
  <c r="P838" i="2"/>
  <c r="P839" i="2"/>
  <c r="P136" i="2"/>
  <c r="P137" i="2"/>
  <c r="P1111" i="2"/>
  <c r="P1112" i="2"/>
  <c r="P18" i="2"/>
  <c r="P1113" i="2"/>
  <c r="P1136" i="2"/>
  <c r="P1137" i="2"/>
  <c r="P403" i="2"/>
  <c r="P404" i="2"/>
  <c r="P405" i="2"/>
  <c r="P883" i="2"/>
  <c r="P41" i="2"/>
  <c r="P42" i="2"/>
  <c r="P1050" i="2"/>
  <c r="P950" i="2"/>
  <c r="P951" i="2"/>
  <c r="P952" i="2"/>
  <c r="P884" i="2"/>
  <c r="P885" i="2"/>
  <c r="P886" i="2"/>
  <c r="P19" i="2"/>
  <c r="P122" i="2"/>
  <c r="P494" i="2"/>
  <c r="P20" i="2"/>
  <c r="P541" i="2"/>
  <c r="P406" i="2"/>
  <c r="P107" i="2"/>
  <c r="P407" i="2"/>
  <c r="P542" i="2"/>
  <c r="P45" i="2"/>
  <c r="P1068" i="2"/>
  <c r="P639" i="2"/>
  <c r="P521" i="2"/>
  <c r="P690" i="2"/>
  <c r="P522" i="2"/>
  <c r="P999" i="2"/>
  <c r="P105" i="2"/>
  <c r="P1057" i="2"/>
  <c r="P765" i="2"/>
  <c r="P327" i="2"/>
  <c r="P1058" i="2"/>
  <c r="P21" i="2"/>
  <c r="P156" i="2"/>
  <c r="P671" i="2"/>
  <c r="P46" i="2"/>
  <c r="P640" i="2"/>
  <c r="P1059" i="2"/>
  <c r="P408" i="2"/>
  <c r="P409" i="2"/>
  <c r="P841" i="2"/>
  <c r="P842" i="2"/>
  <c r="P843" i="2"/>
  <c r="P123" i="2"/>
  <c r="P124" i="2"/>
  <c r="P410" i="2"/>
  <c r="P411" i="2"/>
  <c r="P412" i="2"/>
  <c r="P323" i="2"/>
  <c r="P324" i="2"/>
  <c r="P325" i="2"/>
  <c r="P1151" i="2"/>
  <c r="P1152" i="2"/>
  <c r="P1153" i="2"/>
  <c r="P85" i="2"/>
  <c r="P86" i="2"/>
  <c r="P87" i="2"/>
  <c r="P88" i="2"/>
  <c r="P1154" i="2"/>
  <c r="P1155" i="2"/>
  <c r="P1156" i="2"/>
  <c r="P413" i="2"/>
  <c r="P414" i="2"/>
  <c r="P1138" i="2"/>
  <c r="P1139" i="2"/>
  <c r="P1140" i="2"/>
  <c r="P1141" i="2"/>
  <c r="P216" i="2"/>
  <c r="P766" i="2"/>
  <c r="P217" i="2"/>
  <c r="P767" i="2"/>
  <c r="P415" i="2"/>
  <c r="P416" i="2"/>
  <c r="P218" i="2"/>
  <c r="P219" i="2"/>
  <c r="P417" i="2"/>
  <c r="P418" i="2"/>
  <c r="P1170" i="2"/>
  <c r="P419" i="2"/>
  <c r="P420" i="2"/>
  <c r="P421" i="2"/>
  <c r="P1142" i="2"/>
  <c r="P422" i="2"/>
  <c r="P423" i="2"/>
  <c r="P1206" i="2"/>
  <c r="P1143" i="2"/>
  <c r="P1144" i="2"/>
  <c r="P768" i="2"/>
  <c r="P1173" i="2"/>
  <c r="P1174" i="2"/>
  <c r="P138" i="2"/>
  <c r="P139" i="2"/>
  <c r="P140" i="2"/>
  <c r="P754" i="2"/>
  <c r="P769" i="2"/>
  <c r="P770" i="2"/>
  <c r="P755" i="2"/>
  <c r="P756" i="2"/>
  <c r="P554" i="2"/>
  <c r="P712" i="2"/>
  <c r="P1060" i="2"/>
  <c r="P187" i="2"/>
  <c r="P1051" i="2"/>
  <c r="P672" i="2"/>
  <c r="P691" i="2"/>
  <c r="P543" i="2"/>
  <c r="P1061" i="2"/>
  <c r="P1171" i="2"/>
  <c r="P1172" i="2"/>
  <c r="P1157" i="2"/>
  <c r="P1158" i="2"/>
  <c r="P1159" i="2"/>
  <c r="P89" i="2"/>
  <c r="P90" i="2"/>
  <c r="P91" i="2"/>
  <c r="P92" i="2"/>
  <c r="P1117" i="2"/>
  <c r="P471" i="2"/>
  <c r="P1118" i="2"/>
  <c r="P692" i="2"/>
  <c r="P220" i="2"/>
  <c r="P472" i="2"/>
  <c r="P699" i="2"/>
  <c r="P659" i="2"/>
  <c r="P782" i="2"/>
  <c r="P642" i="2"/>
  <c r="P783" i="2"/>
  <c r="P1000" i="2"/>
  <c r="P905" i="2"/>
  <c r="P108" i="2"/>
  <c r="P109" i="2"/>
  <c r="P784" i="2"/>
  <c r="P735" i="2"/>
  <c r="P736" i="2"/>
  <c r="P737" i="2"/>
  <c r="P651" i="2"/>
  <c r="P1145" i="2"/>
  <c r="P871" i="2"/>
  <c r="P1146" i="2"/>
  <c r="P738" i="2"/>
  <c r="P872" i="2"/>
  <c r="P873" i="2"/>
  <c r="P555" i="2"/>
  <c r="P693" i="2"/>
  <c r="P874" i="2"/>
  <c r="P875" i="2"/>
  <c r="P1069" i="2"/>
  <c r="P221" i="2"/>
  <c r="P694" i="2"/>
  <c r="P267" i="2"/>
  <c r="P222" i="2"/>
  <c r="P223" i="2"/>
  <c r="P936" i="2"/>
  <c r="P273" i="2"/>
  <c r="P158" i="2"/>
  <c r="P159" i="2"/>
  <c r="P424" i="2"/>
  <c r="P425" i="2"/>
  <c r="P426" i="2"/>
  <c r="P523" i="2"/>
  <c r="P524" i="2"/>
  <c r="P427" i="2"/>
  <c r="P906" i="2"/>
  <c r="P525" i="2"/>
  <c r="P526" i="2"/>
  <c r="P268" i="2"/>
  <c r="P968" i="2"/>
  <c r="P969" i="2"/>
  <c r="P970" i="2"/>
  <c r="P1208" i="2"/>
  <c r="P876" i="2"/>
  <c r="P877" i="2"/>
  <c r="P878" i="2"/>
  <c r="P129" i="2"/>
  <c r="P1001" i="2"/>
  <c r="P1002" i="2"/>
  <c r="P1003" i="2"/>
  <c r="P908" i="2"/>
  <c r="P909" i="2"/>
  <c r="P910" i="2"/>
  <c r="P911" i="2"/>
  <c r="P1004" i="2"/>
  <c r="P1005" i="2"/>
  <c r="P1006" i="2"/>
  <c r="P1007" i="2"/>
  <c r="P4" i="2"/>
  <c r="P5" i="2"/>
  <c r="P6" i="2"/>
  <c r="P428" i="2"/>
  <c r="P429" i="2"/>
  <c r="P430" i="2"/>
  <c r="P431" i="2"/>
  <c r="P432" i="2"/>
  <c r="P433" i="2"/>
  <c r="P93" i="2"/>
  <c r="P94" i="2"/>
  <c r="P95" i="2"/>
  <c r="P96" i="2"/>
  <c r="P823" i="2"/>
  <c r="P824" i="2"/>
  <c r="P1062" i="2"/>
  <c r="P1063" i="2"/>
  <c r="P660" i="2"/>
  <c r="P110" i="2"/>
  <c r="P673" i="2"/>
  <c r="P674" i="2"/>
  <c r="P151" i="2"/>
  <c r="P188" i="2"/>
  <c r="P189" i="2"/>
  <c r="P24" i="2"/>
  <c r="P1008" i="2"/>
  <c r="P1009" i="2"/>
  <c r="P434" i="2"/>
  <c r="P435" i="2"/>
  <c r="P436" i="2"/>
  <c r="P703" i="2"/>
  <c r="P437" i="2"/>
  <c r="P438" i="2"/>
  <c r="P439" i="2"/>
  <c r="P641" i="2"/>
  <c r="P829" i="2"/>
  <c r="P440" i="2"/>
  <c r="P830" i="2"/>
  <c r="P831" i="2"/>
  <c r="P1209" i="2"/>
  <c r="P441" i="2"/>
  <c r="P442" i="2"/>
  <c r="P443" i="2"/>
  <c r="P444" i="2"/>
  <c r="P445" i="2"/>
  <c r="P1186" i="2"/>
  <c r="P1187" i="2"/>
  <c r="P1188" i="2"/>
  <c r="P328" i="2"/>
  <c r="P629" i="2"/>
  <c r="P544" i="2"/>
  <c r="P743" i="2"/>
  <c r="P652" i="2"/>
  <c r="P653" i="2"/>
  <c r="P654" i="2"/>
  <c r="P744" i="2"/>
  <c r="P771" i="2"/>
  <c r="N495" i="2"/>
  <c r="N1125" i="2"/>
  <c r="N563" i="2"/>
  <c r="N1085" i="2"/>
  <c r="N666" i="2"/>
  <c r="N700" i="2"/>
  <c r="N190" i="2"/>
  <c r="N773" i="2"/>
  <c r="N774" i="2"/>
  <c r="N811" i="2"/>
  <c r="N509" i="2"/>
  <c r="N775" i="2"/>
  <c r="N1126" i="2"/>
  <c r="N191" i="2"/>
  <c r="N564" i="2"/>
  <c r="N565" i="2"/>
  <c r="N1021" i="2"/>
  <c r="N192" i="2"/>
  <c r="N566" i="2"/>
  <c r="N329" i="2"/>
  <c r="N255" i="2"/>
  <c r="N181" i="2"/>
  <c r="N510" i="2"/>
  <c r="N539" i="2"/>
  <c r="N193" i="2"/>
  <c r="N701" i="2"/>
  <c r="N1127" i="2"/>
  <c r="N567" i="2"/>
  <c r="N1128" i="2"/>
  <c r="N240" i="2"/>
  <c r="N702" i="2"/>
  <c r="N330" i="2"/>
  <c r="N776" i="2"/>
  <c r="N331" i="2"/>
  <c r="N289" i="2"/>
  <c r="N290" i="2"/>
  <c r="N332" i="2"/>
  <c r="N291" i="2"/>
  <c r="N292" i="2"/>
  <c r="N278" i="2"/>
  <c r="N446" i="2"/>
  <c r="N447" i="2"/>
  <c r="N812" i="2"/>
  <c r="N813" i="2"/>
  <c r="N1119" i="2"/>
  <c r="N675" i="2"/>
  <c r="N814" i="2"/>
  <c r="N237" i="2"/>
  <c r="N448" i="2"/>
  <c r="N449" i="2"/>
  <c r="N740" i="2"/>
  <c r="N912" i="2"/>
  <c r="N256" i="2"/>
  <c r="N1120" i="2"/>
  <c r="N706" i="2"/>
  <c r="N971" i="2"/>
  <c r="N1014" i="2"/>
  <c r="N1160" i="2"/>
  <c r="N1047" i="2"/>
  <c r="N815" i="2"/>
  <c r="N50" i="2"/>
  <c r="N51" i="2"/>
  <c r="N52" i="2"/>
  <c r="N630" i="2"/>
  <c r="N631" i="2"/>
  <c r="N676" i="2"/>
  <c r="N157" i="2"/>
  <c r="N238" i="2"/>
  <c r="N326" i="2"/>
  <c r="N757" i="2"/>
  <c r="N1161" i="2"/>
  <c r="N758" i="2"/>
  <c r="N507" i="2"/>
  <c r="N913" i="2"/>
  <c r="N511" i="2"/>
  <c r="N257" i="2"/>
  <c r="N1207" i="2"/>
  <c r="N224" i="2"/>
  <c r="N844" i="2"/>
  <c r="N279" i="2"/>
  <c r="N759" i="2"/>
  <c r="N545" i="2"/>
  <c r="N568" i="2"/>
  <c r="N546" i="2"/>
  <c r="N547" i="2"/>
  <c r="N1114" i="2"/>
  <c r="N840" i="2"/>
  <c r="N475" i="2"/>
  <c r="N53" i="2"/>
  <c r="N54" i="2"/>
  <c r="N55" i="2"/>
  <c r="N333" i="2"/>
  <c r="N334" i="2"/>
  <c r="N335" i="2"/>
  <c r="N569" i="2"/>
  <c r="N512" i="2"/>
  <c r="N570" i="2"/>
  <c r="N571" i="2"/>
  <c r="N1018" i="2"/>
  <c r="N1019" i="2"/>
  <c r="N1129" i="2"/>
  <c r="N1130" i="2"/>
  <c r="N1131" i="2"/>
  <c r="N845" i="2"/>
  <c r="N846" i="2"/>
  <c r="N847" i="2"/>
  <c r="N848" i="2"/>
  <c r="N1044" i="2"/>
  <c r="N1045" i="2"/>
  <c r="N336" i="2"/>
  <c r="N643" i="2"/>
  <c r="N644" i="2"/>
  <c r="N645" i="2"/>
  <c r="N972" i="2"/>
  <c r="N293" i="2"/>
  <c r="N294" i="2"/>
  <c r="N295" i="2"/>
  <c r="N296" i="2"/>
  <c r="N297" i="2"/>
  <c r="N127" i="2"/>
  <c r="N47" i="2"/>
  <c r="N152" i="2"/>
  <c r="N2" i="2"/>
  <c r="N914" i="2"/>
  <c r="N915" i="2"/>
  <c r="N1115" i="2"/>
  <c r="N973" i="2"/>
  <c r="N225" i="2"/>
  <c r="N226" i="2"/>
  <c r="N713" i="2"/>
  <c r="N714" i="2"/>
  <c r="N715" i="2"/>
  <c r="N1210" i="2"/>
  <c r="N889" i="2"/>
  <c r="N890" i="2"/>
  <c r="N337" i="2"/>
  <c r="N891" i="2"/>
  <c r="N892" i="2"/>
  <c r="N548" i="2"/>
  <c r="N338" i="2"/>
  <c r="N974" i="2"/>
  <c r="N741" i="2"/>
  <c r="N450" i="2"/>
  <c r="N234" i="2"/>
  <c r="N270" i="2"/>
  <c r="N280" i="2"/>
  <c r="N1211" i="2"/>
  <c r="N258" i="2"/>
  <c r="N801" i="2"/>
  <c r="N655" i="2"/>
  <c r="N451" i="2"/>
  <c r="N802" i="2"/>
  <c r="N916" i="2"/>
  <c r="N803" i="2"/>
  <c r="N742" i="2"/>
  <c r="N907" i="2"/>
  <c r="N804" i="2"/>
  <c r="N816" i="2"/>
  <c r="N339" i="2"/>
  <c r="N340" i="2"/>
  <c r="N341" i="2"/>
  <c r="N342" i="2"/>
  <c r="N943" i="2"/>
  <c r="N944" i="2"/>
  <c r="N945" i="2"/>
  <c r="N946" i="2"/>
  <c r="N1070" i="2"/>
  <c r="N56" i="2"/>
  <c r="N57" i="2"/>
  <c r="N343" i="2"/>
  <c r="N344" i="2"/>
  <c r="N345" i="2"/>
  <c r="N58" i="2"/>
  <c r="N111" i="2"/>
  <c r="N661" i="2"/>
  <c r="N281" i="2"/>
  <c r="N1052" i="2"/>
  <c r="N1053" i="2"/>
  <c r="N1192" i="2"/>
  <c r="N1193" i="2"/>
  <c r="N274" i="2"/>
  <c r="N27" i="2"/>
  <c r="N772" i="2"/>
  <c r="N572" i="2"/>
  <c r="N573" i="2"/>
  <c r="N574" i="2"/>
  <c r="N125" i="2"/>
  <c r="N153" i="2"/>
  <c r="N154" i="2"/>
  <c r="N155" i="2"/>
  <c r="N1048" i="2"/>
  <c r="N476" i="2"/>
  <c r="N48" i="2"/>
  <c r="N500" i="2"/>
  <c r="N501" i="2"/>
  <c r="N502" i="2"/>
  <c r="N1212" i="2"/>
  <c r="N1213" i="2"/>
  <c r="N528" i="2"/>
  <c r="N529" i="2"/>
  <c r="N530" i="2"/>
  <c r="N531" i="2"/>
  <c r="N1086" i="2"/>
  <c r="N1087" i="2"/>
  <c r="N1088" i="2"/>
  <c r="N1089" i="2"/>
  <c r="N452" i="2"/>
  <c r="N453" i="2"/>
  <c r="N1090" i="2"/>
  <c r="N1091" i="2"/>
  <c r="N1092" i="2"/>
  <c r="N496" i="2"/>
  <c r="N1093" i="2"/>
  <c r="N227" i="2"/>
  <c r="N825" i="2"/>
  <c r="N677" i="2"/>
  <c r="N632" i="2"/>
  <c r="N7" i="2"/>
  <c r="N656" i="2"/>
  <c r="N245" i="2"/>
  <c r="N678" i="2"/>
  <c r="N454" i="2"/>
  <c r="N549" i="2"/>
  <c r="N805" i="2"/>
  <c r="N1094" i="2"/>
  <c r="N228" i="2"/>
  <c r="N777" i="2"/>
  <c r="N455" i="2"/>
  <c r="N887" i="2"/>
  <c r="N1162" i="2"/>
  <c r="N477" i="2"/>
  <c r="N182" i="2"/>
  <c r="N160" i="2"/>
  <c r="N533" i="2"/>
  <c r="N1214" i="2"/>
  <c r="N716" i="2"/>
  <c r="N717" i="2"/>
  <c r="N534" i="2"/>
  <c r="N718" i="2"/>
  <c r="N1215" i="2"/>
  <c r="N346" i="2"/>
  <c r="N347" i="2"/>
  <c r="N348" i="2"/>
  <c r="N349" i="2"/>
  <c r="N350" i="2"/>
  <c r="N351" i="2"/>
  <c r="N352" i="2"/>
  <c r="N535" i="2"/>
  <c r="N787" i="2"/>
  <c r="N788" i="2"/>
  <c r="N789" i="2"/>
  <c r="N790" i="2"/>
  <c r="N959" i="2"/>
  <c r="N953" i="2"/>
  <c r="N849" i="2"/>
  <c r="N850" i="2"/>
  <c r="N536" i="2"/>
  <c r="N1216" i="2"/>
  <c r="N1217" i="2"/>
  <c r="N161" i="2"/>
  <c r="N162" i="2"/>
  <c r="N163" i="2"/>
  <c r="N851" i="2"/>
  <c r="N575" i="2"/>
  <c r="N576" i="2"/>
  <c r="N577" i="2"/>
  <c r="N917" i="2"/>
  <c r="N760" i="2"/>
  <c r="N578" i="2"/>
  <c r="N579" i="2"/>
  <c r="N761" i="2"/>
  <c r="N762" i="2"/>
  <c r="N580" i="2"/>
  <c r="N581" i="2"/>
  <c r="N582" i="2"/>
  <c r="N583" i="2"/>
  <c r="N353" i="2"/>
  <c r="N584" i="2"/>
  <c r="N585" i="2"/>
  <c r="N586" i="2"/>
  <c r="N587" i="2"/>
  <c r="N588" i="2"/>
  <c r="N589" i="2"/>
  <c r="N590" i="2"/>
  <c r="N556" i="2"/>
  <c r="N241" i="2"/>
  <c r="N918" i="2"/>
  <c r="N826" i="2"/>
  <c r="N183" i="2"/>
  <c r="N679" i="2"/>
  <c r="N259" i="2"/>
  <c r="N513" i="2"/>
  <c r="N8" i="2"/>
  <c r="N680" i="2"/>
  <c r="N919" i="2"/>
  <c r="N1121" i="2"/>
  <c r="N9" i="2"/>
  <c r="N514" i="2"/>
  <c r="N515" i="2"/>
  <c r="N112" i="2"/>
  <c r="N633" i="2"/>
  <c r="N354" i="2"/>
  <c r="N591" i="2"/>
  <c r="N592" i="2"/>
  <c r="N1165" i="2"/>
  <c r="N852" i="2"/>
  <c r="N130" i="2"/>
  <c r="N355" i="2"/>
  <c r="N131" i="2"/>
  <c r="N253" i="2"/>
  <c r="N132" i="2"/>
  <c r="N853" i="2"/>
  <c r="N634" i="2"/>
  <c r="N356" i="2"/>
  <c r="N10" i="2"/>
  <c r="N798" i="2"/>
  <c r="N516" i="2"/>
  <c r="N194" i="2"/>
  <c r="N195" i="2"/>
  <c r="N799" i="2"/>
  <c r="N196" i="2"/>
  <c r="N1095" i="2"/>
  <c r="N707" i="2"/>
  <c r="N1096" i="2"/>
  <c r="N960" i="2"/>
  <c r="N478" i="2"/>
  <c r="N809" i="2"/>
  <c r="N184" i="2"/>
  <c r="N593" i="2"/>
  <c r="N594" i="2"/>
  <c r="N595" i="2"/>
  <c r="N596" i="2"/>
  <c r="N1201" i="2"/>
  <c r="N357" i="2"/>
  <c r="N358" i="2"/>
  <c r="N359" i="2"/>
  <c r="N246" i="2"/>
  <c r="N247" i="2"/>
  <c r="N681" i="2"/>
  <c r="N1074" i="2"/>
  <c r="N1218" i="2"/>
  <c r="N682" i="2"/>
  <c r="N1122" i="2"/>
  <c r="N1123" i="2"/>
  <c r="N597" i="2"/>
  <c r="N1219" i="2"/>
  <c r="N1015" i="2"/>
  <c r="N22" i="2"/>
  <c r="N164" i="2"/>
  <c r="N800" i="2"/>
  <c r="N1064" i="2"/>
  <c r="N961" i="2"/>
  <c r="N962" i="2"/>
  <c r="N1065" i="2"/>
  <c r="N260" i="2"/>
  <c r="N165" i="2"/>
  <c r="N1066" i="2"/>
  <c r="N879" i="2"/>
  <c r="N963" i="2"/>
  <c r="N964" i="2"/>
  <c r="N598" i="2"/>
  <c r="N599" i="2"/>
  <c r="N600" i="2"/>
  <c r="N114" i="2"/>
  <c r="N28" i="2"/>
  <c r="N115" i="2"/>
  <c r="N116" i="2"/>
  <c r="N29" i="2"/>
  <c r="N30" i="2"/>
  <c r="N1220" i="2"/>
  <c r="N456" i="2"/>
  <c r="N457" i="2"/>
  <c r="N458" i="2"/>
  <c r="N59" i="2"/>
  <c r="N31" i="2"/>
  <c r="N60" i="2"/>
  <c r="N683" i="2"/>
  <c r="N662" i="2"/>
  <c r="N663" i="2"/>
  <c r="N664" i="2"/>
  <c r="N1221" i="2"/>
  <c r="N360" i="2"/>
  <c r="N361" i="2"/>
  <c r="N362" i="2"/>
  <c r="N363" i="2"/>
  <c r="N364" i="2"/>
  <c r="N365" i="2"/>
  <c r="N282" i="2"/>
  <c r="N145" i="2"/>
  <c r="N146" i="2"/>
  <c r="N366" i="2"/>
  <c r="N367" i="2"/>
  <c r="N368" i="2"/>
  <c r="N369" i="2"/>
  <c r="N937" i="2"/>
  <c r="N938" i="2"/>
  <c r="N1222" i="2"/>
  <c r="N657" i="2"/>
  <c r="N298" i="2"/>
  <c r="N248" i="2"/>
  <c r="N251" i="2"/>
  <c r="N817" i="2"/>
  <c r="N635" i="2"/>
  <c r="N275" i="2"/>
  <c r="N299" i="2"/>
  <c r="N300" i="2"/>
  <c r="N301" i="2"/>
  <c r="N302" i="2"/>
  <c r="N646" i="2"/>
  <c r="N1194" i="2"/>
  <c r="N97" i="2"/>
  <c r="N98" i="2"/>
  <c r="N99" i="2"/>
  <c r="N100" i="2"/>
  <c r="N1124" i="2"/>
  <c r="N1223" i="2"/>
  <c r="N1224" i="2"/>
  <c r="N261" i="2"/>
  <c r="N370" i="2"/>
  <c r="N371" i="2"/>
  <c r="N459" i="2"/>
  <c r="N460" i="2"/>
  <c r="N461" i="2"/>
  <c r="N684" i="2"/>
  <c r="N806" i="2"/>
  <c r="N1097" i="2"/>
  <c r="N1098" i="2"/>
  <c r="N1099" i="2"/>
  <c r="N1100" i="2"/>
  <c r="N1101" i="2"/>
  <c r="N893" i="2"/>
  <c r="N197" i="2"/>
  <c r="N198" i="2"/>
  <c r="N199" i="2"/>
  <c r="N303" i="2"/>
  <c r="N304" i="2"/>
  <c r="N305" i="2"/>
  <c r="N306" i="2"/>
  <c r="N307" i="2"/>
  <c r="N283" i="2"/>
  <c r="N1102" i="2"/>
  <c r="N920" i="2"/>
  <c r="N880" i="2"/>
  <c r="N881" i="2"/>
  <c r="N854" i="2"/>
  <c r="N647" i="2"/>
  <c r="N975" i="2"/>
  <c r="N23" i="2"/>
  <c r="N172" i="2"/>
  <c r="N173" i="2"/>
  <c r="N61" i="2"/>
  <c r="N62" i="2"/>
  <c r="N63" i="2"/>
  <c r="N1075" i="2"/>
  <c r="N174" i="2"/>
  <c r="N1147" i="2"/>
  <c r="N1148" i="2"/>
  <c r="N976" i="2"/>
  <c r="N517" i="2"/>
  <c r="N518" i="2"/>
  <c r="N519" i="2"/>
  <c r="N1225" i="2"/>
  <c r="N479" i="2"/>
  <c r="N480" i="2"/>
  <c r="N481" i="2"/>
  <c r="N855" i="2"/>
  <c r="N229" i="2"/>
  <c r="N482" i="2"/>
  <c r="N483" i="2"/>
  <c r="N921" i="2"/>
  <c r="N484" i="2"/>
  <c r="N485" i="2"/>
  <c r="N922" i="2"/>
  <c r="N1076" i="2"/>
  <c r="N1226" i="2"/>
  <c r="N1077" i="2"/>
  <c r="N1078" i="2"/>
  <c r="N1079" i="2"/>
  <c r="N1080" i="2"/>
  <c r="N856" i="2"/>
  <c r="N171" i="2"/>
  <c r="N102" i="2"/>
  <c r="N894" i="2"/>
  <c r="N601" i="2"/>
  <c r="N602" i="2"/>
  <c r="N603" i="2"/>
  <c r="N923" i="2"/>
  <c r="N462" i="2"/>
  <c r="N64" i="2"/>
  <c r="N65" i="2"/>
  <c r="N1103" i="2"/>
  <c r="N1104" i="2"/>
  <c r="N1105" i="2"/>
  <c r="N1106" i="2"/>
  <c r="N520" i="2"/>
  <c r="N1107" i="2"/>
  <c r="N1108" i="2"/>
  <c r="N1109" i="2"/>
  <c r="N977" i="2"/>
  <c r="N895" i="2"/>
  <c r="N308" i="2"/>
  <c r="N636" i="2"/>
  <c r="N11" i="2"/>
  <c r="N309" i="2"/>
  <c r="N857" i="2"/>
  <c r="N262" i="2"/>
  <c r="N1227" i="2"/>
  <c r="N508" i="2"/>
  <c r="N858" i="2"/>
  <c r="N310" i="2"/>
  <c r="N924" i="2"/>
  <c r="N550" i="2"/>
  <c r="N925" i="2"/>
  <c r="N818" i="2"/>
  <c r="N1022" i="2"/>
  <c r="N249" i="2"/>
  <c r="N1023" i="2"/>
  <c r="N463" i="2"/>
  <c r="N230" i="2"/>
  <c r="N464" i="2"/>
  <c r="N66" i="2"/>
  <c r="N978" i="2"/>
  <c r="N67" i="2"/>
  <c r="N68" i="2"/>
  <c r="N1132" i="2"/>
  <c r="N979" i="2"/>
  <c r="N1010" i="2"/>
  <c r="N896" i="2"/>
  <c r="N897" i="2"/>
  <c r="N537" i="2"/>
  <c r="N1133" i="2"/>
  <c r="N1134" i="2"/>
  <c r="N527" i="2"/>
  <c r="N695" i="2"/>
  <c r="N696" i="2"/>
  <c r="N372" i="2"/>
  <c r="N373" i="2"/>
  <c r="N374" i="2"/>
  <c r="N375" i="2"/>
  <c r="N1043" i="2"/>
  <c r="N376" i="2"/>
  <c r="N377" i="2"/>
  <c r="N1197" i="2"/>
  <c r="N311" i="2"/>
  <c r="N276" i="2"/>
  <c r="N284" i="2"/>
  <c r="N827" i="2"/>
  <c r="N685" i="2"/>
  <c r="N1228" i="2"/>
  <c r="N312" i="2"/>
  <c r="N313" i="2"/>
  <c r="N314" i="2"/>
  <c r="N540" i="2"/>
  <c r="N3" i="2"/>
  <c r="N828" i="2"/>
  <c r="N465" i="2"/>
  <c r="N686" i="2"/>
  <c r="N658" i="2"/>
  <c r="N103" i="2"/>
  <c r="N104" i="2"/>
  <c r="N667" i="2"/>
  <c r="N668" i="2"/>
  <c r="N1020" i="2"/>
  <c r="N669" i="2"/>
  <c r="N497" i="2"/>
  <c r="N498" i="2"/>
  <c r="N250" i="2"/>
  <c r="N185" i="2"/>
  <c r="N1110" i="2"/>
  <c r="N242" i="2"/>
  <c r="N1149" i="2"/>
  <c r="N1150" i="2"/>
  <c r="N778" i="2"/>
  <c r="N779" i="2"/>
  <c r="N780" i="2"/>
  <c r="N781" i="2"/>
  <c r="N882" i="2"/>
  <c r="N378" i="2"/>
  <c r="N12" i="2"/>
  <c r="N13" i="2"/>
  <c r="N379" i="2"/>
  <c r="N101" i="2"/>
  <c r="N32" i="2"/>
  <c r="N33" i="2"/>
  <c r="N980" i="2"/>
  <c r="N981" i="2"/>
  <c r="N69" i="2"/>
  <c r="N70" i="2"/>
  <c r="N71" i="2"/>
  <c r="N72" i="2"/>
  <c r="N1229" i="2"/>
  <c r="N810" i="2"/>
  <c r="N926" i="2"/>
  <c r="N927" i="2"/>
  <c r="N665" i="2"/>
  <c r="N1071" i="2"/>
  <c r="N269" i="2"/>
  <c r="N835" i="2"/>
  <c r="N1163" i="2"/>
  <c r="N1164" i="2"/>
  <c r="N147" i="2"/>
  <c r="N175" i="2"/>
  <c r="N708" i="2"/>
  <c r="N819" i="2"/>
  <c r="N473" i="2"/>
  <c r="N490" i="2"/>
  <c r="N888" i="2"/>
  <c r="N1230" i="2"/>
  <c r="N263" i="2"/>
  <c r="N264" i="2"/>
  <c r="N14" i="2"/>
  <c r="N859" i="2"/>
  <c r="N860" i="2"/>
  <c r="N928" i="2"/>
  <c r="N466" i="2"/>
  <c r="N467" i="2"/>
  <c r="N468" i="2"/>
  <c r="N34" i="2"/>
  <c r="N35" i="2"/>
  <c r="N939" i="2"/>
  <c r="N940" i="2"/>
  <c r="N941" i="2"/>
  <c r="N942" i="2"/>
  <c r="N36" i="2"/>
  <c r="N861" i="2"/>
  <c r="N37" i="2"/>
  <c r="N38" i="2"/>
  <c r="N929" i="2"/>
  <c r="N687" i="2"/>
  <c r="N73" i="2"/>
  <c r="N74" i="2"/>
  <c r="N75" i="2"/>
  <c r="N285" i="2"/>
  <c r="N277" i="2"/>
  <c r="N117" i="2"/>
  <c r="N118" i="2"/>
  <c r="N1231" i="2"/>
  <c r="N807" i="2"/>
  <c r="N982" i="2"/>
  <c r="N648" i="2"/>
  <c r="N983" i="2"/>
  <c r="N649" i="2"/>
  <c r="N650" i="2"/>
  <c r="N1166" i="2"/>
  <c r="N1167" i="2"/>
  <c r="N1168" i="2"/>
  <c r="N1169" i="2"/>
  <c r="N984" i="2"/>
  <c r="N119" i="2"/>
  <c r="N120" i="2"/>
  <c r="N1232" i="2"/>
  <c r="N739" i="2"/>
  <c r="N808" i="2"/>
  <c r="N25" i="2"/>
  <c r="N1072" i="2"/>
  <c r="N862" i="2"/>
  <c r="N1233" i="2"/>
  <c r="N243" i="2"/>
  <c r="N863" i="2"/>
  <c r="N965" i="2"/>
  <c r="N966" i="2"/>
  <c r="N985" i="2"/>
  <c r="N967" i="2"/>
  <c r="N898" i="2"/>
  <c r="N1234" i="2"/>
  <c r="N1198" i="2"/>
  <c r="N1199" i="2"/>
  <c r="N1200" i="2"/>
  <c r="N899" i="2"/>
  <c r="N900" i="2"/>
  <c r="N901" i="2"/>
  <c r="N380" i="2"/>
  <c r="N381" i="2"/>
  <c r="N382" i="2"/>
  <c r="N383" i="2"/>
  <c r="N121" i="2"/>
  <c r="N785" i="2"/>
  <c r="N786" i="2"/>
  <c r="N384" i="2"/>
  <c r="N986" i="2"/>
  <c r="N385" i="2"/>
  <c r="N386" i="2"/>
  <c r="N387" i="2"/>
  <c r="N604" i="2"/>
  <c r="N605" i="2"/>
  <c r="N606" i="2"/>
  <c r="N607" i="2"/>
  <c r="N608" i="2"/>
  <c r="N1024" i="2"/>
  <c r="N1025" i="2"/>
  <c r="N557" i="2"/>
  <c r="N609" i="2"/>
  <c r="N1026" i="2"/>
  <c r="N166" i="2"/>
  <c r="N1027" i="2"/>
  <c r="N1028" i="2"/>
  <c r="N610" i="2"/>
  <c r="N1029" i="2"/>
  <c r="N1030" i="2"/>
  <c r="N558" i="2"/>
  <c r="N611" i="2"/>
  <c r="N612" i="2"/>
  <c r="N1031" i="2"/>
  <c r="N1032" i="2"/>
  <c r="N1033" i="2"/>
  <c r="N1034" i="2"/>
  <c r="N613" i="2"/>
  <c r="N614" i="2"/>
  <c r="N388" i="2"/>
  <c r="N389" i="2"/>
  <c r="N390" i="2"/>
  <c r="N1116" i="2"/>
  <c r="N315" i="2"/>
  <c r="N1235" i="2"/>
  <c r="N391" i="2"/>
  <c r="N559" i="2"/>
  <c r="N392" i="2"/>
  <c r="N393" i="2"/>
  <c r="N316" i="2"/>
  <c r="N317" i="2"/>
  <c r="N560" i="2"/>
  <c r="N561" i="2"/>
  <c r="N318" i="2"/>
  <c r="N394" i="2"/>
  <c r="N395" i="2"/>
  <c r="N396" i="2"/>
  <c r="N615" i="2"/>
  <c r="N1035" i="2"/>
  <c r="N1236" i="2"/>
  <c r="N562" i="2"/>
  <c r="N167" i="2"/>
  <c r="N1036" i="2"/>
  <c r="N1037" i="2"/>
  <c r="N168" i="2"/>
  <c r="N791" i="2"/>
  <c r="N792" i="2"/>
  <c r="N397" i="2"/>
  <c r="N947" i="2"/>
  <c r="N948" i="2"/>
  <c r="N949" i="2"/>
  <c r="N398" i="2"/>
  <c r="N399" i="2"/>
  <c r="N1016" i="2"/>
  <c r="N1017" i="2"/>
  <c r="N616" i="2"/>
  <c r="N617" i="2"/>
  <c r="N532" i="2"/>
  <c r="N618" i="2"/>
  <c r="N200" i="2"/>
  <c r="N1038" i="2"/>
  <c r="N619" i="2"/>
  <c r="N987" i="2"/>
  <c r="N201" i="2"/>
  <c r="N202" i="2"/>
  <c r="N203" i="2"/>
  <c r="N204" i="2"/>
  <c r="N205" i="2"/>
  <c r="N620" i="2"/>
  <c r="N1039" i="2"/>
  <c r="N1040" i="2"/>
  <c r="N1041" i="2"/>
  <c r="N621" i="2"/>
  <c r="N622" i="2"/>
  <c r="N623" i="2"/>
  <c r="N624" i="2"/>
  <c r="N1049" i="2"/>
  <c r="N864" i="2"/>
  <c r="N491" i="2"/>
  <c r="N865" i="2"/>
  <c r="N866" i="2"/>
  <c r="N252" i="2"/>
  <c r="N820" i="2"/>
  <c r="N821" i="2"/>
  <c r="N867" i="2"/>
  <c r="N492" i="2"/>
  <c r="N493" i="2"/>
  <c r="N868" i="2"/>
  <c r="N793" i="2"/>
  <c r="N930" i="2"/>
  <c r="N794" i="2"/>
  <c r="N795" i="2"/>
  <c r="N796" i="2"/>
  <c r="N988" i="2"/>
  <c r="N869" i="2"/>
  <c r="N1135" i="2"/>
  <c r="N870" i="2"/>
  <c r="N1237" i="2"/>
  <c r="N989" i="2"/>
  <c r="N1238" i="2"/>
  <c r="N745" i="2"/>
  <c r="N797" i="2"/>
  <c r="N990" i="2"/>
  <c r="N474" i="2"/>
  <c r="N1067" i="2"/>
  <c r="N746" i="2"/>
  <c r="N271" i="2"/>
  <c r="N822" i="2"/>
  <c r="N1239" i="2"/>
  <c r="N1195" i="2"/>
  <c r="N931" i="2"/>
  <c r="N1189" i="2"/>
  <c r="N1190" i="2"/>
  <c r="N1191" i="2"/>
  <c r="N141" i="2"/>
  <c r="N747" i="2"/>
  <c r="N637" i="2"/>
  <c r="N748" i="2"/>
  <c r="N749" i="2"/>
  <c r="N43" i="2"/>
  <c r="N176" i="2"/>
  <c r="N231" i="2"/>
  <c r="N177" i="2"/>
  <c r="N286" i="2"/>
  <c r="N232" i="2"/>
  <c r="N76" i="2"/>
  <c r="N719" i="2"/>
  <c r="N720" i="2"/>
  <c r="N400" i="2"/>
  <c r="N401" i="2"/>
  <c r="N49" i="2"/>
  <c r="N721" i="2"/>
  <c r="N722" i="2"/>
  <c r="N723" i="2"/>
  <c r="N724" i="2"/>
  <c r="N725" i="2"/>
  <c r="N726" i="2"/>
  <c r="N1240" i="2"/>
  <c r="N77" i="2"/>
  <c r="N402" i="2"/>
  <c r="N954" i="2"/>
  <c r="N832" i="2"/>
  <c r="N833" i="2"/>
  <c r="N148" i="2"/>
  <c r="N149" i="2"/>
  <c r="N150" i="2"/>
  <c r="N1046" i="2"/>
  <c r="N39" i="2"/>
  <c r="N40" i="2"/>
  <c r="N991" i="2"/>
  <c r="N763" i="2"/>
  <c r="N1084" i="2"/>
  <c r="N186" i="2"/>
  <c r="N932" i="2"/>
  <c r="N15" i="2"/>
  <c r="N126" i="2"/>
  <c r="N469" i="2"/>
  <c r="N113" i="2"/>
  <c r="N1011" i="2"/>
  <c r="N1012" i="2"/>
  <c r="N992" i="2"/>
  <c r="N1013" i="2"/>
  <c r="N16" i="2"/>
  <c r="N133" i="2"/>
  <c r="N206" i="2"/>
  <c r="N207" i="2"/>
  <c r="N208" i="2"/>
  <c r="N209" i="2"/>
  <c r="N688" i="2"/>
  <c r="N993" i="2"/>
  <c r="N499" i="2"/>
  <c r="N169" i="2"/>
  <c r="N254" i="2"/>
  <c r="N235" i="2"/>
  <c r="N902" i="2"/>
  <c r="N170" i="2"/>
  <c r="N625" i="2"/>
  <c r="N134" i="2"/>
  <c r="N689" i="2"/>
  <c r="N638" i="2"/>
  <c r="N470" i="2"/>
  <c r="N135" i="2"/>
  <c r="N265" i="2"/>
  <c r="N17" i="2"/>
  <c r="N903" i="2"/>
  <c r="N233" i="2"/>
  <c r="N933" i="2"/>
  <c r="N934" i="2"/>
  <c r="N210" i="2"/>
  <c r="N211" i="2"/>
  <c r="N78" i="2"/>
  <c r="N79" i="2"/>
  <c r="N266" i="2"/>
  <c r="N994" i="2"/>
  <c r="N80" i="2"/>
  <c r="N236" i="2"/>
  <c r="N704" i="2"/>
  <c r="N705" i="2"/>
  <c r="N538" i="2"/>
  <c r="N764" i="2"/>
  <c r="N1178" i="2"/>
  <c r="N1179" i="2"/>
  <c r="N1180" i="2"/>
  <c r="N1181" i="2"/>
  <c r="N1081" i="2"/>
  <c r="N1082" i="2"/>
  <c r="N1083" i="2"/>
  <c r="N287" i="2"/>
  <c r="N486" i="2"/>
  <c r="N487" i="2"/>
  <c r="N142" i="2"/>
  <c r="N836" i="2"/>
  <c r="N244" i="2"/>
  <c r="N1241" i="2"/>
  <c r="N1202" i="2"/>
  <c r="N1203" i="2"/>
  <c r="N1204" i="2"/>
  <c r="N1205" i="2"/>
  <c r="N1242" i="2"/>
  <c r="N1243" i="2"/>
  <c r="N626" i="2"/>
  <c r="N627" i="2"/>
  <c r="N628" i="2"/>
  <c r="N1244" i="2"/>
  <c r="N272" i="2"/>
  <c r="N128" i="2"/>
  <c r="N239" i="2"/>
  <c r="N143" i="2"/>
  <c r="N551" i="2"/>
  <c r="N552" i="2"/>
  <c r="N935" i="2"/>
  <c r="N44" i="2"/>
  <c r="N904" i="2"/>
  <c r="N709" i="2"/>
  <c r="N144" i="2"/>
  <c r="N488" i="2"/>
  <c r="N553" i="2"/>
  <c r="N710" i="2"/>
  <c r="N711" i="2"/>
  <c r="N489" i="2"/>
  <c r="N81" i="2"/>
  <c r="N82" i="2"/>
  <c r="N83" i="2"/>
  <c r="N84" i="2"/>
  <c r="N1182" i="2"/>
  <c r="N1183" i="2"/>
  <c r="N1184" i="2"/>
  <c r="N1185" i="2"/>
  <c r="N503" i="2"/>
  <c r="N504" i="2"/>
  <c r="N955" i="2"/>
  <c r="N505" i="2"/>
  <c r="N506" i="2"/>
  <c r="N1175" i="2"/>
  <c r="N1176" i="2"/>
  <c r="N1177" i="2"/>
  <c r="N995" i="2"/>
  <c r="N727" i="2"/>
  <c r="N728" i="2"/>
  <c r="N750" i="2"/>
  <c r="N729" i="2"/>
  <c r="N730" i="2"/>
  <c r="N731" i="2"/>
  <c r="N319" i="2"/>
  <c r="N320" i="2"/>
  <c r="N321" i="2"/>
  <c r="N322" i="2"/>
  <c r="N751" i="2"/>
  <c r="N752" i="2"/>
  <c r="N732" i="2"/>
  <c r="N733" i="2"/>
  <c r="N753" i="2"/>
  <c r="N734" i="2"/>
  <c r="N1245" i="2"/>
  <c r="N212" i="2"/>
  <c r="N213" i="2"/>
  <c r="N214" i="2"/>
  <c r="N215" i="2"/>
  <c r="N996" i="2"/>
  <c r="N1246" i="2"/>
  <c r="N1054" i="2"/>
  <c r="N1055" i="2"/>
  <c r="N997" i="2"/>
  <c r="N1056" i="2"/>
  <c r="N697" i="2"/>
  <c r="N698" i="2"/>
  <c r="N178" i="2"/>
  <c r="N179" i="2"/>
  <c r="N180" i="2"/>
  <c r="N670" i="2"/>
  <c r="N998" i="2"/>
  <c r="N837" i="2"/>
  <c r="N838" i="2"/>
  <c r="N839" i="2"/>
  <c r="N136" i="2"/>
  <c r="N137" i="2"/>
  <c r="N1247" i="2"/>
  <c r="N1111" i="2"/>
  <c r="N1112" i="2"/>
  <c r="N18" i="2"/>
  <c r="N1113" i="2"/>
  <c r="N1196" i="2"/>
  <c r="N1136" i="2"/>
  <c r="N1137" i="2"/>
  <c r="N403" i="2"/>
  <c r="N404" i="2"/>
  <c r="N405" i="2"/>
  <c r="N883" i="2"/>
  <c r="N41" i="2"/>
  <c r="N42" i="2"/>
  <c r="N1050" i="2"/>
  <c r="N950" i="2"/>
  <c r="N951" i="2"/>
  <c r="N952" i="2"/>
  <c r="N884" i="2"/>
  <c r="N885" i="2"/>
  <c r="N886" i="2"/>
  <c r="N19" i="2"/>
  <c r="N122" i="2"/>
  <c r="N494" i="2"/>
  <c r="N20" i="2"/>
  <c r="N541" i="2"/>
  <c r="N406" i="2"/>
  <c r="N107" i="2"/>
  <c r="N407" i="2"/>
  <c r="N542" i="2"/>
  <c r="N45" i="2"/>
  <c r="N1068" i="2"/>
  <c r="N639" i="2"/>
  <c r="N521" i="2"/>
  <c r="N690" i="2"/>
  <c r="N522" i="2"/>
  <c r="N999" i="2"/>
  <c r="N105" i="2"/>
  <c r="N1057" i="2"/>
  <c r="N106" i="2"/>
  <c r="N765" i="2"/>
  <c r="N327" i="2"/>
  <c r="N1058" i="2"/>
  <c r="N21" i="2"/>
  <c r="N156" i="2"/>
  <c r="N671" i="2"/>
  <c r="N46" i="2"/>
  <c r="N640" i="2"/>
  <c r="N1059" i="2"/>
  <c r="N408" i="2"/>
  <c r="N409" i="2"/>
  <c r="N841" i="2"/>
  <c r="N842" i="2"/>
  <c r="N843" i="2"/>
  <c r="N123" i="2"/>
  <c r="N124" i="2"/>
  <c r="N410" i="2"/>
  <c r="N411" i="2"/>
  <c r="N412" i="2"/>
  <c r="N323" i="2"/>
  <c r="N324" i="2"/>
  <c r="N325" i="2"/>
  <c r="N1151" i="2"/>
  <c r="N1152" i="2"/>
  <c r="N1153" i="2"/>
  <c r="N1248" i="2"/>
  <c r="N85" i="2"/>
  <c r="N86" i="2"/>
  <c r="N87" i="2"/>
  <c r="N88" i="2"/>
  <c r="N1154" i="2"/>
  <c r="N1155" i="2"/>
  <c r="N1156" i="2"/>
  <c r="N413" i="2"/>
  <c r="N414" i="2"/>
  <c r="N1138" i="2"/>
  <c r="N1139" i="2"/>
  <c r="N1140" i="2"/>
  <c r="N1141" i="2"/>
  <c r="N216" i="2"/>
  <c r="N766" i="2"/>
  <c r="N217" i="2"/>
  <c r="N767" i="2"/>
  <c r="N415" i="2"/>
  <c r="N416" i="2"/>
  <c r="N218" i="2"/>
  <c r="N219" i="2"/>
  <c r="N1249" i="2"/>
  <c r="N417" i="2"/>
  <c r="N418" i="2"/>
  <c r="N1170" i="2"/>
  <c r="N419" i="2"/>
  <c r="N420" i="2"/>
  <c r="N421" i="2"/>
  <c r="N1142" i="2"/>
  <c r="N422" i="2"/>
  <c r="N423" i="2"/>
  <c r="N1206" i="2"/>
  <c r="N1143" i="2"/>
  <c r="N1144" i="2"/>
  <c r="N768" i="2"/>
  <c r="N956" i="2"/>
  <c r="N1250" i="2"/>
  <c r="N1173" i="2"/>
  <c r="N1174" i="2"/>
  <c r="N138" i="2"/>
  <c r="N139" i="2"/>
  <c r="N140" i="2"/>
  <c r="N754" i="2"/>
  <c r="N957" i="2"/>
  <c r="N769" i="2"/>
  <c r="N770" i="2"/>
  <c r="N755" i="2"/>
  <c r="N756" i="2"/>
  <c r="N554" i="2"/>
  <c r="N712" i="2"/>
  <c r="N1060" i="2"/>
  <c r="N187" i="2"/>
  <c r="N1051" i="2"/>
  <c r="N672" i="2"/>
  <c r="N691" i="2"/>
  <c r="N543" i="2"/>
  <c r="N1061" i="2"/>
  <c r="N1171" i="2"/>
  <c r="N1172" i="2"/>
  <c r="N1157" i="2"/>
  <c r="N1158" i="2"/>
  <c r="N1159" i="2"/>
  <c r="N89" i="2"/>
  <c r="N90" i="2"/>
  <c r="N91" i="2"/>
  <c r="N92" i="2"/>
  <c r="N1117" i="2"/>
  <c r="N471" i="2"/>
  <c r="N1118" i="2"/>
  <c r="N692" i="2"/>
  <c r="N220" i="2"/>
  <c r="N472" i="2"/>
  <c r="N699" i="2"/>
  <c r="N659" i="2"/>
  <c r="N1251" i="2"/>
  <c r="N782" i="2"/>
  <c r="N1252" i="2"/>
  <c r="N642" i="2"/>
  <c r="N783" i="2"/>
  <c r="N1000" i="2"/>
  <c r="N905" i="2"/>
  <c r="N108" i="2"/>
  <c r="N109" i="2"/>
  <c r="N784" i="2"/>
  <c r="N735" i="2"/>
  <c r="N736" i="2"/>
  <c r="N737" i="2"/>
  <c r="N1253" i="2"/>
  <c r="N651" i="2"/>
  <c r="N1145" i="2"/>
  <c r="N871" i="2"/>
  <c r="N1146" i="2"/>
  <c r="N738" i="2"/>
  <c r="N872" i="2"/>
  <c r="N873" i="2"/>
  <c r="N555" i="2"/>
  <c r="N693" i="2"/>
  <c r="N874" i="2"/>
  <c r="N875" i="2"/>
  <c r="N1069" i="2"/>
  <c r="N221" i="2"/>
  <c r="N694" i="2"/>
  <c r="N267" i="2"/>
  <c r="N222" i="2"/>
  <c r="N1254" i="2"/>
  <c r="N223" i="2"/>
  <c r="N936" i="2"/>
  <c r="N273" i="2"/>
  <c r="N1255" i="2"/>
  <c r="N288" i="2"/>
  <c r="N158" i="2"/>
  <c r="N159" i="2"/>
  <c r="N958" i="2"/>
  <c r="N1256" i="2"/>
  <c r="N424" i="2"/>
  <c r="N425" i="2"/>
  <c r="N426" i="2"/>
  <c r="N1257" i="2"/>
  <c r="N523" i="2"/>
  <c r="N524" i="2"/>
  <c r="N427" i="2"/>
  <c r="N906" i="2"/>
  <c r="N525" i="2"/>
  <c r="N526" i="2"/>
  <c r="N268" i="2"/>
  <c r="N834" i="2"/>
  <c r="N1258" i="2"/>
  <c r="N968" i="2"/>
  <c r="N969" i="2"/>
  <c r="N970" i="2"/>
  <c r="N1208" i="2"/>
  <c r="N876" i="2"/>
  <c r="N877" i="2"/>
  <c r="N878" i="2"/>
  <c r="N129" i="2"/>
  <c r="N1259" i="2"/>
  <c r="N1001" i="2"/>
  <c r="N1002" i="2"/>
  <c r="N1003" i="2"/>
  <c r="N908" i="2"/>
  <c r="N909" i="2"/>
  <c r="N910" i="2"/>
  <c r="N911" i="2"/>
  <c r="N1004" i="2"/>
  <c r="N1005" i="2"/>
  <c r="N1006" i="2"/>
  <c r="N1007" i="2"/>
  <c r="N4" i="2"/>
  <c r="N5" i="2"/>
  <c r="N6" i="2"/>
  <c r="N1260" i="2"/>
  <c r="N428" i="2"/>
  <c r="N429" i="2"/>
  <c r="N430" i="2"/>
  <c r="N431" i="2"/>
  <c r="N432" i="2"/>
  <c r="N433" i="2"/>
  <c r="N93" i="2"/>
  <c r="N94" i="2"/>
  <c r="N95" i="2"/>
  <c r="N96" i="2"/>
  <c r="N823" i="2"/>
  <c r="N824" i="2"/>
  <c r="N1062" i="2"/>
  <c r="N1063" i="2"/>
  <c r="N660" i="2"/>
  <c r="N110" i="2"/>
  <c r="N673" i="2"/>
  <c r="N674" i="2"/>
  <c r="N151" i="2"/>
  <c r="N1261" i="2"/>
  <c r="N188" i="2"/>
  <c r="N189" i="2"/>
  <c r="N24" i="2"/>
  <c r="N1008" i="2"/>
  <c r="N1009" i="2"/>
  <c r="N434" i="2"/>
  <c r="N435" i="2"/>
  <c r="N436" i="2"/>
  <c r="N1262" i="2"/>
  <c r="N703" i="2"/>
  <c r="N437" i="2"/>
  <c r="N438" i="2"/>
  <c r="N439" i="2"/>
  <c r="N641" i="2"/>
  <c r="N1263" i="2"/>
  <c r="N829" i="2"/>
  <c r="N440" i="2"/>
  <c r="N830" i="2"/>
  <c r="N831" i="2"/>
  <c r="N1209" i="2"/>
  <c r="N1264" i="2"/>
  <c r="N441" i="2"/>
  <c r="N442" i="2"/>
  <c r="N443" i="2"/>
  <c r="N444" i="2"/>
  <c r="N445" i="2"/>
  <c r="N1186" i="2"/>
  <c r="N1187" i="2"/>
  <c r="N1188" i="2"/>
  <c r="N1265" i="2"/>
  <c r="N328" i="2"/>
  <c r="N629" i="2"/>
  <c r="N544" i="2"/>
  <c r="N1266" i="2"/>
  <c r="N743" i="2"/>
  <c r="N652" i="2"/>
  <c r="N653" i="2"/>
  <c r="N654" i="2"/>
  <c r="N744" i="2"/>
  <c r="N771" i="2"/>
  <c r="N26" i="2"/>
  <c r="N1073" i="2"/>
  <c r="N1267" i="2"/>
  <c r="N1042" i="2"/>
  <c r="H36" i="3" l="1"/>
  <c r="H103" i="3"/>
  <c r="H51" i="3"/>
  <c r="H5" i="3"/>
  <c r="H78" i="3"/>
  <c r="H79" i="3"/>
  <c r="H71" i="3"/>
  <c r="H47" i="3"/>
  <c r="H108" i="3"/>
  <c r="H19" i="3"/>
  <c r="H75" i="3"/>
  <c r="H57" i="3"/>
  <c r="H101" i="3"/>
  <c r="H87" i="3"/>
  <c r="H50" i="3"/>
  <c r="H122" i="3"/>
  <c r="H29" i="3"/>
  <c r="H62" i="3"/>
  <c r="H118" i="3"/>
  <c r="H60" i="3"/>
  <c r="H111" i="3"/>
  <c r="H17" i="3"/>
  <c r="H39" i="3"/>
  <c r="H61" i="3"/>
  <c r="H64" i="3"/>
  <c r="H20" i="3"/>
  <c r="H123" i="3"/>
  <c r="H6" i="3"/>
  <c r="H21" i="3"/>
  <c r="H72" i="3"/>
  <c r="H119" i="3"/>
  <c r="H77" i="3"/>
  <c r="H66" i="3"/>
  <c r="H24" i="3"/>
  <c r="H38" i="3"/>
  <c r="H81" i="3"/>
  <c r="H110" i="3"/>
  <c r="H127" i="3"/>
  <c r="H9" i="3"/>
  <c r="H114" i="3"/>
  <c r="H11" i="3"/>
  <c r="H129" i="3"/>
  <c r="H7" i="3"/>
  <c r="H3" i="3"/>
  <c r="H15" i="3"/>
  <c r="H45" i="3"/>
  <c r="H126" i="3"/>
  <c r="H67" i="3"/>
  <c r="H59" i="3"/>
  <c r="H56" i="3"/>
  <c r="H30" i="3"/>
  <c r="H65" i="3"/>
  <c r="H125" i="3"/>
  <c r="H91" i="3"/>
  <c r="H33" i="3"/>
  <c r="H74" i="3"/>
  <c r="H31" i="3"/>
  <c r="H69" i="3"/>
  <c r="H68" i="3"/>
  <c r="H99" i="3"/>
  <c r="H117" i="3"/>
  <c r="H73" i="3"/>
  <c r="H41" i="3"/>
  <c r="H107" i="3"/>
  <c r="H46" i="3"/>
  <c r="H8" i="3"/>
  <c r="H63" i="3"/>
  <c r="H52" i="3"/>
  <c r="H88" i="3"/>
  <c r="H84" i="3"/>
  <c r="H124" i="3"/>
  <c r="H96" i="3"/>
  <c r="H13" i="3"/>
  <c r="H10" i="3"/>
  <c r="H128" i="3"/>
  <c r="H94" i="3"/>
  <c r="H26" i="3"/>
  <c r="H54" i="3"/>
  <c r="H105" i="3"/>
  <c r="H115" i="3"/>
  <c r="H102" i="3"/>
  <c r="H58" i="3"/>
  <c r="H42" i="3"/>
  <c r="H106" i="3"/>
  <c r="H14" i="3"/>
  <c r="H34" i="3"/>
  <c r="H85" i="3"/>
  <c r="H104" i="3"/>
  <c r="H44" i="3"/>
  <c r="H116" i="3"/>
  <c r="H43" i="3"/>
  <c r="H37" i="3"/>
  <c r="H25" i="3"/>
  <c r="H32" i="3"/>
  <c r="H92" i="3"/>
  <c r="H86" i="3"/>
  <c r="H90" i="3"/>
  <c r="H100" i="3"/>
  <c r="H93" i="3"/>
  <c r="H53" i="3"/>
  <c r="H27" i="3"/>
  <c r="H83" i="3"/>
  <c r="H113" i="3"/>
  <c r="H76" i="3"/>
  <c r="H120" i="3"/>
  <c r="H23" i="3"/>
  <c r="H40" i="3"/>
  <c r="H4" i="3"/>
  <c r="H16" i="3"/>
  <c r="H89" i="3"/>
  <c r="H49" i="3"/>
  <c r="H82" i="3"/>
  <c r="H12" i="3"/>
  <c r="H98" i="3"/>
  <c r="H97" i="3"/>
  <c r="H95" i="3"/>
  <c r="H55" i="3"/>
  <c r="H35" i="3"/>
  <c r="H121" i="3"/>
  <c r="H109" i="3"/>
  <c r="H80" i="3"/>
  <c r="H18" i="3"/>
  <c r="H28" i="3"/>
</calcChain>
</file>

<file path=xl/sharedStrings.xml><?xml version="1.0" encoding="utf-8"?>
<sst xmlns="http://schemas.openxmlformats.org/spreadsheetml/2006/main" count="22071" uniqueCount="457">
  <si>
    <t>#</t>
  </si>
  <si>
    <t>Document Number</t>
  </si>
  <si>
    <t>Numerator</t>
  </si>
  <si>
    <t>Mobile</t>
  </si>
  <si>
    <t>Creation Date</t>
  </si>
  <si>
    <t>Customer/Vendor Code</t>
  </si>
  <si>
    <t>Customer/Vendor Name</t>
  </si>
  <si>
    <t>BPChannel</t>
  </si>
  <si>
    <t>Item Sub Group</t>
  </si>
  <si>
    <t>Inventory UoM</t>
  </si>
  <si>
    <t>Quantity</t>
  </si>
  <si>
    <t>SPC Quantity M2</t>
  </si>
  <si>
    <t>Cancel Status</t>
  </si>
  <si>
    <t>09131616215</t>
  </si>
  <si>
    <t>2026/08/23</t>
  </si>
  <si>
    <t>20000088</t>
  </si>
  <si>
    <t>مرتضی دقاقی</t>
  </si>
  <si>
    <t>B2W</t>
  </si>
  <si>
    <t>موکت</t>
  </si>
  <si>
    <t>مترمربع</t>
  </si>
  <si>
    <t>Delivery</t>
  </si>
  <si>
    <t>09177159314</t>
  </si>
  <si>
    <t>20000074</t>
  </si>
  <si>
    <t>علیرضا الوانچی</t>
  </si>
  <si>
    <t>کالیته</t>
  </si>
  <si>
    <t>بسته</t>
  </si>
  <si>
    <t>09133596911</t>
  </si>
  <si>
    <t>20001232</t>
  </si>
  <si>
    <t>محمدهادی دهقان هراتی</t>
  </si>
  <si>
    <t>09161186344</t>
  </si>
  <si>
    <t>20000120</t>
  </si>
  <si>
    <t>شهرام مقدم</t>
  </si>
  <si>
    <t>09126002426</t>
  </si>
  <si>
    <t>20000140</t>
  </si>
  <si>
    <t>محسن خراسانی</t>
  </si>
  <si>
    <t>پادری</t>
  </si>
  <si>
    <t>09189273078</t>
  </si>
  <si>
    <t>20001222</t>
  </si>
  <si>
    <t>بهروز نوره</t>
  </si>
  <si>
    <t>09017801145</t>
  </si>
  <si>
    <t>20000125</t>
  </si>
  <si>
    <t>پازیرتزیین رشت (ابوالحسن خسته دل)</t>
  </si>
  <si>
    <t>09173751074</t>
  </si>
  <si>
    <t>20000132</t>
  </si>
  <si>
    <t>حمید میرشکاری(حبیب میرشکاری)</t>
  </si>
  <si>
    <t>09121061239</t>
  </si>
  <si>
    <t>20000045</t>
  </si>
  <si>
    <t>مهدی اکبری نصیری</t>
  </si>
  <si>
    <t>09132775393</t>
  </si>
  <si>
    <t>20000150</t>
  </si>
  <si>
    <t>عباس وطن خواه</t>
  </si>
  <si>
    <t>BCF-PP</t>
  </si>
  <si>
    <t>کیلوگرم</t>
  </si>
  <si>
    <t>09188744829</t>
  </si>
  <si>
    <t>20000172</t>
  </si>
  <si>
    <t>محمد صادق فلاتی</t>
  </si>
  <si>
    <t>09181718243</t>
  </si>
  <si>
    <t>20000095</t>
  </si>
  <si>
    <t>خالد ذوالفقاری</t>
  </si>
  <si>
    <t>Pack20</t>
  </si>
  <si>
    <t>09123403226</t>
  </si>
  <si>
    <t>20000349</t>
  </si>
  <si>
    <t>بیتا بخشی دزفولی</t>
  </si>
  <si>
    <t>SPC PACK</t>
  </si>
  <si>
    <t>Pack 1.77 8Ea</t>
  </si>
  <si>
    <t>09111434182</t>
  </si>
  <si>
    <t>20000060</t>
  </si>
  <si>
    <t>حسن فراسمی</t>
  </si>
  <si>
    <t>09224765272</t>
  </si>
  <si>
    <t>20000043</t>
  </si>
  <si>
    <t>عباس شیخ زاده - دنیای فرش</t>
  </si>
  <si>
    <t>09113153639</t>
  </si>
  <si>
    <t>20000114</t>
  </si>
  <si>
    <t>نساجی به نخ گستر شمال (مهدی امامی)</t>
  </si>
  <si>
    <t>عدد</t>
  </si>
  <si>
    <t>09188156563</t>
  </si>
  <si>
    <t>20000049</t>
  </si>
  <si>
    <t>آرش غفاری</t>
  </si>
  <si>
    <t>09141538165</t>
  </si>
  <si>
    <t>20000805</t>
  </si>
  <si>
    <t>رضا کریم اللهی</t>
  </si>
  <si>
    <t>2026/08/24</t>
  </si>
  <si>
    <t>09123869198</t>
  </si>
  <si>
    <t>20000065</t>
  </si>
  <si>
    <t>دنیای تجارت زیبا (بهروز اسدی اربابی)</t>
  </si>
  <si>
    <t>09113703878</t>
  </si>
  <si>
    <t>20000105</t>
  </si>
  <si>
    <t>جبار دوگونچی</t>
  </si>
  <si>
    <t>کفپوش</t>
  </si>
  <si>
    <t>چمن مصنوعی</t>
  </si>
  <si>
    <t>فرش گونه</t>
  </si>
  <si>
    <t>لمینت</t>
  </si>
  <si>
    <t>09108090754</t>
  </si>
  <si>
    <t>20000079</t>
  </si>
  <si>
    <t>زاهد ادوایی</t>
  </si>
  <si>
    <t>09188121481</t>
  </si>
  <si>
    <t>20001229</t>
  </si>
  <si>
    <t>مهدی سلیمانی</t>
  </si>
  <si>
    <t>09189811401</t>
  </si>
  <si>
    <t>20000128</t>
  </si>
  <si>
    <t>عباس مروت</t>
  </si>
  <si>
    <t>09177146928</t>
  </si>
  <si>
    <t>20000266</t>
  </si>
  <si>
    <t>انیس ده موبدی</t>
  </si>
  <si>
    <t>09907391493</t>
  </si>
  <si>
    <t>20000048</t>
  </si>
  <si>
    <t>حمید گنجعلی خانی</t>
  </si>
  <si>
    <t>09359917008</t>
  </si>
  <si>
    <t>20000142</t>
  </si>
  <si>
    <t>مطلب طالبی</t>
  </si>
  <si>
    <t>09167121800</t>
  </si>
  <si>
    <t>20000224</t>
  </si>
  <si>
    <t>پیام حاتمی</t>
  </si>
  <si>
    <t>09111545839</t>
  </si>
  <si>
    <t>20000136</t>
  </si>
  <si>
    <t>محمد علی ابراهیمی</t>
  </si>
  <si>
    <t>09021359904</t>
  </si>
  <si>
    <t>20000242</t>
  </si>
  <si>
    <t>اهورا پود ماهان (مجتبی کریمی)</t>
  </si>
  <si>
    <t>09168186107</t>
  </si>
  <si>
    <t>20001308</t>
  </si>
  <si>
    <t>میلاد درویشی</t>
  </si>
  <si>
    <t>09301828545</t>
  </si>
  <si>
    <t>20000979</t>
  </si>
  <si>
    <t>شرکت سپنتمان</t>
  </si>
  <si>
    <t>09122886748</t>
  </si>
  <si>
    <t>2026/08/25</t>
  </si>
  <si>
    <t>20000010</t>
  </si>
  <si>
    <t>فرادید رها(شهرام صلح میرزایی)</t>
  </si>
  <si>
    <t>09171982686</t>
  </si>
  <si>
    <t>20000121</t>
  </si>
  <si>
    <t>حسین سلمانی</t>
  </si>
  <si>
    <t>09112709122</t>
  </si>
  <si>
    <t>20000031</t>
  </si>
  <si>
    <t>محمد علی میقانی نژاد</t>
  </si>
  <si>
    <t>موکت نمدی</t>
  </si>
  <si>
    <t>09351687371</t>
  </si>
  <si>
    <t>20000145</t>
  </si>
  <si>
    <t>غلامرضا روایی(مصطفی روایی)</t>
  </si>
  <si>
    <t>09121001930</t>
  </si>
  <si>
    <t>20000093</t>
  </si>
  <si>
    <t>مهدی ذاکر زاده</t>
  </si>
  <si>
    <t>20001589</t>
  </si>
  <si>
    <t>نمایندگی الوانچی(محمدرضا الوانچی)</t>
  </si>
  <si>
    <t>09121080808</t>
  </si>
  <si>
    <t>20000047</t>
  </si>
  <si>
    <t>محسن مصطفایی</t>
  </si>
  <si>
    <t>09125657543</t>
  </si>
  <si>
    <t>20000183</t>
  </si>
  <si>
    <t>رضا حسین ساریخانی</t>
  </si>
  <si>
    <t>09124310140</t>
  </si>
  <si>
    <t>20000518</t>
  </si>
  <si>
    <t>امیر آقایی</t>
  </si>
  <si>
    <t>09147703634</t>
  </si>
  <si>
    <t>20001246</t>
  </si>
  <si>
    <t>بهراد نجفی آقزیارت(براتعلی نجفی آقزیارت)</t>
  </si>
  <si>
    <t>09121727320</t>
  </si>
  <si>
    <t>20000112</t>
  </si>
  <si>
    <t>حسن گلزاری</t>
  </si>
  <si>
    <t>09033952047</t>
  </si>
  <si>
    <t>20000118</t>
  </si>
  <si>
    <t>محمد حسین بیدار بخت(سعید بیدار بخت)</t>
  </si>
  <si>
    <t>09121826803</t>
  </si>
  <si>
    <t>20001224</t>
  </si>
  <si>
    <t>کریم طهماسبی</t>
  </si>
  <si>
    <t>09394160993</t>
  </si>
  <si>
    <t>20000184</t>
  </si>
  <si>
    <t>سید رضا حسینی</t>
  </si>
  <si>
    <t>09366769020</t>
  </si>
  <si>
    <t>20000176</t>
  </si>
  <si>
    <t>آرش ایرانپور</t>
  </si>
  <si>
    <t>09143013314</t>
  </si>
  <si>
    <t>20001619</t>
  </si>
  <si>
    <t>جواد  باقری افشرد</t>
  </si>
  <si>
    <t>09166612445</t>
  </si>
  <si>
    <t>20000084</t>
  </si>
  <si>
    <t>محسن رشیدی</t>
  </si>
  <si>
    <t>2026/08/26</t>
  </si>
  <si>
    <t>09188114108</t>
  </si>
  <si>
    <t>20000899</t>
  </si>
  <si>
    <t>بهرنگ مضیفیان</t>
  </si>
  <si>
    <t>09369389047</t>
  </si>
  <si>
    <t>20000021</t>
  </si>
  <si>
    <t>محمد علی بیگزاده</t>
  </si>
  <si>
    <t>09124631828</t>
  </si>
  <si>
    <t>20000123</t>
  </si>
  <si>
    <t>علی محمدی (کریم محمدی)</t>
  </si>
  <si>
    <t>09107606714</t>
  </si>
  <si>
    <t>20000260</t>
  </si>
  <si>
    <t>پژمان فرودی قاسم آبادی (افشین اکرمی)</t>
  </si>
  <si>
    <t>09121083841</t>
  </si>
  <si>
    <t>20000022</t>
  </si>
  <si>
    <t>حسن قضوی(نماینده)</t>
  </si>
  <si>
    <t>09123731106</t>
  </si>
  <si>
    <t>20000029</t>
  </si>
  <si>
    <t>امید بختیاری</t>
  </si>
  <si>
    <t>09113711382</t>
  </si>
  <si>
    <t>20000001</t>
  </si>
  <si>
    <t>علی احمدی</t>
  </si>
  <si>
    <t>09139319488</t>
  </si>
  <si>
    <t>2026/08/27</t>
  </si>
  <si>
    <t>20000186</t>
  </si>
  <si>
    <t>حمید امینی نجف آبادی</t>
  </si>
  <si>
    <t>09309905820</t>
  </si>
  <si>
    <t>20000163</t>
  </si>
  <si>
    <t>زهره فریدونی</t>
  </si>
  <si>
    <t>09123417329</t>
  </si>
  <si>
    <t>20000064</t>
  </si>
  <si>
    <t>ناصر پورحسین</t>
  </si>
  <si>
    <t>09122313212</t>
  </si>
  <si>
    <t>20000124</t>
  </si>
  <si>
    <t>ابوالقاسم لشگری</t>
  </si>
  <si>
    <t>09173736032</t>
  </si>
  <si>
    <t>20000194</t>
  </si>
  <si>
    <t>احمد علیزاده</t>
  </si>
  <si>
    <t>2026/08/28</t>
  </si>
  <si>
    <t>09121498409</t>
  </si>
  <si>
    <t>2026/08/29</t>
  </si>
  <si>
    <t>20000231</t>
  </si>
  <si>
    <t>اصغر صابر</t>
  </si>
  <si>
    <t>09124710651</t>
  </si>
  <si>
    <t>20001175</t>
  </si>
  <si>
    <t>شرکت توسعه تجارت مانیستار</t>
  </si>
  <si>
    <t>09181415144</t>
  </si>
  <si>
    <t>20000017</t>
  </si>
  <si>
    <t>سیف الله صیدی</t>
  </si>
  <si>
    <t>09183497427</t>
  </si>
  <si>
    <t>20001076</t>
  </si>
  <si>
    <t>شرکت فراز فیدار کیان</t>
  </si>
  <si>
    <t>20001418</t>
  </si>
  <si>
    <t>ایرانیان سونار</t>
  </si>
  <si>
    <t>09144142723</t>
  </si>
  <si>
    <t>20000006</t>
  </si>
  <si>
    <t>صادق کیایی</t>
  </si>
  <si>
    <t>09129579569</t>
  </si>
  <si>
    <t>20000146</t>
  </si>
  <si>
    <t>رویا طراح داخلی</t>
  </si>
  <si>
    <t>2026/08/30</t>
  </si>
  <si>
    <t>09133823055</t>
  </si>
  <si>
    <t>20000092</t>
  </si>
  <si>
    <t>محمد جواد حجازی</t>
  </si>
  <si>
    <t>09335642770</t>
  </si>
  <si>
    <t>20000103</t>
  </si>
  <si>
    <t>حمید شاولی</t>
  </si>
  <si>
    <t>09113524363</t>
  </si>
  <si>
    <t>20000174</t>
  </si>
  <si>
    <t>ارینب بزرگی ماکرانی</t>
  </si>
  <si>
    <t>09111278967</t>
  </si>
  <si>
    <t>20000003</t>
  </si>
  <si>
    <t>حسن توانگری</t>
  </si>
  <si>
    <t>09122576077</t>
  </si>
  <si>
    <t>20000051</t>
  </si>
  <si>
    <t>محمد رضا ذاکریان</t>
  </si>
  <si>
    <t>09143451106</t>
  </si>
  <si>
    <t>2026/08/31</t>
  </si>
  <si>
    <t>20000036</t>
  </si>
  <si>
    <t>مجید نیک پور</t>
  </si>
  <si>
    <t>09161403841</t>
  </si>
  <si>
    <t>20000107</t>
  </si>
  <si>
    <t>محمد معتمدی</t>
  </si>
  <si>
    <t>09143233014</t>
  </si>
  <si>
    <t>20000153</t>
  </si>
  <si>
    <t>فرزاد نظری</t>
  </si>
  <si>
    <t>09127815054</t>
  </si>
  <si>
    <t>20000235</t>
  </si>
  <si>
    <t>مقصود فلاح</t>
  </si>
  <si>
    <t>2026/09/01</t>
  </si>
  <si>
    <t>09155400190</t>
  </si>
  <si>
    <t>20001311</t>
  </si>
  <si>
    <t>غلام رسول برزگر مقدم</t>
  </si>
  <si>
    <t>2026/09/02</t>
  </si>
  <si>
    <t>09143919401</t>
  </si>
  <si>
    <t>20000160</t>
  </si>
  <si>
    <t>حسینعلی آخوندی</t>
  </si>
  <si>
    <t>09144526508</t>
  </si>
  <si>
    <t>20000166</t>
  </si>
  <si>
    <t>جواد انصاری</t>
  </si>
  <si>
    <t>09128535464</t>
  </si>
  <si>
    <t>20001582</t>
  </si>
  <si>
    <t>رضا رجبیان منفرد</t>
  </si>
  <si>
    <t>09118677977</t>
  </si>
  <si>
    <t>20001206</t>
  </si>
  <si>
    <t>نور الله دلیجه</t>
  </si>
  <si>
    <t>09173155934</t>
  </si>
  <si>
    <t>20000004</t>
  </si>
  <si>
    <t>داریوش عزیزی</t>
  </si>
  <si>
    <t>09111565167</t>
  </si>
  <si>
    <t>20001119</t>
  </si>
  <si>
    <t>مهدی ابراهیمی (لنگرود)</t>
  </si>
  <si>
    <t>09362740184</t>
  </si>
  <si>
    <t>20000237</t>
  </si>
  <si>
    <t>محمد نصاری</t>
  </si>
  <si>
    <t>2026/09/03</t>
  </si>
  <si>
    <t>09151418370</t>
  </si>
  <si>
    <t>20000026</t>
  </si>
  <si>
    <t>مهدی میرسیاب</t>
  </si>
  <si>
    <t>09161620449</t>
  </si>
  <si>
    <t>2026/09/04</t>
  </si>
  <si>
    <t>20000228</t>
  </si>
  <si>
    <t>محمد رضا محمدیان</t>
  </si>
  <si>
    <t>2026/09/05</t>
  </si>
  <si>
    <t>09171616143</t>
  </si>
  <si>
    <t>20000011</t>
  </si>
  <si>
    <t>ابوالفضل کرباسی</t>
  </si>
  <si>
    <t>09131452021</t>
  </si>
  <si>
    <t>20000054</t>
  </si>
  <si>
    <t>عباس قنبری</t>
  </si>
  <si>
    <t>09364444807</t>
  </si>
  <si>
    <t>20001631</t>
  </si>
  <si>
    <t>آیلار قاسمی</t>
  </si>
  <si>
    <t>2026/09/06</t>
  </si>
  <si>
    <t>09169450070</t>
  </si>
  <si>
    <t>20000039</t>
  </si>
  <si>
    <t>مسعود حاتمی کیا</t>
  </si>
  <si>
    <t>09124444484</t>
  </si>
  <si>
    <t>20001301</t>
  </si>
  <si>
    <t>آریا نخستین پارسه</t>
  </si>
  <si>
    <t>09183653884</t>
  </si>
  <si>
    <t>2026/09/07</t>
  </si>
  <si>
    <t>20000038</t>
  </si>
  <si>
    <t>غلامحسین اسدی قالهری</t>
  </si>
  <si>
    <t>09173414043</t>
  </si>
  <si>
    <t>20000013</t>
  </si>
  <si>
    <t>حجت الله نظری زاده</t>
  </si>
  <si>
    <t>2026/09/08</t>
  </si>
  <si>
    <t>09132583849</t>
  </si>
  <si>
    <t>20000257</t>
  </si>
  <si>
    <t>محسن حفیظی</t>
  </si>
  <si>
    <t>09111241445</t>
  </si>
  <si>
    <t>20000087</t>
  </si>
  <si>
    <t>علی فروتن</t>
  </si>
  <si>
    <t>09113922130</t>
  </si>
  <si>
    <t>20000109</t>
  </si>
  <si>
    <t>محسن کشاورزی</t>
  </si>
  <si>
    <t>09121313314</t>
  </si>
  <si>
    <t>20000131</t>
  </si>
  <si>
    <t>علی طالب بیدختی</t>
  </si>
  <si>
    <t>09155426784</t>
  </si>
  <si>
    <t>20000101</t>
  </si>
  <si>
    <t>محمد علی احسانی</t>
  </si>
  <si>
    <t>09132493751</t>
  </si>
  <si>
    <t>20001485</t>
  </si>
  <si>
    <t>رقیه دهسرا</t>
  </si>
  <si>
    <t>2026/09/09</t>
  </si>
  <si>
    <t>09380226763</t>
  </si>
  <si>
    <t>20000175</t>
  </si>
  <si>
    <t>میلاد میناگر</t>
  </si>
  <si>
    <t>2026/09/10</t>
  </si>
  <si>
    <t>09165153080</t>
  </si>
  <si>
    <t>20000230</t>
  </si>
  <si>
    <t>جواد صالحیان نجار</t>
  </si>
  <si>
    <t>09132915451</t>
  </si>
  <si>
    <t>20000152</t>
  </si>
  <si>
    <t>رامین سفلائی</t>
  </si>
  <si>
    <t>09133846671</t>
  </si>
  <si>
    <t>20001527</t>
  </si>
  <si>
    <t>قدرت اله عباسیان چالشتری</t>
  </si>
  <si>
    <t>09143450056</t>
  </si>
  <si>
    <t>20001201</t>
  </si>
  <si>
    <t>اکبر شکری کلیسا</t>
  </si>
  <si>
    <t>2026/09/12</t>
  </si>
  <si>
    <t>09141614167</t>
  </si>
  <si>
    <t>20000158</t>
  </si>
  <si>
    <t>مجتبی حفاظت</t>
  </si>
  <si>
    <t>09121671259</t>
  </si>
  <si>
    <t>20000106</t>
  </si>
  <si>
    <t>اکبر شقاقی</t>
  </si>
  <si>
    <t>2026/09/13</t>
  </si>
  <si>
    <t>09121760039</t>
  </si>
  <si>
    <t>20000055</t>
  </si>
  <si>
    <t>محمد اسماعیل کریمی</t>
  </si>
  <si>
    <t>09183751345</t>
  </si>
  <si>
    <t>20000159</t>
  </si>
  <si>
    <t>آواره بهلولی</t>
  </si>
  <si>
    <t>09122642101</t>
  </si>
  <si>
    <t>20000144</t>
  </si>
  <si>
    <t>ابوالقاسم ساریخانی</t>
  </si>
  <si>
    <t>09131545863</t>
  </si>
  <si>
    <t>20001386</t>
  </si>
  <si>
    <t>فرهاد سلطانی</t>
  </si>
  <si>
    <t>09121140582</t>
  </si>
  <si>
    <t>20000024</t>
  </si>
  <si>
    <t>کاوه مقدم</t>
  </si>
  <si>
    <t>09111317178</t>
  </si>
  <si>
    <t>20000008</t>
  </si>
  <si>
    <t>محمد رضا محمد زاده مقدم</t>
  </si>
  <si>
    <t>2026/09/14</t>
  </si>
  <si>
    <t>09177817209</t>
  </si>
  <si>
    <t>20000027</t>
  </si>
  <si>
    <t>مسعود رزاقی</t>
  </si>
  <si>
    <t>09111845713</t>
  </si>
  <si>
    <t>20001209</t>
  </si>
  <si>
    <t>فرزاد لطفی</t>
  </si>
  <si>
    <t>2026/09/15</t>
  </si>
  <si>
    <t>09126421258</t>
  </si>
  <si>
    <t>20000134</t>
  </si>
  <si>
    <t>ناصر مرسلی</t>
  </si>
  <si>
    <t>09125331759</t>
  </si>
  <si>
    <t>20001356</t>
  </si>
  <si>
    <t>محسن صفری</t>
  </si>
  <si>
    <t>09122267351</t>
  </si>
  <si>
    <t>20001359</t>
  </si>
  <si>
    <t>مصطفی خراسانی مهابادی</t>
  </si>
  <si>
    <t>09123300926</t>
  </si>
  <si>
    <t>2026/09/16</t>
  </si>
  <si>
    <t>20001354</t>
  </si>
  <si>
    <t>توسعه تجارت آروین آروند</t>
  </si>
  <si>
    <t>09183300134</t>
  </si>
  <si>
    <t>20000041</t>
  </si>
  <si>
    <t>اصغر عزیزیان</t>
  </si>
  <si>
    <t>09144082190</t>
  </si>
  <si>
    <t>20001238</t>
  </si>
  <si>
    <t>ایوب ماهر چرمسازی</t>
  </si>
  <si>
    <t>2026/09/17</t>
  </si>
  <si>
    <t>09113007899</t>
  </si>
  <si>
    <t>20000015</t>
  </si>
  <si>
    <t>کعبه توکلی (ناصر توکلی)</t>
  </si>
  <si>
    <t>09132825739</t>
  </si>
  <si>
    <t>20000067</t>
  </si>
  <si>
    <t>مسعود نو آیین</t>
  </si>
  <si>
    <t>2026/09/18</t>
  </si>
  <si>
    <t>09124636096</t>
  </si>
  <si>
    <t>20000180</t>
  </si>
  <si>
    <t>نصراله شریفی</t>
  </si>
  <si>
    <t>2026/09/19</t>
  </si>
  <si>
    <t>09121978418</t>
  </si>
  <si>
    <t>20001316</t>
  </si>
  <si>
    <t>امیر لواسانی (طرح تجارت تک دکور)</t>
  </si>
  <si>
    <t>09123805474</t>
  </si>
  <si>
    <t>20001338</t>
  </si>
  <si>
    <t>محمد عدالت دوست</t>
  </si>
  <si>
    <t>09111411475</t>
  </si>
  <si>
    <t>20001337</t>
  </si>
  <si>
    <t>غلامحسن میرزا پور صنعتی</t>
  </si>
  <si>
    <t>2026/09/20</t>
  </si>
  <si>
    <t>09121754743</t>
  </si>
  <si>
    <t>20000122</t>
  </si>
  <si>
    <t>ارسلان ضرغام</t>
  </si>
  <si>
    <t>09124317900</t>
  </si>
  <si>
    <t>20000191</t>
  </si>
  <si>
    <t>محمود امیدوار</t>
  </si>
  <si>
    <t>09132932146</t>
  </si>
  <si>
    <t>20001645</t>
  </si>
  <si>
    <t>یاسر راکی</t>
  </si>
  <si>
    <t>2026/09/21</t>
  </si>
  <si>
    <t>09189105611</t>
  </si>
  <si>
    <t>20000211</t>
  </si>
  <si>
    <t>احمد قیاسوند</t>
  </si>
  <si>
    <t>09334852610</t>
  </si>
  <si>
    <t>20001664</t>
  </si>
  <si>
    <t>حمید حسین زاده بیرق(هتل اهراب تبریز)</t>
  </si>
  <si>
    <t>2026/09/22</t>
  </si>
  <si>
    <t>09111834097</t>
  </si>
  <si>
    <t>20001156</t>
  </si>
  <si>
    <t>اصغر عبدی</t>
  </si>
  <si>
    <t>جمع پال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</si>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</sst>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B Nazanin"/>
      <charset val="17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18" fillId="0" borderId="12" xfId="0" applyFont="1" applyBorder="1"/>
    <xf numFmtId="0" fontId="0" fillId="0" borderId="12" xfId="0" applyBorder="1"/>
    <xf numFmtId="0" fontId="18" fillId="33" borderId="12" xfId="0" applyFont="1" applyFill="1" applyBorder="1"/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2" fontId="0" fillId="33" borderId="11" xfId="0" applyNumberFormat="1" applyFill="1" applyBorder="1" applyAlignment="1">
      <alignment horizontal="center" vertical="center"/>
    </xf>
    <xf numFmtId="2" fontId="18" fillId="33" borderId="11" xfId="0" applyNumberFormat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2" fontId="19" fillId="34" borderId="11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9"/>
  <sheetViews>
    <sheetView rightToLeft="1" topLeftCell="C1" zoomScale="85" zoomScaleNormal="85" workbookViewId="0">
      <selection activeCell="C1" sqref="A1:XFD1048576"/>
    </sheetView>
  </sheetViews>
  <sheetFormatPr defaultRowHeight="14.5" x14ac:dyDescent="0.35"/>
  <cols>
    <col min="2" max="2" width="16.81640625" bestFit="1" customWidth="1"/>
    <col min="4" max="4" width="11.81640625" bestFit="1" customWidth="1"/>
    <col min="5" max="5" width="12.26953125" bestFit="1" customWidth="1"/>
    <col min="6" max="6" width="20.7265625" bestFit="1" customWidth="1"/>
    <col min="7" max="7" width="29.36328125" bestFit="1" customWidth="1"/>
    <col min="9" max="9" width="14" bestFit="1" customWidth="1"/>
    <col min="13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583005049</v>
      </c>
      <c r="C2">
        <v>35743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90</v>
      </c>
      <c r="L2">
        <v>0</v>
      </c>
      <c r="M2" t="s">
        <v>20</v>
      </c>
    </row>
    <row r="3" spans="1:13" x14ac:dyDescent="0.35">
      <c r="A3">
        <v>2</v>
      </c>
      <c r="B3">
        <v>583005054</v>
      </c>
      <c r="C3">
        <v>35749</v>
      </c>
      <c r="D3" t="s">
        <v>21</v>
      </c>
      <c r="E3" t="s">
        <v>14</v>
      </c>
      <c r="F3" t="s">
        <v>22</v>
      </c>
      <c r="G3" t="s">
        <v>23</v>
      </c>
      <c r="H3" t="s">
        <v>17</v>
      </c>
      <c r="I3" t="s">
        <v>24</v>
      </c>
      <c r="J3" t="s">
        <v>25</v>
      </c>
      <c r="K3">
        <v>10</v>
      </c>
      <c r="L3">
        <v>0</v>
      </c>
      <c r="M3" t="s">
        <v>20</v>
      </c>
    </row>
    <row r="4" spans="1:13" x14ac:dyDescent="0.35">
      <c r="A4">
        <v>3</v>
      </c>
      <c r="B4">
        <v>583005013</v>
      </c>
      <c r="C4">
        <v>35692</v>
      </c>
      <c r="D4" t="s">
        <v>26</v>
      </c>
      <c r="E4" t="s">
        <v>14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>
        <v>540</v>
      </c>
      <c r="L4">
        <v>0</v>
      </c>
      <c r="M4" t="s">
        <v>20</v>
      </c>
    </row>
    <row r="5" spans="1:13" x14ac:dyDescent="0.35">
      <c r="A5">
        <v>4</v>
      </c>
      <c r="B5">
        <v>583005056</v>
      </c>
      <c r="C5">
        <v>35754</v>
      </c>
      <c r="D5" t="s">
        <v>29</v>
      </c>
      <c r="E5" t="s">
        <v>14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>
        <v>51</v>
      </c>
      <c r="L5">
        <v>0</v>
      </c>
      <c r="M5" t="s">
        <v>20</v>
      </c>
    </row>
    <row r="6" spans="1:13" x14ac:dyDescent="0.35">
      <c r="A6">
        <v>5</v>
      </c>
      <c r="B6">
        <v>583005024</v>
      </c>
      <c r="C6">
        <v>35708</v>
      </c>
      <c r="D6" t="s">
        <v>32</v>
      </c>
      <c r="E6" t="s">
        <v>14</v>
      </c>
      <c r="F6" t="s">
        <v>33</v>
      </c>
      <c r="G6" t="s">
        <v>34</v>
      </c>
      <c r="H6" t="s">
        <v>17</v>
      </c>
      <c r="I6" t="s">
        <v>35</v>
      </c>
      <c r="J6" t="s">
        <v>25</v>
      </c>
      <c r="K6">
        <v>195</v>
      </c>
      <c r="L6">
        <v>0</v>
      </c>
      <c r="M6" t="s">
        <v>20</v>
      </c>
    </row>
    <row r="7" spans="1:13" x14ac:dyDescent="0.35">
      <c r="A7">
        <v>6</v>
      </c>
      <c r="B7">
        <v>583005045</v>
      </c>
      <c r="C7">
        <v>35739</v>
      </c>
      <c r="D7" t="s">
        <v>36</v>
      </c>
      <c r="E7" t="s">
        <v>14</v>
      </c>
      <c r="F7" t="s">
        <v>37</v>
      </c>
      <c r="G7" t="s">
        <v>38</v>
      </c>
      <c r="H7" t="s">
        <v>17</v>
      </c>
      <c r="I7" t="s">
        <v>18</v>
      </c>
      <c r="J7" t="s">
        <v>19</v>
      </c>
      <c r="K7">
        <v>90</v>
      </c>
      <c r="L7">
        <v>0</v>
      </c>
      <c r="M7" t="s">
        <v>20</v>
      </c>
    </row>
    <row r="8" spans="1:13" x14ac:dyDescent="0.35">
      <c r="A8">
        <v>7</v>
      </c>
      <c r="B8">
        <v>583005005</v>
      </c>
      <c r="C8">
        <v>35680</v>
      </c>
      <c r="D8" t="s">
        <v>39</v>
      </c>
      <c r="E8" t="s">
        <v>14</v>
      </c>
      <c r="F8" t="s">
        <v>40</v>
      </c>
      <c r="G8" t="s">
        <v>41</v>
      </c>
      <c r="H8" t="s">
        <v>17</v>
      </c>
      <c r="I8" t="s">
        <v>18</v>
      </c>
      <c r="J8" t="s">
        <v>19</v>
      </c>
      <c r="K8">
        <v>9</v>
      </c>
      <c r="L8">
        <v>0</v>
      </c>
      <c r="M8" t="s">
        <v>20</v>
      </c>
    </row>
    <row r="9" spans="1:13" x14ac:dyDescent="0.35">
      <c r="A9">
        <v>8</v>
      </c>
      <c r="B9">
        <v>583005048</v>
      </c>
      <c r="C9">
        <v>35742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24</v>
      </c>
      <c r="J9" t="s">
        <v>25</v>
      </c>
      <c r="K9">
        <v>2</v>
      </c>
      <c r="L9">
        <v>0</v>
      </c>
      <c r="M9" t="s">
        <v>20</v>
      </c>
    </row>
    <row r="10" spans="1:13" x14ac:dyDescent="0.35">
      <c r="A10">
        <v>9</v>
      </c>
      <c r="B10">
        <v>583005014</v>
      </c>
      <c r="C10">
        <v>35693</v>
      </c>
      <c r="D10" t="s">
        <v>26</v>
      </c>
      <c r="E10" t="s">
        <v>14</v>
      </c>
      <c r="F10" t="s">
        <v>27</v>
      </c>
      <c r="G10" t="s">
        <v>28</v>
      </c>
      <c r="H10" t="s">
        <v>17</v>
      </c>
      <c r="I10" t="s">
        <v>35</v>
      </c>
      <c r="J10" t="s">
        <v>25</v>
      </c>
      <c r="K10">
        <v>5</v>
      </c>
      <c r="L10">
        <v>0</v>
      </c>
      <c r="M10" t="s">
        <v>20</v>
      </c>
    </row>
    <row r="11" spans="1:13" x14ac:dyDescent="0.35">
      <c r="A11">
        <v>10</v>
      </c>
      <c r="B11">
        <v>583005025</v>
      </c>
      <c r="C11">
        <v>35709</v>
      </c>
      <c r="D11" t="s">
        <v>42</v>
      </c>
      <c r="E11" t="s">
        <v>14</v>
      </c>
      <c r="F11" t="s">
        <v>43</v>
      </c>
      <c r="G11" t="s">
        <v>44</v>
      </c>
      <c r="H11" t="s">
        <v>17</v>
      </c>
      <c r="I11" t="s">
        <v>18</v>
      </c>
      <c r="J11" t="s">
        <v>19</v>
      </c>
      <c r="K11">
        <v>252</v>
      </c>
      <c r="L11">
        <v>0</v>
      </c>
      <c r="M11" t="s">
        <v>20</v>
      </c>
    </row>
    <row r="12" spans="1:13" x14ac:dyDescent="0.35">
      <c r="A12">
        <v>11</v>
      </c>
      <c r="B12">
        <v>583005031</v>
      </c>
      <c r="C12">
        <v>35722</v>
      </c>
      <c r="D12" t="s">
        <v>45</v>
      </c>
      <c r="E12" t="s">
        <v>14</v>
      </c>
      <c r="F12" t="s">
        <v>46</v>
      </c>
      <c r="G12" t="s">
        <v>47</v>
      </c>
      <c r="H12" t="s">
        <v>17</v>
      </c>
      <c r="I12" t="s">
        <v>18</v>
      </c>
      <c r="J12" t="s">
        <v>19</v>
      </c>
      <c r="K12">
        <v>48</v>
      </c>
      <c r="L12">
        <v>0</v>
      </c>
      <c r="M12" t="s">
        <v>20</v>
      </c>
    </row>
    <row r="13" spans="1:13" x14ac:dyDescent="0.35">
      <c r="A13">
        <v>12</v>
      </c>
      <c r="B13">
        <v>583005026</v>
      </c>
      <c r="C13">
        <v>35711</v>
      </c>
      <c r="D13" t="s">
        <v>48</v>
      </c>
      <c r="E13" t="s">
        <v>14</v>
      </c>
      <c r="F13" t="s">
        <v>49</v>
      </c>
      <c r="G13" t="s">
        <v>50</v>
      </c>
      <c r="H13" t="s">
        <v>17</v>
      </c>
      <c r="I13" t="s">
        <v>18</v>
      </c>
      <c r="J13" t="s">
        <v>19</v>
      </c>
      <c r="K13">
        <v>1800</v>
      </c>
      <c r="L13">
        <v>0</v>
      </c>
      <c r="M13" t="s">
        <v>20</v>
      </c>
    </row>
    <row r="14" spans="1:13" x14ac:dyDescent="0.35">
      <c r="A14">
        <v>13</v>
      </c>
      <c r="B14">
        <v>583005026</v>
      </c>
      <c r="C14">
        <v>35711</v>
      </c>
      <c r="D14" t="s">
        <v>48</v>
      </c>
      <c r="E14" t="s">
        <v>14</v>
      </c>
      <c r="F14" t="s">
        <v>49</v>
      </c>
      <c r="G14" t="s">
        <v>50</v>
      </c>
      <c r="H14" t="s">
        <v>17</v>
      </c>
      <c r="I14" t="s">
        <v>18</v>
      </c>
      <c r="J14" t="s">
        <v>19</v>
      </c>
      <c r="K14">
        <v>1305</v>
      </c>
      <c r="L14">
        <v>0</v>
      </c>
      <c r="M14" t="s">
        <v>20</v>
      </c>
    </row>
    <row r="15" spans="1:13" x14ac:dyDescent="0.35">
      <c r="A15">
        <v>14</v>
      </c>
      <c r="B15">
        <v>583005027</v>
      </c>
      <c r="C15">
        <v>35712</v>
      </c>
      <c r="D15" t="s">
        <v>48</v>
      </c>
      <c r="E15" t="s">
        <v>14</v>
      </c>
      <c r="F15" t="s">
        <v>49</v>
      </c>
      <c r="G15" t="s">
        <v>50</v>
      </c>
      <c r="H15" t="s">
        <v>17</v>
      </c>
      <c r="I15" t="s">
        <v>51</v>
      </c>
      <c r="J15" t="s">
        <v>52</v>
      </c>
      <c r="K15">
        <v>13.6</v>
      </c>
      <c r="L15">
        <v>0</v>
      </c>
      <c r="M15" t="s">
        <v>20</v>
      </c>
    </row>
    <row r="16" spans="1:13" x14ac:dyDescent="0.35">
      <c r="A16">
        <v>15</v>
      </c>
      <c r="B16">
        <v>583005041</v>
      </c>
      <c r="C16">
        <v>35735</v>
      </c>
      <c r="D16" t="s">
        <v>53</v>
      </c>
      <c r="E16" t="s">
        <v>14</v>
      </c>
      <c r="F16" t="s">
        <v>54</v>
      </c>
      <c r="G16" t="s">
        <v>55</v>
      </c>
      <c r="H16" t="s">
        <v>17</v>
      </c>
      <c r="I16" t="s">
        <v>18</v>
      </c>
      <c r="J16" t="s">
        <v>19</v>
      </c>
      <c r="K16">
        <v>33</v>
      </c>
      <c r="L16">
        <v>0</v>
      </c>
      <c r="M16" t="s">
        <v>20</v>
      </c>
    </row>
    <row r="17" spans="1:13" x14ac:dyDescent="0.35">
      <c r="A17">
        <v>16</v>
      </c>
      <c r="B17">
        <v>583005046</v>
      </c>
      <c r="C17">
        <v>35740</v>
      </c>
      <c r="D17" t="s">
        <v>56</v>
      </c>
      <c r="E17" t="s">
        <v>14</v>
      </c>
      <c r="F17" t="s">
        <v>57</v>
      </c>
      <c r="G17" t="s">
        <v>58</v>
      </c>
      <c r="H17" t="s">
        <v>17</v>
      </c>
      <c r="I17" t="s">
        <v>18</v>
      </c>
      <c r="J17" t="s">
        <v>19</v>
      </c>
      <c r="K17">
        <v>42</v>
      </c>
      <c r="L17">
        <v>0</v>
      </c>
      <c r="M17" t="s">
        <v>20</v>
      </c>
    </row>
    <row r="18" spans="1:13" x14ac:dyDescent="0.35">
      <c r="A18">
        <v>17</v>
      </c>
      <c r="B18">
        <v>583005026</v>
      </c>
      <c r="C18">
        <v>35711</v>
      </c>
      <c r="D18" t="s">
        <v>48</v>
      </c>
      <c r="E18" t="s">
        <v>14</v>
      </c>
      <c r="F18" t="s">
        <v>49</v>
      </c>
      <c r="G18" t="s">
        <v>50</v>
      </c>
      <c r="H18" t="s">
        <v>17</v>
      </c>
      <c r="I18" t="s">
        <v>18</v>
      </c>
      <c r="J18" t="s">
        <v>19</v>
      </c>
      <c r="K18">
        <v>162</v>
      </c>
      <c r="L18">
        <v>0</v>
      </c>
      <c r="M18" t="s">
        <v>20</v>
      </c>
    </row>
    <row r="19" spans="1:13" x14ac:dyDescent="0.35">
      <c r="A19">
        <v>18</v>
      </c>
      <c r="B19">
        <v>583005013</v>
      </c>
      <c r="C19">
        <v>35692</v>
      </c>
      <c r="D19" t="s">
        <v>26</v>
      </c>
      <c r="E19" t="s">
        <v>14</v>
      </c>
      <c r="F19" t="s">
        <v>27</v>
      </c>
      <c r="G19" t="s">
        <v>28</v>
      </c>
      <c r="H19" t="s">
        <v>17</v>
      </c>
      <c r="I19" t="s">
        <v>18</v>
      </c>
      <c r="J19" t="s">
        <v>19</v>
      </c>
      <c r="K19">
        <v>72</v>
      </c>
      <c r="L19">
        <v>0</v>
      </c>
      <c r="M19" t="s">
        <v>20</v>
      </c>
    </row>
    <row r="20" spans="1:13" x14ac:dyDescent="0.35">
      <c r="A20">
        <v>19</v>
      </c>
      <c r="B20">
        <v>583005032</v>
      </c>
      <c r="C20">
        <v>35723</v>
      </c>
      <c r="D20" t="s">
        <v>45</v>
      </c>
      <c r="E20" t="s">
        <v>14</v>
      </c>
      <c r="F20" t="s">
        <v>46</v>
      </c>
      <c r="G20" t="s">
        <v>47</v>
      </c>
      <c r="H20" t="s">
        <v>17</v>
      </c>
      <c r="I20" t="s">
        <v>18</v>
      </c>
      <c r="J20" t="s">
        <v>19</v>
      </c>
      <c r="K20">
        <v>135</v>
      </c>
      <c r="L20">
        <v>0</v>
      </c>
      <c r="M20" t="s">
        <v>20</v>
      </c>
    </row>
    <row r="21" spans="1:13" x14ac:dyDescent="0.35">
      <c r="A21">
        <v>20</v>
      </c>
      <c r="B21">
        <v>583005057</v>
      </c>
      <c r="C21">
        <v>35755</v>
      </c>
      <c r="D21" t="s">
        <v>29</v>
      </c>
      <c r="E21" t="s">
        <v>14</v>
      </c>
      <c r="F21" t="s">
        <v>30</v>
      </c>
      <c r="G21" t="s">
        <v>31</v>
      </c>
      <c r="H21" t="s">
        <v>17</v>
      </c>
      <c r="I21" t="s">
        <v>24</v>
      </c>
      <c r="J21" t="s">
        <v>25</v>
      </c>
      <c r="K21">
        <v>5</v>
      </c>
      <c r="L21">
        <v>0</v>
      </c>
      <c r="M21" t="s">
        <v>20</v>
      </c>
    </row>
    <row r="22" spans="1:13" x14ac:dyDescent="0.35">
      <c r="A22">
        <v>21</v>
      </c>
      <c r="B22">
        <v>583005056</v>
      </c>
      <c r="C22">
        <v>35754</v>
      </c>
      <c r="D22" t="s">
        <v>29</v>
      </c>
      <c r="E22" t="s">
        <v>14</v>
      </c>
      <c r="F22" t="s">
        <v>30</v>
      </c>
      <c r="G22" t="s">
        <v>31</v>
      </c>
      <c r="H22" t="s">
        <v>17</v>
      </c>
      <c r="I22" t="s">
        <v>18</v>
      </c>
      <c r="J22" t="s">
        <v>19</v>
      </c>
      <c r="K22">
        <v>3144</v>
      </c>
      <c r="L22">
        <v>0</v>
      </c>
      <c r="M22" t="s">
        <v>20</v>
      </c>
    </row>
    <row r="23" spans="1:13" x14ac:dyDescent="0.35">
      <c r="A23">
        <v>22</v>
      </c>
      <c r="B23">
        <v>583005024</v>
      </c>
      <c r="C23">
        <v>35708</v>
      </c>
      <c r="D23" t="s">
        <v>32</v>
      </c>
      <c r="E23" t="s">
        <v>14</v>
      </c>
      <c r="F23" t="s">
        <v>33</v>
      </c>
      <c r="G23" t="s">
        <v>34</v>
      </c>
      <c r="H23" t="s">
        <v>17</v>
      </c>
      <c r="I23" t="s">
        <v>35</v>
      </c>
      <c r="J23" t="s">
        <v>59</v>
      </c>
      <c r="K23">
        <v>30</v>
      </c>
      <c r="L23">
        <v>0</v>
      </c>
      <c r="M23" t="s">
        <v>20</v>
      </c>
    </row>
    <row r="24" spans="1:13" x14ac:dyDescent="0.35">
      <c r="A24">
        <v>23</v>
      </c>
      <c r="B24">
        <v>583005056</v>
      </c>
      <c r="C24">
        <v>35754</v>
      </c>
      <c r="D24" t="s">
        <v>29</v>
      </c>
      <c r="E24" t="s">
        <v>14</v>
      </c>
      <c r="F24" t="s">
        <v>30</v>
      </c>
      <c r="G24" t="s">
        <v>31</v>
      </c>
      <c r="H24" t="s">
        <v>17</v>
      </c>
      <c r="I24" t="s">
        <v>18</v>
      </c>
      <c r="J24" t="s">
        <v>19</v>
      </c>
      <c r="K24">
        <v>1203</v>
      </c>
      <c r="L24">
        <v>0</v>
      </c>
      <c r="M24" t="s">
        <v>20</v>
      </c>
    </row>
    <row r="25" spans="1:13" x14ac:dyDescent="0.35">
      <c r="A25">
        <v>24</v>
      </c>
      <c r="B25">
        <v>583005019</v>
      </c>
      <c r="C25">
        <v>35700</v>
      </c>
      <c r="D25" t="s">
        <v>60</v>
      </c>
      <c r="E25" t="s">
        <v>14</v>
      </c>
      <c r="F25" t="s">
        <v>61</v>
      </c>
      <c r="G25" t="s">
        <v>62</v>
      </c>
      <c r="H25" t="s">
        <v>17</v>
      </c>
      <c r="I25" t="s">
        <v>63</v>
      </c>
      <c r="J25" t="s">
        <v>64</v>
      </c>
      <c r="K25">
        <v>569</v>
      </c>
      <c r="L25">
        <v>1007.13</v>
      </c>
      <c r="M25" t="s">
        <v>20</v>
      </c>
    </row>
    <row r="26" spans="1:13" x14ac:dyDescent="0.35">
      <c r="A26">
        <v>25</v>
      </c>
      <c r="B26">
        <v>583005033</v>
      </c>
      <c r="C26">
        <v>35724</v>
      </c>
      <c r="D26" t="s">
        <v>45</v>
      </c>
      <c r="E26" t="s">
        <v>14</v>
      </c>
      <c r="F26" t="s">
        <v>46</v>
      </c>
      <c r="G26" t="s">
        <v>47</v>
      </c>
      <c r="H26" t="s">
        <v>17</v>
      </c>
      <c r="I26" t="s">
        <v>18</v>
      </c>
      <c r="J26" t="s">
        <v>19</v>
      </c>
      <c r="K26">
        <v>135</v>
      </c>
      <c r="L26">
        <v>0</v>
      </c>
      <c r="M26" t="s">
        <v>20</v>
      </c>
    </row>
    <row r="27" spans="1:13" x14ac:dyDescent="0.35">
      <c r="A27">
        <v>26</v>
      </c>
      <c r="B27">
        <v>583005042</v>
      </c>
      <c r="C27">
        <v>35736</v>
      </c>
      <c r="D27" t="s">
        <v>29</v>
      </c>
      <c r="E27" t="s">
        <v>14</v>
      </c>
      <c r="F27" t="s">
        <v>30</v>
      </c>
      <c r="G27" t="s">
        <v>31</v>
      </c>
      <c r="H27" t="s">
        <v>17</v>
      </c>
      <c r="I27" t="s">
        <v>18</v>
      </c>
      <c r="J27" t="s">
        <v>19</v>
      </c>
      <c r="K27">
        <v>24</v>
      </c>
      <c r="L27">
        <v>0</v>
      </c>
      <c r="M27" t="s">
        <v>20</v>
      </c>
    </row>
    <row r="28" spans="1:13" x14ac:dyDescent="0.35">
      <c r="A28">
        <v>27</v>
      </c>
      <c r="B28">
        <v>583005053</v>
      </c>
      <c r="C28">
        <v>35748</v>
      </c>
      <c r="D28" t="s">
        <v>21</v>
      </c>
      <c r="E28" t="s">
        <v>14</v>
      </c>
      <c r="F28" t="s">
        <v>22</v>
      </c>
      <c r="G28" t="s">
        <v>23</v>
      </c>
      <c r="H28" t="s">
        <v>17</v>
      </c>
      <c r="I28" t="s">
        <v>18</v>
      </c>
      <c r="J28" t="s">
        <v>19</v>
      </c>
      <c r="K28">
        <v>4461</v>
      </c>
      <c r="L28">
        <v>0</v>
      </c>
      <c r="M28" t="s">
        <v>20</v>
      </c>
    </row>
    <row r="29" spans="1:13" x14ac:dyDescent="0.35">
      <c r="A29">
        <v>28</v>
      </c>
      <c r="B29">
        <v>583005040</v>
      </c>
      <c r="C29">
        <v>35734</v>
      </c>
      <c r="D29" t="s">
        <v>65</v>
      </c>
      <c r="E29" t="s">
        <v>14</v>
      </c>
      <c r="F29" t="s">
        <v>66</v>
      </c>
      <c r="G29" t="s">
        <v>67</v>
      </c>
      <c r="H29" t="s">
        <v>17</v>
      </c>
      <c r="I29" t="s">
        <v>18</v>
      </c>
      <c r="J29" t="s">
        <v>19</v>
      </c>
      <c r="K29">
        <v>30</v>
      </c>
      <c r="L29">
        <v>0</v>
      </c>
      <c r="M29" t="s">
        <v>20</v>
      </c>
    </row>
    <row r="30" spans="1:13" x14ac:dyDescent="0.35">
      <c r="A30">
        <v>29</v>
      </c>
      <c r="B30">
        <v>583005044</v>
      </c>
      <c r="C30">
        <v>35738</v>
      </c>
      <c r="D30" t="s">
        <v>68</v>
      </c>
      <c r="E30" t="s">
        <v>14</v>
      </c>
      <c r="F30" t="s">
        <v>69</v>
      </c>
      <c r="G30" t="s">
        <v>70</v>
      </c>
      <c r="H30" t="s">
        <v>17</v>
      </c>
      <c r="I30" t="s">
        <v>18</v>
      </c>
      <c r="J30" t="s">
        <v>19</v>
      </c>
      <c r="K30">
        <v>12</v>
      </c>
      <c r="L30">
        <v>0</v>
      </c>
      <c r="M30" t="s">
        <v>20</v>
      </c>
    </row>
    <row r="31" spans="1:13" x14ac:dyDescent="0.35">
      <c r="A31">
        <v>30</v>
      </c>
      <c r="B31">
        <v>583005047</v>
      </c>
      <c r="C31">
        <v>35741</v>
      </c>
      <c r="D31" t="s">
        <v>56</v>
      </c>
      <c r="E31" t="s">
        <v>14</v>
      </c>
      <c r="F31" t="s">
        <v>57</v>
      </c>
      <c r="G31" t="s">
        <v>58</v>
      </c>
      <c r="H31" t="s">
        <v>17</v>
      </c>
      <c r="I31" t="s">
        <v>18</v>
      </c>
      <c r="J31" t="s">
        <v>19</v>
      </c>
      <c r="K31">
        <v>81</v>
      </c>
      <c r="L31">
        <v>0</v>
      </c>
      <c r="M31" t="s">
        <v>20</v>
      </c>
    </row>
    <row r="32" spans="1:13" x14ac:dyDescent="0.35">
      <c r="A32">
        <v>31</v>
      </c>
      <c r="B32">
        <v>583005039</v>
      </c>
      <c r="C32">
        <v>35733</v>
      </c>
      <c r="D32" t="s">
        <v>71</v>
      </c>
      <c r="E32" t="s">
        <v>14</v>
      </c>
      <c r="F32" t="s">
        <v>72</v>
      </c>
      <c r="G32" t="s">
        <v>73</v>
      </c>
      <c r="H32" t="s">
        <v>17</v>
      </c>
      <c r="I32" t="s">
        <v>18</v>
      </c>
      <c r="J32" t="s">
        <v>19</v>
      </c>
      <c r="K32">
        <v>36</v>
      </c>
      <c r="L32">
        <v>0</v>
      </c>
      <c r="M32" t="s">
        <v>20</v>
      </c>
    </row>
    <row r="33" spans="1:13" x14ac:dyDescent="0.35">
      <c r="A33">
        <v>32</v>
      </c>
      <c r="B33">
        <v>583005030</v>
      </c>
      <c r="C33">
        <v>35721</v>
      </c>
      <c r="D33" t="s">
        <v>45</v>
      </c>
      <c r="E33" t="s">
        <v>14</v>
      </c>
      <c r="F33" t="s">
        <v>46</v>
      </c>
      <c r="G33" t="s">
        <v>47</v>
      </c>
      <c r="H33" t="s">
        <v>17</v>
      </c>
      <c r="I33" t="s">
        <v>18</v>
      </c>
      <c r="J33" t="s">
        <v>19</v>
      </c>
      <c r="K33">
        <v>39</v>
      </c>
      <c r="L33">
        <v>0</v>
      </c>
      <c r="M33" t="s">
        <v>20</v>
      </c>
    </row>
    <row r="34" spans="1:13" x14ac:dyDescent="0.35">
      <c r="A34">
        <v>33</v>
      </c>
      <c r="B34">
        <v>583005025</v>
      </c>
      <c r="C34">
        <v>35709</v>
      </c>
      <c r="D34" t="s">
        <v>42</v>
      </c>
      <c r="E34" t="s">
        <v>14</v>
      </c>
      <c r="F34" t="s">
        <v>43</v>
      </c>
      <c r="G34" t="s">
        <v>44</v>
      </c>
      <c r="H34" t="s">
        <v>17</v>
      </c>
      <c r="I34" t="s">
        <v>18</v>
      </c>
      <c r="J34" t="s">
        <v>19</v>
      </c>
      <c r="K34">
        <v>972</v>
      </c>
      <c r="L34">
        <v>0</v>
      </c>
      <c r="M34" t="s">
        <v>20</v>
      </c>
    </row>
    <row r="35" spans="1:13" x14ac:dyDescent="0.35">
      <c r="A35">
        <v>34</v>
      </c>
      <c r="B35">
        <v>583005013</v>
      </c>
      <c r="C35">
        <v>35692</v>
      </c>
      <c r="D35" t="s">
        <v>26</v>
      </c>
      <c r="E35" t="s">
        <v>14</v>
      </c>
      <c r="F35" t="s">
        <v>27</v>
      </c>
      <c r="G35" t="s">
        <v>28</v>
      </c>
      <c r="H35" t="s">
        <v>17</v>
      </c>
      <c r="I35" t="s">
        <v>18</v>
      </c>
      <c r="J35" t="s">
        <v>19</v>
      </c>
      <c r="K35">
        <v>720</v>
      </c>
      <c r="L35">
        <v>0</v>
      </c>
      <c r="M35" t="s">
        <v>20</v>
      </c>
    </row>
    <row r="36" spans="1:13" x14ac:dyDescent="0.35">
      <c r="A36">
        <v>35</v>
      </c>
      <c r="B36">
        <v>583005020</v>
      </c>
      <c r="C36">
        <v>35701</v>
      </c>
      <c r="D36" t="s">
        <v>29</v>
      </c>
      <c r="E36" t="s">
        <v>14</v>
      </c>
      <c r="F36" t="s">
        <v>30</v>
      </c>
      <c r="G36" t="s">
        <v>31</v>
      </c>
      <c r="H36" t="s">
        <v>17</v>
      </c>
      <c r="I36" t="s">
        <v>24</v>
      </c>
      <c r="J36" t="s">
        <v>25</v>
      </c>
      <c r="K36">
        <v>10</v>
      </c>
      <c r="L36">
        <v>0</v>
      </c>
      <c r="M36" t="s">
        <v>20</v>
      </c>
    </row>
    <row r="37" spans="1:13" x14ac:dyDescent="0.35">
      <c r="A37">
        <v>36</v>
      </c>
      <c r="B37">
        <v>583005056</v>
      </c>
      <c r="C37">
        <v>35754</v>
      </c>
      <c r="D37" t="s">
        <v>29</v>
      </c>
      <c r="E37" t="s">
        <v>14</v>
      </c>
      <c r="F37" t="s">
        <v>30</v>
      </c>
      <c r="G37" t="s">
        <v>31</v>
      </c>
      <c r="H37" t="s">
        <v>17</v>
      </c>
      <c r="I37" t="s">
        <v>18</v>
      </c>
      <c r="J37" t="s">
        <v>19</v>
      </c>
      <c r="K37">
        <v>90</v>
      </c>
      <c r="L37">
        <v>0</v>
      </c>
      <c r="M37" t="s">
        <v>20</v>
      </c>
    </row>
    <row r="38" spans="1:13" x14ac:dyDescent="0.35">
      <c r="A38">
        <v>37</v>
      </c>
      <c r="B38">
        <v>583005048</v>
      </c>
      <c r="C38">
        <v>35742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24</v>
      </c>
      <c r="J38" t="s">
        <v>74</v>
      </c>
      <c r="K38">
        <v>1</v>
      </c>
      <c r="L38">
        <v>0</v>
      </c>
      <c r="M38" t="s">
        <v>20</v>
      </c>
    </row>
    <row r="39" spans="1:13" x14ac:dyDescent="0.35">
      <c r="A39">
        <v>38</v>
      </c>
      <c r="B39">
        <v>583005013</v>
      </c>
      <c r="C39">
        <v>35692</v>
      </c>
      <c r="D39" t="s">
        <v>26</v>
      </c>
      <c r="E39" t="s">
        <v>14</v>
      </c>
      <c r="F39" t="s">
        <v>27</v>
      </c>
      <c r="G39" t="s">
        <v>28</v>
      </c>
      <c r="H39" t="s">
        <v>17</v>
      </c>
      <c r="I39" t="s">
        <v>18</v>
      </c>
      <c r="J39" t="s">
        <v>19</v>
      </c>
      <c r="K39">
        <v>288</v>
      </c>
      <c r="L39">
        <v>0</v>
      </c>
      <c r="M39" t="s">
        <v>20</v>
      </c>
    </row>
    <row r="40" spans="1:13" x14ac:dyDescent="0.35">
      <c r="A40">
        <v>39</v>
      </c>
      <c r="B40">
        <v>583005043</v>
      </c>
      <c r="C40">
        <v>35737</v>
      </c>
      <c r="D40" t="s">
        <v>75</v>
      </c>
      <c r="E40" t="s">
        <v>14</v>
      </c>
      <c r="F40" t="s">
        <v>76</v>
      </c>
      <c r="G40" t="s">
        <v>77</v>
      </c>
      <c r="H40" t="s">
        <v>17</v>
      </c>
      <c r="I40" t="s">
        <v>18</v>
      </c>
      <c r="J40" t="s">
        <v>19</v>
      </c>
      <c r="K40">
        <v>21</v>
      </c>
      <c r="L40">
        <v>0</v>
      </c>
      <c r="M40" t="s">
        <v>20</v>
      </c>
    </row>
    <row r="41" spans="1:13" x14ac:dyDescent="0.35">
      <c r="A41">
        <v>40</v>
      </c>
      <c r="B41">
        <v>583005025</v>
      </c>
      <c r="C41">
        <v>35709</v>
      </c>
      <c r="D41" t="s">
        <v>42</v>
      </c>
      <c r="E41" t="s">
        <v>14</v>
      </c>
      <c r="F41" t="s">
        <v>43</v>
      </c>
      <c r="G41" t="s">
        <v>44</v>
      </c>
      <c r="H41" t="s">
        <v>17</v>
      </c>
      <c r="I41" t="s">
        <v>18</v>
      </c>
      <c r="J41" t="s">
        <v>19</v>
      </c>
      <c r="K41">
        <v>2691</v>
      </c>
      <c r="L41">
        <v>0</v>
      </c>
      <c r="M41" t="s">
        <v>20</v>
      </c>
    </row>
    <row r="42" spans="1:13" x14ac:dyDescent="0.35">
      <c r="A42">
        <v>41</v>
      </c>
      <c r="B42">
        <v>583005053</v>
      </c>
      <c r="C42">
        <v>35748</v>
      </c>
      <c r="D42" t="s">
        <v>21</v>
      </c>
      <c r="E42" t="s">
        <v>14</v>
      </c>
      <c r="F42" t="s">
        <v>22</v>
      </c>
      <c r="G42" t="s">
        <v>23</v>
      </c>
      <c r="H42" t="s">
        <v>17</v>
      </c>
      <c r="I42" t="s">
        <v>18</v>
      </c>
      <c r="J42" t="s">
        <v>19</v>
      </c>
      <c r="K42">
        <v>450</v>
      </c>
      <c r="L42">
        <v>0</v>
      </c>
      <c r="M42" t="s">
        <v>20</v>
      </c>
    </row>
    <row r="43" spans="1:13" x14ac:dyDescent="0.35">
      <c r="A43">
        <v>42</v>
      </c>
      <c r="B43">
        <v>583005006</v>
      </c>
      <c r="C43">
        <v>35681</v>
      </c>
      <c r="D43" t="s">
        <v>78</v>
      </c>
      <c r="E43" t="s">
        <v>14</v>
      </c>
      <c r="F43" t="s">
        <v>79</v>
      </c>
      <c r="G43" t="s">
        <v>80</v>
      </c>
      <c r="H43" t="s">
        <v>17</v>
      </c>
      <c r="I43" t="s">
        <v>24</v>
      </c>
      <c r="J43" t="s">
        <v>25</v>
      </c>
      <c r="K43">
        <v>3</v>
      </c>
      <c r="L43">
        <v>0</v>
      </c>
      <c r="M43" t="s">
        <v>20</v>
      </c>
    </row>
    <row r="44" spans="1:13" x14ac:dyDescent="0.35">
      <c r="A44">
        <v>43</v>
      </c>
      <c r="B44">
        <v>583005026</v>
      </c>
      <c r="C44">
        <v>35711</v>
      </c>
      <c r="D44" t="s">
        <v>48</v>
      </c>
      <c r="E44" t="s">
        <v>14</v>
      </c>
      <c r="F44" t="s">
        <v>49</v>
      </c>
      <c r="G44" t="s">
        <v>50</v>
      </c>
      <c r="H44" t="s">
        <v>17</v>
      </c>
      <c r="I44" t="s">
        <v>18</v>
      </c>
      <c r="J44" t="s">
        <v>19</v>
      </c>
      <c r="K44">
        <v>144</v>
      </c>
      <c r="L44">
        <v>0</v>
      </c>
      <c r="M44" t="s">
        <v>20</v>
      </c>
    </row>
    <row r="45" spans="1:13" x14ac:dyDescent="0.35">
      <c r="A45">
        <v>44</v>
      </c>
      <c r="B45">
        <v>583005063</v>
      </c>
      <c r="C45">
        <v>35776</v>
      </c>
      <c r="D45" t="s">
        <v>21</v>
      </c>
      <c r="E45" t="s">
        <v>81</v>
      </c>
      <c r="F45" t="s">
        <v>22</v>
      </c>
      <c r="G45" t="s">
        <v>23</v>
      </c>
      <c r="H45" t="s">
        <v>17</v>
      </c>
      <c r="I45" t="s">
        <v>18</v>
      </c>
      <c r="J45" t="s">
        <v>19</v>
      </c>
      <c r="K45">
        <v>2823</v>
      </c>
      <c r="L45">
        <v>0</v>
      </c>
      <c r="M45" t="s">
        <v>20</v>
      </c>
    </row>
    <row r="46" spans="1:13" x14ac:dyDescent="0.35">
      <c r="A46">
        <v>45</v>
      </c>
      <c r="B46">
        <v>583005067</v>
      </c>
      <c r="C46">
        <v>35780</v>
      </c>
      <c r="D46" t="s">
        <v>82</v>
      </c>
      <c r="E46" t="s">
        <v>81</v>
      </c>
      <c r="F46" t="s">
        <v>83</v>
      </c>
      <c r="G46" t="s">
        <v>84</v>
      </c>
      <c r="H46" t="s">
        <v>17</v>
      </c>
      <c r="I46" t="s">
        <v>18</v>
      </c>
      <c r="J46" t="s">
        <v>19</v>
      </c>
      <c r="K46">
        <v>117</v>
      </c>
      <c r="L46">
        <v>0</v>
      </c>
      <c r="M46" t="s">
        <v>20</v>
      </c>
    </row>
    <row r="47" spans="1:13" x14ac:dyDescent="0.35">
      <c r="A47">
        <v>46</v>
      </c>
      <c r="B47">
        <v>583005067</v>
      </c>
      <c r="C47">
        <v>35780</v>
      </c>
      <c r="D47" t="s">
        <v>82</v>
      </c>
      <c r="E47" t="s">
        <v>81</v>
      </c>
      <c r="F47" t="s">
        <v>83</v>
      </c>
      <c r="G47" t="s">
        <v>84</v>
      </c>
      <c r="H47" t="s">
        <v>17</v>
      </c>
      <c r="I47" t="s">
        <v>18</v>
      </c>
      <c r="J47" t="s">
        <v>19</v>
      </c>
      <c r="K47">
        <v>216</v>
      </c>
      <c r="L47">
        <v>0</v>
      </c>
      <c r="M47" t="s">
        <v>20</v>
      </c>
    </row>
    <row r="48" spans="1:13" x14ac:dyDescent="0.35">
      <c r="A48">
        <v>47</v>
      </c>
      <c r="B48">
        <v>583005063</v>
      </c>
      <c r="C48">
        <v>35776</v>
      </c>
      <c r="D48" t="s">
        <v>21</v>
      </c>
      <c r="E48" t="s">
        <v>81</v>
      </c>
      <c r="F48" t="s">
        <v>22</v>
      </c>
      <c r="G48" t="s">
        <v>23</v>
      </c>
      <c r="H48" t="s">
        <v>17</v>
      </c>
      <c r="I48" t="s">
        <v>18</v>
      </c>
      <c r="J48" t="s">
        <v>19</v>
      </c>
      <c r="K48">
        <v>1350</v>
      </c>
      <c r="L48">
        <v>0</v>
      </c>
      <c r="M48" t="s">
        <v>20</v>
      </c>
    </row>
    <row r="49" spans="1:13" x14ac:dyDescent="0.35">
      <c r="A49">
        <v>48</v>
      </c>
      <c r="B49">
        <v>583005095</v>
      </c>
      <c r="C49">
        <v>35814</v>
      </c>
      <c r="D49" t="s">
        <v>85</v>
      </c>
      <c r="E49" t="s">
        <v>81</v>
      </c>
      <c r="F49" t="s">
        <v>86</v>
      </c>
      <c r="G49" t="s">
        <v>87</v>
      </c>
      <c r="H49" t="s">
        <v>17</v>
      </c>
      <c r="I49" t="s">
        <v>88</v>
      </c>
      <c r="J49" t="s">
        <v>19</v>
      </c>
      <c r="K49">
        <v>12</v>
      </c>
      <c r="L49">
        <v>0</v>
      </c>
      <c r="M49" t="s">
        <v>20</v>
      </c>
    </row>
    <row r="50" spans="1:13" x14ac:dyDescent="0.35">
      <c r="A50">
        <v>49</v>
      </c>
      <c r="B50">
        <v>583005067</v>
      </c>
      <c r="C50">
        <v>35780</v>
      </c>
      <c r="D50" t="s">
        <v>82</v>
      </c>
      <c r="E50" t="s">
        <v>81</v>
      </c>
      <c r="F50" t="s">
        <v>83</v>
      </c>
      <c r="G50" t="s">
        <v>84</v>
      </c>
      <c r="H50" t="s">
        <v>17</v>
      </c>
      <c r="I50" t="s">
        <v>18</v>
      </c>
      <c r="J50" t="s">
        <v>19</v>
      </c>
      <c r="K50">
        <v>360</v>
      </c>
      <c r="L50">
        <v>0</v>
      </c>
      <c r="M50" t="s">
        <v>20</v>
      </c>
    </row>
    <row r="51" spans="1:13" x14ac:dyDescent="0.35">
      <c r="A51">
        <v>50</v>
      </c>
      <c r="B51">
        <v>583005067</v>
      </c>
      <c r="C51">
        <v>35780</v>
      </c>
      <c r="D51" t="s">
        <v>82</v>
      </c>
      <c r="E51" t="s">
        <v>81</v>
      </c>
      <c r="F51" t="s">
        <v>83</v>
      </c>
      <c r="G51" t="s">
        <v>84</v>
      </c>
      <c r="H51" t="s">
        <v>17</v>
      </c>
      <c r="I51" t="s">
        <v>18</v>
      </c>
      <c r="J51" t="s">
        <v>19</v>
      </c>
      <c r="K51">
        <v>3285</v>
      </c>
      <c r="L51">
        <v>0</v>
      </c>
      <c r="M51" t="s">
        <v>20</v>
      </c>
    </row>
    <row r="52" spans="1:13" x14ac:dyDescent="0.35">
      <c r="A52">
        <v>51</v>
      </c>
      <c r="B52">
        <v>583005094</v>
      </c>
      <c r="C52">
        <v>35813</v>
      </c>
      <c r="D52" t="s">
        <v>85</v>
      </c>
      <c r="E52" t="s">
        <v>81</v>
      </c>
      <c r="F52" t="s">
        <v>86</v>
      </c>
      <c r="G52" t="s">
        <v>87</v>
      </c>
      <c r="H52" t="s">
        <v>17</v>
      </c>
      <c r="I52" t="s">
        <v>24</v>
      </c>
      <c r="J52" t="s">
        <v>25</v>
      </c>
      <c r="K52">
        <v>1</v>
      </c>
      <c r="L52">
        <v>0</v>
      </c>
      <c r="M52" t="s">
        <v>20</v>
      </c>
    </row>
    <row r="53" spans="1:13" x14ac:dyDescent="0.35">
      <c r="A53">
        <v>52</v>
      </c>
      <c r="B53">
        <v>583005096</v>
      </c>
      <c r="C53">
        <v>35815</v>
      </c>
      <c r="D53" t="s">
        <v>85</v>
      </c>
      <c r="E53" t="s">
        <v>81</v>
      </c>
      <c r="F53" t="s">
        <v>86</v>
      </c>
      <c r="G53" t="s">
        <v>87</v>
      </c>
      <c r="H53" t="s">
        <v>17</v>
      </c>
      <c r="I53" t="s">
        <v>89</v>
      </c>
      <c r="J53" t="s">
        <v>19</v>
      </c>
      <c r="K53">
        <v>50</v>
      </c>
      <c r="L53">
        <v>0</v>
      </c>
      <c r="M53" t="s">
        <v>20</v>
      </c>
    </row>
    <row r="54" spans="1:13" x14ac:dyDescent="0.35">
      <c r="A54">
        <v>53</v>
      </c>
      <c r="B54">
        <v>583005095</v>
      </c>
      <c r="C54">
        <v>35814</v>
      </c>
      <c r="D54" t="s">
        <v>85</v>
      </c>
      <c r="E54" t="s">
        <v>81</v>
      </c>
      <c r="F54" t="s">
        <v>86</v>
      </c>
      <c r="G54" t="s">
        <v>87</v>
      </c>
      <c r="H54" t="s">
        <v>17</v>
      </c>
      <c r="I54" t="s">
        <v>90</v>
      </c>
      <c r="J54" t="s">
        <v>74</v>
      </c>
      <c r="K54">
        <v>3</v>
      </c>
      <c r="L54">
        <v>0</v>
      </c>
      <c r="M54" t="s">
        <v>20</v>
      </c>
    </row>
    <row r="55" spans="1:13" x14ac:dyDescent="0.35">
      <c r="A55">
        <v>54</v>
      </c>
      <c r="B55">
        <v>583005062</v>
      </c>
      <c r="C55">
        <v>35772</v>
      </c>
      <c r="D55" t="s">
        <v>82</v>
      </c>
      <c r="E55" t="s">
        <v>81</v>
      </c>
      <c r="F55" t="s">
        <v>83</v>
      </c>
      <c r="G55" t="s">
        <v>84</v>
      </c>
      <c r="H55" t="s">
        <v>17</v>
      </c>
      <c r="I55" t="s">
        <v>91</v>
      </c>
      <c r="J55" t="s">
        <v>25</v>
      </c>
      <c r="K55">
        <v>720</v>
      </c>
      <c r="L55">
        <v>0</v>
      </c>
      <c r="M55" t="s">
        <v>20</v>
      </c>
    </row>
    <row r="56" spans="1:13" x14ac:dyDescent="0.35">
      <c r="A56">
        <v>55</v>
      </c>
      <c r="B56">
        <v>583005103</v>
      </c>
      <c r="C56">
        <v>35823</v>
      </c>
      <c r="D56" t="s">
        <v>92</v>
      </c>
      <c r="E56" t="s">
        <v>81</v>
      </c>
      <c r="F56" t="s">
        <v>93</v>
      </c>
      <c r="G56" t="s">
        <v>94</v>
      </c>
      <c r="H56" t="s">
        <v>17</v>
      </c>
      <c r="I56" t="s">
        <v>18</v>
      </c>
      <c r="J56" t="s">
        <v>19</v>
      </c>
      <c r="K56">
        <v>72</v>
      </c>
      <c r="L56">
        <v>0</v>
      </c>
      <c r="M56" t="s">
        <v>20</v>
      </c>
    </row>
    <row r="57" spans="1:13" x14ac:dyDescent="0.35">
      <c r="A57">
        <v>56</v>
      </c>
      <c r="B57">
        <v>583005105</v>
      </c>
      <c r="C57">
        <v>35825</v>
      </c>
      <c r="D57" t="s">
        <v>92</v>
      </c>
      <c r="E57" t="s">
        <v>81</v>
      </c>
      <c r="F57" t="s">
        <v>93</v>
      </c>
      <c r="G57" t="s">
        <v>94</v>
      </c>
      <c r="H57" t="s">
        <v>17</v>
      </c>
      <c r="I57" t="s">
        <v>18</v>
      </c>
      <c r="J57" t="s">
        <v>19</v>
      </c>
      <c r="K57">
        <v>90</v>
      </c>
      <c r="L57">
        <v>0</v>
      </c>
      <c r="M57" t="s">
        <v>20</v>
      </c>
    </row>
    <row r="58" spans="1:13" x14ac:dyDescent="0.35">
      <c r="A58">
        <v>57</v>
      </c>
      <c r="B58">
        <v>583005090</v>
      </c>
      <c r="C58">
        <v>35809</v>
      </c>
      <c r="D58" t="s">
        <v>53</v>
      </c>
      <c r="E58" t="s">
        <v>81</v>
      </c>
      <c r="F58" t="s">
        <v>54</v>
      </c>
      <c r="G58" t="s">
        <v>55</v>
      </c>
      <c r="H58" t="s">
        <v>17</v>
      </c>
      <c r="I58" t="s">
        <v>18</v>
      </c>
      <c r="J58" t="s">
        <v>19</v>
      </c>
      <c r="K58">
        <v>36</v>
      </c>
      <c r="L58">
        <v>0</v>
      </c>
      <c r="M58" t="s">
        <v>20</v>
      </c>
    </row>
    <row r="59" spans="1:13" x14ac:dyDescent="0.35">
      <c r="A59">
        <v>58</v>
      </c>
      <c r="B59">
        <v>583005091</v>
      </c>
      <c r="C59">
        <v>35810</v>
      </c>
      <c r="D59" t="s">
        <v>53</v>
      </c>
      <c r="E59" t="s">
        <v>81</v>
      </c>
      <c r="F59" t="s">
        <v>54</v>
      </c>
      <c r="G59" t="s">
        <v>55</v>
      </c>
      <c r="H59" t="s">
        <v>17</v>
      </c>
      <c r="I59" t="s">
        <v>18</v>
      </c>
      <c r="J59" t="s">
        <v>19</v>
      </c>
      <c r="K59">
        <v>33</v>
      </c>
      <c r="L59">
        <v>0</v>
      </c>
      <c r="M59" t="s">
        <v>20</v>
      </c>
    </row>
    <row r="60" spans="1:13" x14ac:dyDescent="0.35">
      <c r="A60">
        <v>59</v>
      </c>
      <c r="B60">
        <v>583005109</v>
      </c>
      <c r="C60">
        <v>35829</v>
      </c>
      <c r="D60" t="s">
        <v>95</v>
      </c>
      <c r="E60" t="s">
        <v>81</v>
      </c>
      <c r="F60" t="s">
        <v>96</v>
      </c>
      <c r="G60" t="s">
        <v>97</v>
      </c>
      <c r="H60" t="s">
        <v>17</v>
      </c>
      <c r="I60" t="s">
        <v>18</v>
      </c>
      <c r="J60" t="s">
        <v>19</v>
      </c>
      <c r="K60">
        <v>12</v>
      </c>
      <c r="L60">
        <v>0</v>
      </c>
      <c r="M60" t="s">
        <v>20</v>
      </c>
    </row>
    <row r="61" spans="1:13" x14ac:dyDescent="0.35">
      <c r="A61">
        <v>60</v>
      </c>
      <c r="B61">
        <v>583005064</v>
      </c>
      <c r="C61">
        <v>35777</v>
      </c>
      <c r="D61" t="s">
        <v>21</v>
      </c>
      <c r="E61" t="s">
        <v>81</v>
      </c>
      <c r="F61" t="s">
        <v>22</v>
      </c>
      <c r="G61" t="s">
        <v>23</v>
      </c>
      <c r="H61" t="s">
        <v>17</v>
      </c>
      <c r="I61" t="s">
        <v>24</v>
      </c>
      <c r="J61" t="s">
        <v>25</v>
      </c>
      <c r="K61">
        <v>10</v>
      </c>
      <c r="L61">
        <v>0</v>
      </c>
      <c r="M61" t="s">
        <v>20</v>
      </c>
    </row>
    <row r="62" spans="1:13" x14ac:dyDescent="0.35">
      <c r="A62">
        <v>61</v>
      </c>
      <c r="B62">
        <v>583005097</v>
      </c>
      <c r="C62">
        <v>35817</v>
      </c>
      <c r="D62" t="s">
        <v>98</v>
      </c>
      <c r="E62" t="s">
        <v>81</v>
      </c>
      <c r="F62" t="s">
        <v>99</v>
      </c>
      <c r="G62" t="s">
        <v>100</v>
      </c>
      <c r="H62" t="s">
        <v>17</v>
      </c>
      <c r="I62" t="s">
        <v>18</v>
      </c>
      <c r="J62" t="s">
        <v>19</v>
      </c>
      <c r="K62">
        <v>81</v>
      </c>
      <c r="L62">
        <v>0</v>
      </c>
      <c r="M62" t="s">
        <v>20</v>
      </c>
    </row>
    <row r="63" spans="1:13" x14ac:dyDescent="0.35">
      <c r="A63">
        <v>62</v>
      </c>
      <c r="B63">
        <v>583005092</v>
      </c>
      <c r="C63">
        <v>35811</v>
      </c>
      <c r="D63" t="s">
        <v>53</v>
      </c>
      <c r="E63" t="s">
        <v>81</v>
      </c>
      <c r="F63" t="s">
        <v>54</v>
      </c>
      <c r="G63" t="s">
        <v>55</v>
      </c>
      <c r="H63" t="s">
        <v>17</v>
      </c>
      <c r="I63" t="s">
        <v>18</v>
      </c>
      <c r="J63" t="s">
        <v>19</v>
      </c>
      <c r="K63">
        <v>36</v>
      </c>
      <c r="L63">
        <v>0</v>
      </c>
      <c r="M63" t="s">
        <v>20</v>
      </c>
    </row>
    <row r="64" spans="1:13" x14ac:dyDescent="0.35">
      <c r="A64">
        <v>63</v>
      </c>
      <c r="B64">
        <v>583005066</v>
      </c>
      <c r="C64">
        <v>35779</v>
      </c>
      <c r="D64" t="s">
        <v>101</v>
      </c>
      <c r="E64" t="s">
        <v>81</v>
      </c>
      <c r="F64" t="s">
        <v>102</v>
      </c>
      <c r="G64" t="s">
        <v>103</v>
      </c>
      <c r="H64" t="s">
        <v>17</v>
      </c>
      <c r="I64" t="s">
        <v>24</v>
      </c>
      <c r="J64" t="s">
        <v>25</v>
      </c>
      <c r="K64">
        <v>2</v>
      </c>
      <c r="L64">
        <v>0</v>
      </c>
      <c r="M64" t="s">
        <v>20</v>
      </c>
    </row>
    <row r="65" spans="1:13" x14ac:dyDescent="0.35">
      <c r="A65">
        <v>64</v>
      </c>
      <c r="B65">
        <v>583005108</v>
      </c>
      <c r="C65">
        <v>35828</v>
      </c>
      <c r="D65" t="s">
        <v>104</v>
      </c>
      <c r="E65" t="s">
        <v>81</v>
      </c>
      <c r="F65" t="s">
        <v>105</v>
      </c>
      <c r="G65" t="s">
        <v>106</v>
      </c>
      <c r="H65" t="s">
        <v>17</v>
      </c>
      <c r="I65" t="s">
        <v>18</v>
      </c>
      <c r="J65" t="s">
        <v>19</v>
      </c>
      <c r="K65">
        <v>108</v>
      </c>
      <c r="L65">
        <v>0</v>
      </c>
      <c r="M65" t="s">
        <v>20</v>
      </c>
    </row>
    <row r="66" spans="1:13" x14ac:dyDescent="0.35">
      <c r="A66">
        <v>65</v>
      </c>
      <c r="B66">
        <v>583005107</v>
      </c>
      <c r="C66">
        <v>35827</v>
      </c>
      <c r="D66" t="s">
        <v>92</v>
      </c>
      <c r="E66" t="s">
        <v>81</v>
      </c>
      <c r="F66" t="s">
        <v>93</v>
      </c>
      <c r="G66" t="s">
        <v>94</v>
      </c>
      <c r="H66" t="s">
        <v>17</v>
      </c>
      <c r="I66" t="s">
        <v>18</v>
      </c>
      <c r="J66" t="s">
        <v>19</v>
      </c>
      <c r="K66">
        <v>180</v>
      </c>
      <c r="L66">
        <v>0</v>
      </c>
      <c r="M66" t="s">
        <v>20</v>
      </c>
    </row>
    <row r="67" spans="1:13" x14ac:dyDescent="0.35">
      <c r="A67">
        <v>66</v>
      </c>
      <c r="B67">
        <v>583005101</v>
      </c>
      <c r="C67">
        <v>35821</v>
      </c>
      <c r="D67" t="s">
        <v>92</v>
      </c>
      <c r="E67" t="s">
        <v>81</v>
      </c>
      <c r="F67" t="s">
        <v>93</v>
      </c>
      <c r="G67" t="s">
        <v>94</v>
      </c>
      <c r="H67" t="s">
        <v>17</v>
      </c>
      <c r="I67" t="s">
        <v>18</v>
      </c>
      <c r="J67" t="s">
        <v>19</v>
      </c>
      <c r="K67">
        <v>180</v>
      </c>
      <c r="L67">
        <v>0</v>
      </c>
      <c r="M67" t="s">
        <v>20</v>
      </c>
    </row>
    <row r="68" spans="1:13" x14ac:dyDescent="0.35">
      <c r="A68">
        <v>67</v>
      </c>
      <c r="B68">
        <v>583005098</v>
      </c>
      <c r="C68">
        <v>35818</v>
      </c>
      <c r="D68" t="s">
        <v>107</v>
      </c>
      <c r="E68" t="s">
        <v>81</v>
      </c>
      <c r="F68" t="s">
        <v>108</v>
      </c>
      <c r="G68" t="s">
        <v>109</v>
      </c>
      <c r="H68" t="s">
        <v>17</v>
      </c>
      <c r="I68" t="s">
        <v>18</v>
      </c>
      <c r="J68" t="s">
        <v>19</v>
      </c>
      <c r="K68">
        <v>9</v>
      </c>
      <c r="L68">
        <v>0</v>
      </c>
      <c r="M68" t="s">
        <v>20</v>
      </c>
    </row>
    <row r="69" spans="1:13" x14ac:dyDescent="0.35">
      <c r="A69">
        <v>68</v>
      </c>
      <c r="B69">
        <v>583005102</v>
      </c>
      <c r="C69">
        <v>35822</v>
      </c>
      <c r="D69" t="s">
        <v>110</v>
      </c>
      <c r="E69" t="s">
        <v>81</v>
      </c>
      <c r="F69" t="s">
        <v>111</v>
      </c>
      <c r="G69" t="s">
        <v>112</v>
      </c>
      <c r="H69" t="s">
        <v>17</v>
      </c>
      <c r="I69" t="s">
        <v>18</v>
      </c>
      <c r="J69" t="s">
        <v>19</v>
      </c>
      <c r="K69">
        <v>45</v>
      </c>
      <c r="L69">
        <v>0</v>
      </c>
      <c r="M69" t="s">
        <v>20</v>
      </c>
    </row>
    <row r="70" spans="1:13" x14ac:dyDescent="0.35">
      <c r="A70">
        <v>69</v>
      </c>
      <c r="B70">
        <v>583005100</v>
      </c>
      <c r="C70">
        <v>35820</v>
      </c>
      <c r="D70" t="s">
        <v>65</v>
      </c>
      <c r="E70" t="s">
        <v>81</v>
      </c>
      <c r="F70" t="s">
        <v>66</v>
      </c>
      <c r="G70" t="s">
        <v>67</v>
      </c>
      <c r="H70" t="s">
        <v>17</v>
      </c>
      <c r="I70" t="s">
        <v>18</v>
      </c>
      <c r="J70" t="s">
        <v>19</v>
      </c>
      <c r="K70">
        <v>12</v>
      </c>
      <c r="L70">
        <v>0</v>
      </c>
      <c r="M70" t="s">
        <v>20</v>
      </c>
    </row>
    <row r="71" spans="1:13" x14ac:dyDescent="0.35">
      <c r="A71">
        <v>70</v>
      </c>
      <c r="B71">
        <v>583005110</v>
      </c>
      <c r="C71">
        <v>35830</v>
      </c>
      <c r="D71" t="s">
        <v>95</v>
      </c>
      <c r="E71" t="s">
        <v>81</v>
      </c>
      <c r="F71" t="s">
        <v>96</v>
      </c>
      <c r="G71" t="s">
        <v>97</v>
      </c>
      <c r="H71" t="s">
        <v>17</v>
      </c>
      <c r="I71" t="s">
        <v>18</v>
      </c>
      <c r="J71" t="s">
        <v>19</v>
      </c>
      <c r="K71">
        <v>270</v>
      </c>
      <c r="L71">
        <v>0</v>
      </c>
      <c r="M71" t="s">
        <v>20</v>
      </c>
    </row>
    <row r="72" spans="1:13" x14ac:dyDescent="0.35">
      <c r="A72">
        <v>71</v>
      </c>
      <c r="B72">
        <v>583005099</v>
      </c>
      <c r="C72">
        <v>35819</v>
      </c>
      <c r="D72" t="s">
        <v>113</v>
      </c>
      <c r="E72" t="s">
        <v>81</v>
      </c>
      <c r="F72" t="s">
        <v>114</v>
      </c>
      <c r="G72" t="s">
        <v>115</v>
      </c>
      <c r="H72" t="s">
        <v>17</v>
      </c>
      <c r="I72" t="s">
        <v>18</v>
      </c>
      <c r="J72" t="s">
        <v>19</v>
      </c>
      <c r="K72">
        <v>45</v>
      </c>
      <c r="L72">
        <v>0</v>
      </c>
      <c r="M72" t="s">
        <v>20</v>
      </c>
    </row>
    <row r="73" spans="1:13" x14ac:dyDescent="0.35">
      <c r="A73">
        <v>72</v>
      </c>
      <c r="B73">
        <v>583005116</v>
      </c>
      <c r="C73">
        <v>35838</v>
      </c>
      <c r="D73" t="s">
        <v>116</v>
      </c>
      <c r="E73" t="s">
        <v>81</v>
      </c>
      <c r="F73" t="s">
        <v>117</v>
      </c>
      <c r="G73" t="s">
        <v>118</v>
      </c>
      <c r="H73" t="s">
        <v>17</v>
      </c>
      <c r="I73" t="s">
        <v>18</v>
      </c>
      <c r="J73" t="s">
        <v>19</v>
      </c>
      <c r="K73">
        <v>4092</v>
      </c>
      <c r="L73">
        <v>0</v>
      </c>
      <c r="M73" t="s">
        <v>20</v>
      </c>
    </row>
    <row r="74" spans="1:13" x14ac:dyDescent="0.35">
      <c r="A74">
        <v>73</v>
      </c>
      <c r="B74">
        <v>583005065</v>
      </c>
      <c r="C74">
        <v>35778</v>
      </c>
      <c r="D74" t="s">
        <v>101</v>
      </c>
      <c r="E74" t="s">
        <v>81</v>
      </c>
      <c r="F74" t="s">
        <v>102</v>
      </c>
      <c r="G74" t="s">
        <v>103</v>
      </c>
      <c r="H74" t="s">
        <v>17</v>
      </c>
      <c r="I74" t="s">
        <v>63</v>
      </c>
      <c r="J74" t="s">
        <v>64</v>
      </c>
      <c r="K74">
        <v>224</v>
      </c>
      <c r="L74">
        <v>396.48</v>
      </c>
      <c r="M74" t="s">
        <v>20</v>
      </c>
    </row>
    <row r="75" spans="1:13" x14ac:dyDescent="0.35">
      <c r="A75">
        <v>74</v>
      </c>
      <c r="B75">
        <v>583005111</v>
      </c>
      <c r="C75">
        <v>35831</v>
      </c>
      <c r="D75" t="s">
        <v>119</v>
      </c>
      <c r="E75" t="s">
        <v>81</v>
      </c>
      <c r="F75" t="s">
        <v>120</v>
      </c>
      <c r="G75" t="s">
        <v>121</v>
      </c>
      <c r="H75" t="s">
        <v>17</v>
      </c>
      <c r="I75" t="s">
        <v>18</v>
      </c>
      <c r="J75" t="s">
        <v>19</v>
      </c>
      <c r="K75">
        <v>12</v>
      </c>
      <c r="L75">
        <v>0</v>
      </c>
      <c r="M75" t="s">
        <v>20</v>
      </c>
    </row>
    <row r="76" spans="1:13" x14ac:dyDescent="0.35">
      <c r="A76">
        <v>75</v>
      </c>
      <c r="B76">
        <v>583005089</v>
      </c>
      <c r="C76">
        <v>35808</v>
      </c>
      <c r="D76" t="s">
        <v>122</v>
      </c>
      <c r="E76" t="s">
        <v>81</v>
      </c>
      <c r="F76" t="s">
        <v>123</v>
      </c>
      <c r="G76" t="s">
        <v>124</v>
      </c>
      <c r="H76" t="s">
        <v>17</v>
      </c>
      <c r="I76" t="s">
        <v>18</v>
      </c>
      <c r="J76" t="s">
        <v>19</v>
      </c>
      <c r="K76">
        <v>21</v>
      </c>
      <c r="L76">
        <v>0</v>
      </c>
      <c r="M76" t="s">
        <v>20</v>
      </c>
    </row>
    <row r="77" spans="1:13" x14ac:dyDescent="0.35">
      <c r="A77">
        <v>76</v>
      </c>
      <c r="B77">
        <v>583005093</v>
      </c>
      <c r="C77">
        <v>35812</v>
      </c>
      <c r="D77" t="s">
        <v>53</v>
      </c>
      <c r="E77" t="s">
        <v>81</v>
      </c>
      <c r="F77" t="s">
        <v>54</v>
      </c>
      <c r="G77" t="s">
        <v>55</v>
      </c>
      <c r="H77" t="s">
        <v>17</v>
      </c>
      <c r="I77" t="s">
        <v>18</v>
      </c>
      <c r="J77" t="s">
        <v>19</v>
      </c>
      <c r="K77">
        <v>39</v>
      </c>
      <c r="L77">
        <v>0</v>
      </c>
      <c r="M77" t="s">
        <v>20</v>
      </c>
    </row>
    <row r="78" spans="1:13" x14ac:dyDescent="0.35">
      <c r="A78">
        <v>77</v>
      </c>
      <c r="B78">
        <v>583005142</v>
      </c>
      <c r="C78">
        <v>35876</v>
      </c>
      <c r="D78" t="s">
        <v>125</v>
      </c>
      <c r="E78" t="s">
        <v>126</v>
      </c>
      <c r="F78" t="s">
        <v>127</v>
      </c>
      <c r="G78" t="s">
        <v>128</v>
      </c>
      <c r="H78" t="s">
        <v>17</v>
      </c>
      <c r="I78" t="s">
        <v>18</v>
      </c>
      <c r="J78" t="s">
        <v>19</v>
      </c>
      <c r="K78">
        <v>3141</v>
      </c>
      <c r="L78">
        <v>0</v>
      </c>
      <c r="M78" t="s">
        <v>20</v>
      </c>
    </row>
    <row r="79" spans="1:13" x14ac:dyDescent="0.35">
      <c r="A79">
        <v>78</v>
      </c>
      <c r="B79">
        <v>583005142</v>
      </c>
      <c r="C79">
        <v>35876</v>
      </c>
      <c r="D79" t="s">
        <v>125</v>
      </c>
      <c r="E79" t="s">
        <v>126</v>
      </c>
      <c r="F79" t="s">
        <v>127</v>
      </c>
      <c r="G79" t="s">
        <v>128</v>
      </c>
      <c r="H79" t="s">
        <v>17</v>
      </c>
      <c r="I79" t="s">
        <v>18</v>
      </c>
      <c r="J79" t="s">
        <v>19</v>
      </c>
      <c r="K79">
        <v>1191</v>
      </c>
      <c r="L79">
        <v>0</v>
      </c>
      <c r="M79" t="s">
        <v>20</v>
      </c>
    </row>
    <row r="80" spans="1:13" x14ac:dyDescent="0.35">
      <c r="A80">
        <v>79</v>
      </c>
      <c r="B80">
        <v>583005142</v>
      </c>
      <c r="C80">
        <v>35876</v>
      </c>
      <c r="D80" t="s">
        <v>125</v>
      </c>
      <c r="E80" t="s">
        <v>126</v>
      </c>
      <c r="F80" t="s">
        <v>127</v>
      </c>
      <c r="G80" t="s">
        <v>128</v>
      </c>
      <c r="H80" t="s">
        <v>17</v>
      </c>
      <c r="I80" t="s">
        <v>18</v>
      </c>
      <c r="J80" t="s">
        <v>19</v>
      </c>
      <c r="K80">
        <v>225</v>
      </c>
      <c r="L80">
        <v>0</v>
      </c>
      <c r="M80" t="s">
        <v>20</v>
      </c>
    </row>
    <row r="81" spans="1:13" x14ac:dyDescent="0.35">
      <c r="A81">
        <v>80</v>
      </c>
      <c r="B81">
        <v>583005176</v>
      </c>
      <c r="C81">
        <v>35914</v>
      </c>
      <c r="D81" t="s">
        <v>129</v>
      </c>
      <c r="E81" t="s">
        <v>126</v>
      </c>
      <c r="F81" t="s">
        <v>130</v>
      </c>
      <c r="G81" t="s">
        <v>131</v>
      </c>
      <c r="H81" t="s">
        <v>17</v>
      </c>
      <c r="I81" t="s">
        <v>18</v>
      </c>
      <c r="J81" t="s">
        <v>19</v>
      </c>
      <c r="K81">
        <v>24</v>
      </c>
      <c r="L81">
        <v>0</v>
      </c>
      <c r="M81" t="s">
        <v>20</v>
      </c>
    </row>
    <row r="82" spans="1:13" x14ac:dyDescent="0.35">
      <c r="A82">
        <v>81</v>
      </c>
      <c r="B82">
        <v>583005175</v>
      </c>
      <c r="C82">
        <v>35913</v>
      </c>
      <c r="D82" t="s">
        <v>129</v>
      </c>
      <c r="E82" t="s">
        <v>126</v>
      </c>
      <c r="F82" t="s">
        <v>130</v>
      </c>
      <c r="G82" t="s">
        <v>131</v>
      </c>
      <c r="H82" t="s">
        <v>17</v>
      </c>
      <c r="I82" t="s">
        <v>18</v>
      </c>
      <c r="J82" t="s">
        <v>19</v>
      </c>
      <c r="K82">
        <v>90</v>
      </c>
      <c r="L82">
        <v>0</v>
      </c>
      <c r="M82" t="s">
        <v>20</v>
      </c>
    </row>
    <row r="83" spans="1:13" x14ac:dyDescent="0.35">
      <c r="A83">
        <v>82</v>
      </c>
      <c r="B83">
        <v>583005177</v>
      </c>
      <c r="C83">
        <v>35915</v>
      </c>
      <c r="D83" t="s">
        <v>98</v>
      </c>
      <c r="E83" t="s">
        <v>126</v>
      </c>
      <c r="F83" t="s">
        <v>99</v>
      </c>
      <c r="G83" t="s">
        <v>100</v>
      </c>
      <c r="H83" t="s">
        <v>17</v>
      </c>
      <c r="I83" t="s">
        <v>18</v>
      </c>
      <c r="J83" t="s">
        <v>19</v>
      </c>
      <c r="K83">
        <v>168</v>
      </c>
      <c r="L83">
        <v>0</v>
      </c>
      <c r="M83" t="s">
        <v>20</v>
      </c>
    </row>
    <row r="84" spans="1:13" x14ac:dyDescent="0.35">
      <c r="A84">
        <v>83</v>
      </c>
      <c r="B84">
        <v>583005158</v>
      </c>
      <c r="C84">
        <v>35896</v>
      </c>
      <c r="D84" t="s">
        <v>132</v>
      </c>
      <c r="E84" t="s">
        <v>126</v>
      </c>
      <c r="F84" t="s">
        <v>133</v>
      </c>
      <c r="G84" t="s">
        <v>134</v>
      </c>
      <c r="H84" t="s">
        <v>17</v>
      </c>
      <c r="I84" t="s">
        <v>18</v>
      </c>
      <c r="J84" t="s">
        <v>19</v>
      </c>
      <c r="K84">
        <v>81</v>
      </c>
      <c r="L84">
        <v>0</v>
      </c>
      <c r="M84" t="s">
        <v>20</v>
      </c>
    </row>
    <row r="85" spans="1:13" x14ac:dyDescent="0.35">
      <c r="A85">
        <v>84</v>
      </c>
      <c r="B85">
        <v>583005160</v>
      </c>
      <c r="C85">
        <v>35898</v>
      </c>
      <c r="D85" t="s">
        <v>104</v>
      </c>
      <c r="E85" t="s">
        <v>126</v>
      </c>
      <c r="F85" t="s">
        <v>105</v>
      </c>
      <c r="G85" t="s">
        <v>106</v>
      </c>
      <c r="H85" t="s">
        <v>17</v>
      </c>
      <c r="I85" t="s">
        <v>18</v>
      </c>
      <c r="J85" t="s">
        <v>19</v>
      </c>
      <c r="K85">
        <v>45</v>
      </c>
      <c r="L85">
        <v>0</v>
      </c>
      <c r="M85" t="s">
        <v>20</v>
      </c>
    </row>
    <row r="86" spans="1:13" x14ac:dyDescent="0.35">
      <c r="A86">
        <v>85</v>
      </c>
      <c r="B86">
        <v>583005121</v>
      </c>
      <c r="C86">
        <v>35849</v>
      </c>
      <c r="D86" t="s">
        <v>82</v>
      </c>
      <c r="E86" t="s">
        <v>126</v>
      </c>
      <c r="F86" t="s">
        <v>83</v>
      </c>
      <c r="G86" t="s">
        <v>84</v>
      </c>
      <c r="H86" t="s">
        <v>17</v>
      </c>
      <c r="I86" t="s">
        <v>135</v>
      </c>
      <c r="J86" t="s">
        <v>19</v>
      </c>
      <c r="K86">
        <v>300</v>
      </c>
      <c r="L86">
        <v>0</v>
      </c>
      <c r="M86" t="s">
        <v>20</v>
      </c>
    </row>
    <row r="87" spans="1:13" x14ac:dyDescent="0.35">
      <c r="A87">
        <v>86</v>
      </c>
      <c r="B87">
        <v>583005179</v>
      </c>
      <c r="C87">
        <v>35917</v>
      </c>
      <c r="D87" t="s">
        <v>136</v>
      </c>
      <c r="E87" t="s">
        <v>126</v>
      </c>
      <c r="F87" t="s">
        <v>137</v>
      </c>
      <c r="G87" t="s">
        <v>138</v>
      </c>
      <c r="H87" t="s">
        <v>17</v>
      </c>
      <c r="I87" t="s">
        <v>18</v>
      </c>
      <c r="J87" t="s">
        <v>19</v>
      </c>
      <c r="K87">
        <v>2310</v>
      </c>
      <c r="L87">
        <v>0</v>
      </c>
      <c r="M87" t="s">
        <v>20</v>
      </c>
    </row>
    <row r="88" spans="1:13" x14ac:dyDescent="0.35">
      <c r="A88">
        <v>87</v>
      </c>
      <c r="B88">
        <v>583005162</v>
      </c>
      <c r="C88">
        <v>35900</v>
      </c>
      <c r="D88" t="s">
        <v>119</v>
      </c>
      <c r="E88" t="s">
        <v>126</v>
      </c>
      <c r="F88" t="s">
        <v>120</v>
      </c>
      <c r="G88" t="s">
        <v>121</v>
      </c>
      <c r="H88" t="s">
        <v>17</v>
      </c>
      <c r="I88" t="s">
        <v>18</v>
      </c>
      <c r="J88" t="s">
        <v>19</v>
      </c>
      <c r="K88">
        <v>12</v>
      </c>
      <c r="L88">
        <v>0</v>
      </c>
      <c r="M88" t="s">
        <v>20</v>
      </c>
    </row>
    <row r="89" spans="1:13" x14ac:dyDescent="0.35">
      <c r="A89">
        <v>88</v>
      </c>
      <c r="B89">
        <v>583005179</v>
      </c>
      <c r="C89">
        <v>35917</v>
      </c>
      <c r="D89" t="s">
        <v>136</v>
      </c>
      <c r="E89" t="s">
        <v>126</v>
      </c>
      <c r="F89" t="s">
        <v>137</v>
      </c>
      <c r="G89" t="s">
        <v>138</v>
      </c>
      <c r="H89" t="s">
        <v>17</v>
      </c>
      <c r="I89" t="s">
        <v>18</v>
      </c>
      <c r="J89" t="s">
        <v>19</v>
      </c>
      <c r="K89">
        <v>885</v>
      </c>
      <c r="L89">
        <v>0</v>
      </c>
      <c r="M89" t="s">
        <v>20</v>
      </c>
    </row>
    <row r="90" spans="1:13" x14ac:dyDescent="0.35">
      <c r="A90">
        <v>89</v>
      </c>
      <c r="B90">
        <v>583005125</v>
      </c>
      <c r="C90">
        <v>35854</v>
      </c>
      <c r="D90" t="s">
        <v>139</v>
      </c>
      <c r="E90" t="s">
        <v>126</v>
      </c>
      <c r="F90" t="s">
        <v>140</v>
      </c>
      <c r="G90" t="s">
        <v>141</v>
      </c>
      <c r="H90" t="s">
        <v>17</v>
      </c>
      <c r="I90" t="s">
        <v>18</v>
      </c>
      <c r="J90" t="s">
        <v>19</v>
      </c>
      <c r="K90">
        <v>12</v>
      </c>
      <c r="L90">
        <v>0</v>
      </c>
      <c r="M90" t="s">
        <v>20</v>
      </c>
    </row>
    <row r="91" spans="1:13" x14ac:dyDescent="0.35">
      <c r="A91">
        <v>90</v>
      </c>
      <c r="B91">
        <v>583005169</v>
      </c>
      <c r="C91">
        <v>35907</v>
      </c>
      <c r="D91" t="s">
        <v>110</v>
      </c>
      <c r="E91" t="s">
        <v>126</v>
      </c>
      <c r="F91" t="s">
        <v>111</v>
      </c>
      <c r="G91" t="s">
        <v>112</v>
      </c>
      <c r="H91" t="s">
        <v>17</v>
      </c>
      <c r="I91" t="s">
        <v>18</v>
      </c>
      <c r="J91" t="s">
        <v>19</v>
      </c>
      <c r="K91">
        <v>51</v>
      </c>
      <c r="L91">
        <v>0</v>
      </c>
      <c r="M91" t="s">
        <v>20</v>
      </c>
    </row>
    <row r="92" spans="1:13" x14ac:dyDescent="0.35">
      <c r="A92">
        <v>91</v>
      </c>
      <c r="B92">
        <v>583005181</v>
      </c>
      <c r="C92">
        <v>35919</v>
      </c>
      <c r="D92" t="s">
        <v>136</v>
      </c>
      <c r="E92" t="s">
        <v>126</v>
      </c>
      <c r="F92" t="s">
        <v>137</v>
      </c>
      <c r="G92" t="s">
        <v>138</v>
      </c>
      <c r="H92" t="s">
        <v>17</v>
      </c>
      <c r="I92" t="s">
        <v>24</v>
      </c>
      <c r="J92" t="s">
        <v>25</v>
      </c>
      <c r="K92">
        <v>8</v>
      </c>
      <c r="L92">
        <v>0</v>
      </c>
      <c r="M92" t="s">
        <v>20</v>
      </c>
    </row>
    <row r="93" spans="1:13" x14ac:dyDescent="0.35">
      <c r="A93">
        <v>92</v>
      </c>
      <c r="B93">
        <v>583005171</v>
      </c>
      <c r="C93">
        <v>35909</v>
      </c>
      <c r="D93" t="s">
        <v>56</v>
      </c>
      <c r="E93" t="s">
        <v>126</v>
      </c>
      <c r="F93" t="s">
        <v>57</v>
      </c>
      <c r="G93" t="s">
        <v>58</v>
      </c>
      <c r="H93" t="s">
        <v>17</v>
      </c>
      <c r="I93" t="s">
        <v>18</v>
      </c>
      <c r="J93" t="s">
        <v>19</v>
      </c>
      <c r="K93">
        <v>57</v>
      </c>
      <c r="L93">
        <v>0</v>
      </c>
      <c r="M93" t="s">
        <v>20</v>
      </c>
    </row>
    <row r="94" spans="1:13" x14ac:dyDescent="0.35">
      <c r="A94">
        <v>93</v>
      </c>
      <c r="B94">
        <v>583005157</v>
      </c>
      <c r="C94">
        <v>35895</v>
      </c>
      <c r="D94" t="s">
        <v>65</v>
      </c>
      <c r="E94" t="s">
        <v>126</v>
      </c>
      <c r="F94" t="s">
        <v>66</v>
      </c>
      <c r="G94" t="s">
        <v>67</v>
      </c>
      <c r="H94" t="s">
        <v>17</v>
      </c>
      <c r="I94" t="s">
        <v>18</v>
      </c>
      <c r="J94" t="s">
        <v>19</v>
      </c>
      <c r="K94">
        <v>24</v>
      </c>
      <c r="L94">
        <v>0</v>
      </c>
      <c r="M94" t="s">
        <v>20</v>
      </c>
    </row>
    <row r="95" spans="1:13" x14ac:dyDescent="0.35">
      <c r="A95">
        <v>94</v>
      </c>
      <c r="B95">
        <v>583005136</v>
      </c>
      <c r="C95">
        <v>35868</v>
      </c>
      <c r="E95" t="s">
        <v>126</v>
      </c>
      <c r="F95" t="s">
        <v>142</v>
      </c>
      <c r="G95" t="s">
        <v>143</v>
      </c>
      <c r="H95" t="s">
        <v>17</v>
      </c>
      <c r="I95" t="s">
        <v>63</v>
      </c>
      <c r="J95" t="s">
        <v>64</v>
      </c>
      <c r="K95">
        <v>1344</v>
      </c>
      <c r="L95">
        <v>2378.88</v>
      </c>
      <c r="M95" t="s">
        <v>20</v>
      </c>
    </row>
    <row r="96" spans="1:13" x14ac:dyDescent="0.35">
      <c r="A96">
        <v>95</v>
      </c>
      <c r="B96">
        <v>583005166</v>
      </c>
      <c r="C96">
        <v>35904</v>
      </c>
      <c r="D96" t="s">
        <v>144</v>
      </c>
      <c r="E96" t="s">
        <v>126</v>
      </c>
      <c r="F96" t="s">
        <v>145</v>
      </c>
      <c r="G96" t="s">
        <v>146</v>
      </c>
      <c r="H96" t="s">
        <v>17</v>
      </c>
      <c r="I96" t="s">
        <v>18</v>
      </c>
      <c r="J96" t="s">
        <v>19</v>
      </c>
      <c r="K96">
        <v>90</v>
      </c>
      <c r="L96">
        <v>0</v>
      </c>
      <c r="M96" t="s">
        <v>20</v>
      </c>
    </row>
    <row r="97" spans="1:13" x14ac:dyDescent="0.35">
      <c r="A97">
        <v>96</v>
      </c>
      <c r="B97">
        <v>583005140</v>
      </c>
      <c r="C97">
        <v>35873</v>
      </c>
      <c r="D97" t="s">
        <v>147</v>
      </c>
      <c r="E97" t="s">
        <v>126</v>
      </c>
      <c r="F97" t="s">
        <v>148</v>
      </c>
      <c r="G97" t="s">
        <v>149</v>
      </c>
      <c r="H97" t="s">
        <v>17</v>
      </c>
      <c r="I97" t="s">
        <v>18</v>
      </c>
      <c r="J97" t="s">
        <v>19</v>
      </c>
      <c r="K97">
        <v>90</v>
      </c>
      <c r="L97">
        <v>0</v>
      </c>
      <c r="M97" t="s">
        <v>20</v>
      </c>
    </row>
    <row r="98" spans="1:13" x14ac:dyDescent="0.35">
      <c r="A98">
        <v>97</v>
      </c>
      <c r="B98">
        <v>583005152</v>
      </c>
      <c r="C98">
        <v>35889</v>
      </c>
      <c r="D98" t="s">
        <v>150</v>
      </c>
      <c r="E98" t="s">
        <v>126</v>
      </c>
      <c r="F98" t="s">
        <v>151</v>
      </c>
      <c r="G98" t="s">
        <v>152</v>
      </c>
      <c r="H98" t="s">
        <v>17</v>
      </c>
      <c r="I98" t="s">
        <v>63</v>
      </c>
      <c r="J98" t="s">
        <v>64</v>
      </c>
      <c r="K98">
        <v>40</v>
      </c>
      <c r="L98">
        <v>70.8</v>
      </c>
      <c r="M98" t="s">
        <v>20</v>
      </c>
    </row>
    <row r="99" spans="1:13" x14ac:dyDescent="0.35">
      <c r="A99">
        <v>98</v>
      </c>
      <c r="B99">
        <v>583005122</v>
      </c>
      <c r="C99">
        <v>35850</v>
      </c>
      <c r="D99" t="s">
        <v>82</v>
      </c>
      <c r="E99" t="s">
        <v>126</v>
      </c>
      <c r="F99" t="s">
        <v>83</v>
      </c>
      <c r="G99" t="s">
        <v>84</v>
      </c>
      <c r="H99" t="s">
        <v>17</v>
      </c>
      <c r="I99" t="s">
        <v>91</v>
      </c>
      <c r="J99" t="s">
        <v>25</v>
      </c>
      <c r="K99">
        <v>240</v>
      </c>
      <c r="L99">
        <v>0</v>
      </c>
      <c r="M99" t="s">
        <v>20</v>
      </c>
    </row>
    <row r="100" spans="1:13" x14ac:dyDescent="0.35">
      <c r="A100">
        <v>99</v>
      </c>
      <c r="B100">
        <v>583005179</v>
      </c>
      <c r="C100">
        <v>35917</v>
      </c>
      <c r="D100" t="s">
        <v>136</v>
      </c>
      <c r="E100" t="s">
        <v>126</v>
      </c>
      <c r="F100" t="s">
        <v>137</v>
      </c>
      <c r="G100" t="s">
        <v>138</v>
      </c>
      <c r="H100" t="s">
        <v>17</v>
      </c>
      <c r="I100" t="s">
        <v>18</v>
      </c>
      <c r="J100" t="s">
        <v>19</v>
      </c>
      <c r="K100">
        <v>714</v>
      </c>
      <c r="L100">
        <v>0</v>
      </c>
      <c r="M100" t="s">
        <v>20</v>
      </c>
    </row>
    <row r="101" spans="1:13" x14ac:dyDescent="0.35">
      <c r="A101">
        <v>100</v>
      </c>
      <c r="B101">
        <v>583005161</v>
      </c>
      <c r="C101">
        <v>35899</v>
      </c>
      <c r="D101" t="s">
        <v>153</v>
      </c>
      <c r="E101" t="s">
        <v>126</v>
      </c>
      <c r="F101" t="s">
        <v>154</v>
      </c>
      <c r="G101" t="s">
        <v>155</v>
      </c>
      <c r="H101" t="s">
        <v>17</v>
      </c>
      <c r="I101" t="s">
        <v>24</v>
      </c>
      <c r="J101" t="s">
        <v>25</v>
      </c>
      <c r="K101">
        <v>5</v>
      </c>
      <c r="L101">
        <v>0</v>
      </c>
      <c r="M101" t="s">
        <v>20</v>
      </c>
    </row>
    <row r="102" spans="1:13" x14ac:dyDescent="0.35">
      <c r="A102">
        <v>101</v>
      </c>
      <c r="B102">
        <v>583005173</v>
      </c>
      <c r="C102">
        <v>35911</v>
      </c>
      <c r="D102" t="s">
        <v>156</v>
      </c>
      <c r="E102" t="s">
        <v>126</v>
      </c>
      <c r="F102" t="s">
        <v>157</v>
      </c>
      <c r="G102" t="s">
        <v>158</v>
      </c>
      <c r="H102" t="s">
        <v>17</v>
      </c>
      <c r="I102" t="s">
        <v>24</v>
      </c>
      <c r="J102" t="s">
        <v>74</v>
      </c>
      <c r="K102">
        <v>1</v>
      </c>
      <c r="L102">
        <v>0</v>
      </c>
      <c r="M102" t="s">
        <v>20</v>
      </c>
    </row>
    <row r="103" spans="1:13" x14ac:dyDescent="0.35">
      <c r="A103">
        <v>102</v>
      </c>
      <c r="B103">
        <v>583005173</v>
      </c>
      <c r="C103">
        <v>35911</v>
      </c>
      <c r="D103" t="s">
        <v>156</v>
      </c>
      <c r="E103" t="s">
        <v>126</v>
      </c>
      <c r="F103" t="s">
        <v>157</v>
      </c>
      <c r="G103" t="s">
        <v>158</v>
      </c>
      <c r="H103" t="s">
        <v>17</v>
      </c>
      <c r="I103" t="s">
        <v>24</v>
      </c>
      <c r="J103" t="s">
        <v>25</v>
      </c>
      <c r="K103">
        <v>5</v>
      </c>
      <c r="L103">
        <v>0</v>
      </c>
      <c r="M103" t="s">
        <v>20</v>
      </c>
    </row>
    <row r="104" spans="1:13" x14ac:dyDescent="0.35">
      <c r="A104">
        <v>103</v>
      </c>
      <c r="B104">
        <v>583005117</v>
      </c>
      <c r="C104">
        <v>35841</v>
      </c>
      <c r="D104" t="s">
        <v>136</v>
      </c>
      <c r="E104" t="s">
        <v>126</v>
      </c>
      <c r="F104" t="s">
        <v>137</v>
      </c>
      <c r="G104" t="s">
        <v>138</v>
      </c>
      <c r="H104" t="s">
        <v>17</v>
      </c>
      <c r="I104" t="s">
        <v>24</v>
      </c>
      <c r="J104" t="s">
        <v>25</v>
      </c>
      <c r="K104">
        <v>3</v>
      </c>
      <c r="L104">
        <v>0</v>
      </c>
      <c r="M104" t="s">
        <v>20</v>
      </c>
    </row>
    <row r="105" spans="1:13" x14ac:dyDescent="0.35">
      <c r="A105">
        <v>104</v>
      </c>
      <c r="B105">
        <v>583005138</v>
      </c>
      <c r="C105">
        <v>35870</v>
      </c>
      <c r="E105" t="s">
        <v>126</v>
      </c>
      <c r="F105" t="s">
        <v>142</v>
      </c>
      <c r="G105" t="s">
        <v>143</v>
      </c>
      <c r="H105" t="s">
        <v>17</v>
      </c>
      <c r="I105" t="s">
        <v>24</v>
      </c>
      <c r="J105" t="s">
        <v>25</v>
      </c>
      <c r="K105">
        <v>8</v>
      </c>
      <c r="L105">
        <v>0</v>
      </c>
      <c r="M105" t="s">
        <v>20</v>
      </c>
    </row>
    <row r="106" spans="1:13" x14ac:dyDescent="0.35">
      <c r="A106">
        <v>105</v>
      </c>
      <c r="B106">
        <v>583005163</v>
      </c>
      <c r="C106">
        <v>35901</v>
      </c>
      <c r="D106" t="s">
        <v>159</v>
      </c>
      <c r="E106" t="s">
        <v>126</v>
      </c>
      <c r="F106" t="s">
        <v>160</v>
      </c>
      <c r="G106" t="s">
        <v>161</v>
      </c>
      <c r="H106" t="s">
        <v>17</v>
      </c>
      <c r="I106" t="s">
        <v>18</v>
      </c>
      <c r="J106" t="s">
        <v>19</v>
      </c>
      <c r="K106">
        <v>36</v>
      </c>
      <c r="L106">
        <v>0</v>
      </c>
      <c r="M106" t="s">
        <v>20</v>
      </c>
    </row>
    <row r="107" spans="1:13" x14ac:dyDescent="0.35">
      <c r="A107">
        <v>106</v>
      </c>
      <c r="B107">
        <v>583005149</v>
      </c>
      <c r="C107">
        <v>35886</v>
      </c>
      <c r="D107" t="s">
        <v>29</v>
      </c>
      <c r="E107" t="s">
        <v>126</v>
      </c>
      <c r="F107" t="s">
        <v>30</v>
      </c>
      <c r="G107" t="s">
        <v>31</v>
      </c>
      <c r="H107" t="s">
        <v>17</v>
      </c>
      <c r="I107" t="s">
        <v>18</v>
      </c>
      <c r="J107" t="s">
        <v>19</v>
      </c>
      <c r="K107">
        <v>111</v>
      </c>
      <c r="L107">
        <v>0</v>
      </c>
      <c r="M107" t="s">
        <v>20</v>
      </c>
    </row>
    <row r="108" spans="1:13" x14ac:dyDescent="0.35">
      <c r="A108">
        <v>107</v>
      </c>
      <c r="B108">
        <v>583005180</v>
      </c>
      <c r="C108">
        <v>35918</v>
      </c>
      <c r="D108" t="s">
        <v>136</v>
      </c>
      <c r="E108" t="s">
        <v>126</v>
      </c>
      <c r="F108" t="s">
        <v>137</v>
      </c>
      <c r="G108" t="s">
        <v>138</v>
      </c>
      <c r="H108" t="s">
        <v>17</v>
      </c>
      <c r="I108" t="s">
        <v>24</v>
      </c>
      <c r="J108" t="s">
        <v>25</v>
      </c>
      <c r="K108">
        <v>16</v>
      </c>
      <c r="L108">
        <v>0</v>
      </c>
      <c r="M108" t="s">
        <v>20</v>
      </c>
    </row>
    <row r="109" spans="1:13" x14ac:dyDescent="0.35">
      <c r="A109">
        <v>108</v>
      </c>
      <c r="B109">
        <v>583005163</v>
      </c>
      <c r="C109">
        <v>35901</v>
      </c>
      <c r="D109" t="s">
        <v>159</v>
      </c>
      <c r="E109" t="s">
        <v>126</v>
      </c>
      <c r="F109" t="s">
        <v>160</v>
      </c>
      <c r="G109" t="s">
        <v>161</v>
      </c>
      <c r="H109" t="s">
        <v>17</v>
      </c>
      <c r="I109" t="s">
        <v>18</v>
      </c>
      <c r="J109" t="s">
        <v>19</v>
      </c>
      <c r="K109">
        <v>45</v>
      </c>
      <c r="L109">
        <v>0</v>
      </c>
      <c r="M109" t="s">
        <v>20</v>
      </c>
    </row>
    <row r="110" spans="1:13" x14ac:dyDescent="0.35">
      <c r="A110">
        <v>109</v>
      </c>
      <c r="B110">
        <v>583005163</v>
      </c>
      <c r="C110">
        <v>35901</v>
      </c>
      <c r="D110" t="s">
        <v>159</v>
      </c>
      <c r="E110" t="s">
        <v>126</v>
      </c>
      <c r="F110" t="s">
        <v>160</v>
      </c>
      <c r="G110" t="s">
        <v>161</v>
      </c>
      <c r="H110" t="s">
        <v>17</v>
      </c>
      <c r="I110" t="s">
        <v>18</v>
      </c>
      <c r="J110" t="s">
        <v>19</v>
      </c>
      <c r="K110">
        <v>21</v>
      </c>
      <c r="L110">
        <v>0</v>
      </c>
      <c r="M110" t="s">
        <v>20</v>
      </c>
    </row>
    <row r="111" spans="1:13" x14ac:dyDescent="0.35">
      <c r="A111">
        <v>110</v>
      </c>
      <c r="B111">
        <v>583005134</v>
      </c>
      <c r="C111">
        <v>35866</v>
      </c>
      <c r="D111" t="s">
        <v>162</v>
      </c>
      <c r="E111" t="s">
        <v>126</v>
      </c>
      <c r="F111" t="s">
        <v>163</v>
      </c>
      <c r="G111" t="s">
        <v>164</v>
      </c>
      <c r="H111" t="s">
        <v>17</v>
      </c>
      <c r="I111" t="s">
        <v>18</v>
      </c>
      <c r="J111" t="s">
        <v>19</v>
      </c>
      <c r="K111">
        <v>252</v>
      </c>
      <c r="L111">
        <v>0</v>
      </c>
      <c r="M111" t="s">
        <v>20</v>
      </c>
    </row>
    <row r="112" spans="1:13" x14ac:dyDescent="0.35">
      <c r="A112">
        <v>111</v>
      </c>
      <c r="B112">
        <v>583005172</v>
      </c>
      <c r="C112">
        <v>35910</v>
      </c>
      <c r="D112" t="s">
        <v>165</v>
      </c>
      <c r="E112" t="s">
        <v>126</v>
      </c>
      <c r="F112" t="s">
        <v>166</v>
      </c>
      <c r="G112" t="s">
        <v>167</v>
      </c>
      <c r="H112" t="s">
        <v>17</v>
      </c>
      <c r="I112" t="s">
        <v>24</v>
      </c>
      <c r="J112" t="s">
        <v>25</v>
      </c>
      <c r="K112">
        <v>11</v>
      </c>
      <c r="L112">
        <v>0</v>
      </c>
      <c r="M112" t="s">
        <v>20</v>
      </c>
    </row>
    <row r="113" spans="1:13" x14ac:dyDescent="0.35">
      <c r="A113">
        <v>112</v>
      </c>
      <c r="B113">
        <v>583005174</v>
      </c>
      <c r="C113">
        <v>35912</v>
      </c>
      <c r="D113" t="s">
        <v>168</v>
      </c>
      <c r="E113" t="s">
        <v>126</v>
      </c>
      <c r="F113" t="s">
        <v>169</v>
      </c>
      <c r="G113" t="s">
        <v>170</v>
      </c>
      <c r="H113" t="s">
        <v>17</v>
      </c>
      <c r="I113" t="s">
        <v>18</v>
      </c>
      <c r="J113" t="s">
        <v>19</v>
      </c>
      <c r="K113">
        <v>30</v>
      </c>
      <c r="L113">
        <v>0</v>
      </c>
      <c r="M113" t="s">
        <v>20</v>
      </c>
    </row>
    <row r="114" spans="1:13" x14ac:dyDescent="0.35">
      <c r="A114">
        <v>113</v>
      </c>
      <c r="B114">
        <v>583005145</v>
      </c>
      <c r="C114">
        <v>35881</v>
      </c>
      <c r="D114" t="s">
        <v>171</v>
      </c>
      <c r="E114" t="s">
        <v>126</v>
      </c>
      <c r="F114" t="s">
        <v>172</v>
      </c>
      <c r="G114" t="s">
        <v>173</v>
      </c>
      <c r="H114" t="s">
        <v>17</v>
      </c>
      <c r="I114" t="s">
        <v>35</v>
      </c>
      <c r="J114" t="s">
        <v>25</v>
      </c>
      <c r="K114">
        <v>15</v>
      </c>
      <c r="L114">
        <v>0</v>
      </c>
      <c r="M114" t="s">
        <v>20</v>
      </c>
    </row>
    <row r="115" spans="1:13" x14ac:dyDescent="0.35">
      <c r="A115">
        <v>114</v>
      </c>
      <c r="B115">
        <v>583005165</v>
      </c>
      <c r="C115">
        <v>35903</v>
      </c>
      <c r="D115" t="s">
        <v>174</v>
      </c>
      <c r="E115" t="s">
        <v>126</v>
      </c>
      <c r="F115" t="s">
        <v>175</v>
      </c>
      <c r="G115" t="s">
        <v>176</v>
      </c>
      <c r="H115" t="s">
        <v>17</v>
      </c>
      <c r="I115" t="s">
        <v>18</v>
      </c>
      <c r="J115" t="s">
        <v>19</v>
      </c>
      <c r="K115">
        <v>225</v>
      </c>
      <c r="L115">
        <v>0</v>
      </c>
      <c r="M115" t="s">
        <v>20</v>
      </c>
    </row>
    <row r="116" spans="1:13" x14ac:dyDescent="0.35">
      <c r="A116">
        <v>115</v>
      </c>
      <c r="B116">
        <v>583005127</v>
      </c>
      <c r="C116">
        <v>35856</v>
      </c>
      <c r="D116" t="s">
        <v>125</v>
      </c>
      <c r="E116" t="s">
        <v>126</v>
      </c>
      <c r="F116" t="s">
        <v>127</v>
      </c>
      <c r="G116" t="s">
        <v>128</v>
      </c>
      <c r="H116" t="s">
        <v>17</v>
      </c>
      <c r="I116" t="s">
        <v>18</v>
      </c>
      <c r="J116" t="s">
        <v>19</v>
      </c>
      <c r="K116">
        <v>2997</v>
      </c>
      <c r="L116">
        <v>0</v>
      </c>
      <c r="M116" t="s">
        <v>20</v>
      </c>
    </row>
    <row r="117" spans="1:13" x14ac:dyDescent="0.35">
      <c r="A117">
        <v>116</v>
      </c>
      <c r="B117">
        <v>583005127</v>
      </c>
      <c r="C117">
        <v>35856</v>
      </c>
      <c r="D117" t="s">
        <v>125</v>
      </c>
      <c r="E117" t="s">
        <v>126</v>
      </c>
      <c r="F117" t="s">
        <v>127</v>
      </c>
      <c r="G117" t="s">
        <v>128</v>
      </c>
      <c r="H117" t="s">
        <v>17</v>
      </c>
      <c r="I117" t="s">
        <v>18</v>
      </c>
      <c r="J117" t="s">
        <v>19</v>
      </c>
      <c r="K117">
        <v>180</v>
      </c>
      <c r="L117">
        <v>0</v>
      </c>
      <c r="M117" t="s">
        <v>20</v>
      </c>
    </row>
    <row r="118" spans="1:13" x14ac:dyDescent="0.35">
      <c r="A118">
        <v>117</v>
      </c>
      <c r="B118">
        <v>583005127</v>
      </c>
      <c r="C118">
        <v>35856</v>
      </c>
      <c r="D118" t="s">
        <v>125</v>
      </c>
      <c r="E118" t="s">
        <v>126</v>
      </c>
      <c r="F118" t="s">
        <v>127</v>
      </c>
      <c r="G118" t="s">
        <v>128</v>
      </c>
      <c r="H118" t="s">
        <v>17</v>
      </c>
      <c r="I118" t="s">
        <v>18</v>
      </c>
      <c r="J118" t="s">
        <v>19</v>
      </c>
      <c r="K118">
        <v>708</v>
      </c>
      <c r="L118">
        <v>0</v>
      </c>
      <c r="M118" t="s">
        <v>20</v>
      </c>
    </row>
    <row r="119" spans="1:13" x14ac:dyDescent="0.35">
      <c r="A119">
        <v>118</v>
      </c>
      <c r="B119">
        <v>583005128</v>
      </c>
      <c r="C119">
        <v>35857</v>
      </c>
      <c r="D119" t="s">
        <v>125</v>
      </c>
      <c r="E119" t="s">
        <v>126</v>
      </c>
      <c r="F119" t="s">
        <v>127</v>
      </c>
      <c r="G119" t="s">
        <v>128</v>
      </c>
      <c r="H119" t="s">
        <v>17</v>
      </c>
      <c r="I119" t="s">
        <v>24</v>
      </c>
      <c r="J119" t="s">
        <v>25</v>
      </c>
      <c r="K119">
        <v>110</v>
      </c>
      <c r="L119">
        <v>0</v>
      </c>
      <c r="M119" t="s">
        <v>20</v>
      </c>
    </row>
    <row r="120" spans="1:13" x14ac:dyDescent="0.35">
      <c r="A120">
        <v>119</v>
      </c>
      <c r="B120">
        <v>583005126</v>
      </c>
      <c r="C120">
        <v>35855</v>
      </c>
      <c r="D120" t="s">
        <v>21</v>
      </c>
      <c r="E120" t="s">
        <v>126</v>
      </c>
      <c r="F120" t="s">
        <v>22</v>
      </c>
      <c r="G120" t="s">
        <v>23</v>
      </c>
      <c r="H120" t="s">
        <v>17</v>
      </c>
      <c r="I120" t="s">
        <v>18</v>
      </c>
      <c r="J120" t="s">
        <v>19</v>
      </c>
      <c r="K120">
        <v>1437</v>
      </c>
      <c r="L120">
        <v>0</v>
      </c>
      <c r="M120" t="s">
        <v>20</v>
      </c>
    </row>
    <row r="121" spans="1:13" x14ac:dyDescent="0.35">
      <c r="A121">
        <v>120</v>
      </c>
      <c r="B121">
        <v>583005126</v>
      </c>
      <c r="C121">
        <v>35855</v>
      </c>
      <c r="D121" t="s">
        <v>21</v>
      </c>
      <c r="E121" t="s">
        <v>126</v>
      </c>
      <c r="F121" t="s">
        <v>22</v>
      </c>
      <c r="G121" t="s">
        <v>23</v>
      </c>
      <c r="H121" t="s">
        <v>17</v>
      </c>
      <c r="I121" t="s">
        <v>18</v>
      </c>
      <c r="J121" t="s">
        <v>19</v>
      </c>
      <c r="K121">
        <v>144</v>
      </c>
      <c r="L121">
        <v>0</v>
      </c>
      <c r="M121" t="s">
        <v>20</v>
      </c>
    </row>
    <row r="122" spans="1:13" x14ac:dyDescent="0.35">
      <c r="A122">
        <v>121</v>
      </c>
      <c r="B122">
        <v>583005126</v>
      </c>
      <c r="C122">
        <v>35855</v>
      </c>
      <c r="D122" t="s">
        <v>21</v>
      </c>
      <c r="E122" t="s">
        <v>126</v>
      </c>
      <c r="F122" t="s">
        <v>22</v>
      </c>
      <c r="G122" t="s">
        <v>23</v>
      </c>
      <c r="H122" t="s">
        <v>17</v>
      </c>
      <c r="I122" t="s">
        <v>18</v>
      </c>
      <c r="J122" t="s">
        <v>19</v>
      </c>
      <c r="K122">
        <v>270</v>
      </c>
      <c r="L122">
        <v>0</v>
      </c>
      <c r="M122" t="s">
        <v>20</v>
      </c>
    </row>
    <row r="123" spans="1:13" x14ac:dyDescent="0.35">
      <c r="A123">
        <v>122</v>
      </c>
      <c r="B123">
        <v>583005149</v>
      </c>
      <c r="C123">
        <v>35886</v>
      </c>
      <c r="D123" t="s">
        <v>29</v>
      </c>
      <c r="E123" t="s">
        <v>126</v>
      </c>
      <c r="F123" t="s">
        <v>30</v>
      </c>
      <c r="G123" t="s">
        <v>31</v>
      </c>
      <c r="H123" t="s">
        <v>17</v>
      </c>
      <c r="I123" t="s">
        <v>18</v>
      </c>
      <c r="J123" t="s">
        <v>19</v>
      </c>
      <c r="K123">
        <v>108</v>
      </c>
      <c r="L123">
        <v>0</v>
      </c>
      <c r="M123" t="s">
        <v>20</v>
      </c>
    </row>
    <row r="124" spans="1:13" x14ac:dyDescent="0.35">
      <c r="A124">
        <v>123</v>
      </c>
      <c r="B124">
        <v>583005170</v>
      </c>
      <c r="C124">
        <v>35908</v>
      </c>
      <c r="D124" t="s">
        <v>56</v>
      </c>
      <c r="E124" t="s">
        <v>126</v>
      </c>
      <c r="F124" t="s">
        <v>57</v>
      </c>
      <c r="G124" t="s">
        <v>58</v>
      </c>
      <c r="H124" t="s">
        <v>17</v>
      </c>
      <c r="I124" t="s">
        <v>18</v>
      </c>
      <c r="J124" t="s">
        <v>19</v>
      </c>
      <c r="K124">
        <v>36</v>
      </c>
      <c r="L124">
        <v>0</v>
      </c>
      <c r="M124" t="s">
        <v>20</v>
      </c>
    </row>
    <row r="125" spans="1:13" x14ac:dyDescent="0.35">
      <c r="A125">
        <v>124</v>
      </c>
      <c r="B125">
        <v>583005149</v>
      </c>
      <c r="C125">
        <v>35886</v>
      </c>
      <c r="D125" t="s">
        <v>29</v>
      </c>
      <c r="E125" t="s">
        <v>126</v>
      </c>
      <c r="F125" t="s">
        <v>30</v>
      </c>
      <c r="G125" t="s">
        <v>31</v>
      </c>
      <c r="H125" t="s">
        <v>17</v>
      </c>
      <c r="I125" t="s">
        <v>18</v>
      </c>
      <c r="J125" t="s">
        <v>19</v>
      </c>
      <c r="K125">
        <v>2253</v>
      </c>
      <c r="L125">
        <v>0</v>
      </c>
      <c r="M125" t="s">
        <v>20</v>
      </c>
    </row>
    <row r="126" spans="1:13" x14ac:dyDescent="0.35">
      <c r="A126">
        <v>125</v>
      </c>
      <c r="B126">
        <v>583005124</v>
      </c>
      <c r="C126">
        <v>35853</v>
      </c>
      <c r="D126" t="s">
        <v>139</v>
      </c>
      <c r="E126" t="s">
        <v>126</v>
      </c>
      <c r="F126" t="s">
        <v>140</v>
      </c>
      <c r="G126" t="s">
        <v>141</v>
      </c>
      <c r="H126" t="s">
        <v>17</v>
      </c>
      <c r="I126" t="s">
        <v>24</v>
      </c>
      <c r="J126" t="s">
        <v>25</v>
      </c>
      <c r="K126">
        <v>2</v>
      </c>
      <c r="L126">
        <v>0</v>
      </c>
      <c r="M126" t="s">
        <v>20</v>
      </c>
    </row>
    <row r="127" spans="1:13" x14ac:dyDescent="0.35">
      <c r="A127">
        <v>126</v>
      </c>
      <c r="B127">
        <v>583005149</v>
      </c>
      <c r="C127">
        <v>35886</v>
      </c>
      <c r="D127" t="s">
        <v>29</v>
      </c>
      <c r="E127" t="s">
        <v>126</v>
      </c>
      <c r="F127" t="s">
        <v>30</v>
      </c>
      <c r="G127" t="s">
        <v>31</v>
      </c>
      <c r="H127" t="s">
        <v>17</v>
      </c>
      <c r="I127" t="s">
        <v>18</v>
      </c>
      <c r="J127" t="s">
        <v>19</v>
      </c>
      <c r="K127">
        <v>1500</v>
      </c>
      <c r="L127">
        <v>0</v>
      </c>
      <c r="M127" t="s">
        <v>20</v>
      </c>
    </row>
    <row r="128" spans="1:13" x14ac:dyDescent="0.35">
      <c r="A128">
        <v>127</v>
      </c>
      <c r="B128">
        <v>583005220</v>
      </c>
      <c r="C128">
        <v>35978</v>
      </c>
      <c r="D128" t="s">
        <v>101</v>
      </c>
      <c r="E128" t="s">
        <v>177</v>
      </c>
      <c r="F128" t="s">
        <v>102</v>
      </c>
      <c r="G128" t="s">
        <v>103</v>
      </c>
      <c r="H128" t="s">
        <v>17</v>
      </c>
      <c r="I128" t="s">
        <v>18</v>
      </c>
      <c r="J128" t="s">
        <v>19</v>
      </c>
      <c r="K128">
        <v>297</v>
      </c>
      <c r="L128">
        <v>0</v>
      </c>
      <c r="M128" t="s">
        <v>20</v>
      </c>
    </row>
    <row r="129" spans="1:13" x14ac:dyDescent="0.35">
      <c r="A129">
        <v>128</v>
      </c>
      <c r="B129">
        <v>583005220</v>
      </c>
      <c r="C129">
        <v>35978</v>
      </c>
      <c r="D129" t="s">
        <v>101</v>
      </c>
      <c r="E129" t="s">
        <v>177</v>
      </c>
      <c r="F129" t="s">
        <v>102</v>
      </c>
      <c r="G129" t="s">
        <v>103</v>
      </c>
      <c r="H129" t="s">
        <v>17</v>
      </c>
      <c r="I129" t="s">
        <v>18</v>
      </c>
      <c r="J129" t="s">
        <v>19</v>
      </c>
      <c r="K129">
        <v>1530</v>
      </c>
      <c r="L129">
        <v>0</v>
      </c>
      <c r="M129" t="s">
        <v>20</v>
      </c>
    </row>
    <row r="130" spans="1:13" x14ac:dyDescent="0.35">
      <c r="A130">
        <v>129</v>
      </c>
      <c r="B130">
        <v>583005221</v>
      </c>
      <c r="C130">
        <v>35979</v>
      </c>
      <c r="D130" t="s">
        <v>101</v>
      </c>
      <c r="E130" t="s">
        <v>177</v>
      </c>
      <c r="F130" t="s">
        <v>102</v>
      </c>
      <c r="G130" t="s">
        <v>103</v>
      </c>
      <c r="H130" t="s">
        <v>17</v>
      </c>
      <c r="I130" t="s">
        <v>24</v>
      </c>
      <c r="J130" t="s">
        <v>25</v>
      </c>
      <c r="K130">
        <v>15</v>
      </c>
      <c r="L130">
        <v>0</v>
      </c>
      <c r="M130" t="s">
        <v>20</v>
      </c>
    </row>
    <row r="131" spans="1:13" x14ac:dyDescent="0.35">
      <c r="A131">
        <v>130</v>
      </c>
      <c r="B131">
        <v>583005213</v>
      </c>
      <c r="C131">
        <v>35970</v>
      </c>
      <c r="D131" t="s">
        <v>153</v>
      </c>
      <c r="E131" t="s">
        <v>177</v>
      </c>
      <c r="F131" t="s">
        <v>154</v>
      </c>
      <c r="G131" t="s">
        <v>155</v>
      </c>
      <c r="H131" t="s">
        <v>17</v>
      </c>
      <c r="I131" t="s">
        <v>18</v>
      </c>
      <c r="J131" t="s">
        <v>19</v>
      </c>
      <c r="K131">
        <v>360</v>
      </c>
      <c r="L131">
        <v>0</v>
      </c>
      <c r="M131" t="s">
        <v>20</v>
      </c>
    </row>
    <row r="132" spans="1:13" x14ac:dyDescent="0.35">
      <c r="A132">
        <v>131</v>
      </c>
      <c r="B132">
        <v>583005213</v>
      </c>
      <c r="C132">
        <v>35970</v>
      </c>
      <c r="D132" t="s">
        <v>153</v>
      </c>
      <c r="E132" t="s">
        <v>177</v>
      </c>
      <c r="F132" t="s">
        <v>154</v>
      </c>
      <c r="G132" t="s">
        <v>155</v>
      </c>
      <c r="H132" t="s">
        <v>17</v>
      </c>
      <c r="I132" t="s">
        <v>18</v>
      </c>
      <c r="J132" t="s">
        <v>19</v>
      </c>
      <c r="K132">
        <v>3585</v>
      </c>
      <c r="L132">
        <v>0</v>
      </c>
      <c r="M132" t="s">
        <v>20</v>
      </c>
    </row>
    <row r="133" spans="1:13" x14ac:dyDescent="0.35">
      <c r="A133">
        <v>132</v>
      </c>
      <c r="B133">
        <v>583005213</v>
      </c>
      <c r="C133">
        <v>35970</v>
      </c>
      <c r="D133" t="s">
        <v>153</v>
      </c>
      <c r="E133" t="s">
        <v>177</v>
      </c>
      <c r="F133" t="s">
        <v>154</v>
      </c>
      <c r="G133" t="s">
        <v>155</v>
      </c>
      <c r="H133" t="s">
        <v>17</v>
      </c>
      <c r="I133" t="s">
        <v>18</v>
      </c>
      <c r="J133" t="s">
        <v>19</v>
      </c>
      <c r="K133">
        <v>45</v>
      </c>
      <c r="L133">
        <v>0</v>
      </c>
      <c r="M133" t="s">
        <v>20</v>
      </c>
    </row>
    <row r="134" spans="1:13" x14ac:dyDescent="0.35">
      <c r="A134">
        <v>133</v>
      </c>
      <c r="B134">
        <v>583005214</v>
      </c>
      <c r="C134">
        <v>35971</v>
      </c>
      <c r="D134" t="s">
        <v>153</v>
      </c>
      <c r="E134" t="s">
        <v>177</v>
      </c>
      <c r="F134" t="s">
        <v>154</v>
      </c>
      <c r="G134" t="s">
        <v>155</v>
      </c>
      <c r="H134" t="s">
        <v>17</v>
      </c>
      <c r="I134" t="s">
        <v>24</v>
      </c>
      <c r="J134" t="s">
        <v>25</v>
      </c>
      <c r="K134">
        <v>3</v>
      </c>
      <c r="L134">
        <v>0</v>
      </c>
      <c r="M134" t="s">
        <v>20</v>
      </c>
    </row>
    <row r="135" spans="1:13" x14ac:dyDescent="0.35">
      <c r="A135">
        <v>134</v>
      </c>
      <c r="B135">
        <v>583005195</v>
      </c>
      <c r="C135">
        <v>35946</v>
      </c>
      <c r="D135" t="s">
        <v>147</v>
      </c>
      <c r="E135" t="s">
        <v>177</v>
      </c>
      <c r="F135" t="s">
        <v>148</v>
      </c>
      <c r="G135" t="s">
        <v>149</v>
      </c>
      <c r="H135" t="s">
        <v>17</v>
      </c>
      <c r="I135" t="s">
        <v>18</v>
      </c>
      <c r="J135" t="s">
        <v>19</v>
      </c>
      <c r="K135">
        <v>1365</v>
      </c>
      <c r="L135">
        <v>0</v>
      </c>
      <c r="M135" t="s">
        <v>20</v>
      </c>
    </row>
    <row r="136" spans="1:13" x14ac:dyDescent="0.35">
      <c r="A136">
        <v>135</v>
      </c>
      <c r="B136">
        <v>583005195</v>
      </c>
      <c r="C136">
        <v>35946</v>
      </c>
      <c r="D136" t="s">
        <v>147</v>
      </c>
      <c r="E136" t="s">
        <v>177</v>
      </c>
      <c r="F136" t="s">
        <v>148</v>
      </c>
      <c r="G136" t="s">
        <v>149</v>
      </c>
      <c r="H136" t="s">
        <v>17</v>
      </c>
      <c r="I136" t="s">
        <v>18</v>
      </c>
      <c r="J136" t="s">
        <v>19</v>
      </c>
      <c r="K136">
        <v>246</v>
      </c>
      <c r="L136">
        <v>0</v>
      </c>
      <c r="M136" t="s">
        <v>20</v>
      </c>
    </row>
    <row r="137" spans="1:13" x14ac:dyDescent="0.35">
      <c r="A137">
        <v>136</v>
      </c>
      <c r="B137">
        <v>583005195</v>
      </c>
      <c r="C137">
        <v>35946</v>
      </c>
      <c r="D137" t="s">
        <v>147</v>
      </c>
      <c r="E137" t="s">
        <v>177</v>
      </c>
      <c r="F137" t="s">
        <v>148</v>
      </c>
      <c r="G137" t="s">
        <v>149</v>
      </c>
      <c r="H137" t="s">
        <v>17</v>
      </c>
      <c r="I137" t="s">
        <v>18</v>
      </c>
      <c r="J137" t="s">
        <v>19</v>
      </c>
      <c r="K137">
        <v>135</v>
      </c>
      <c r="L137">
        <v>0</v>
      </c>
      <c r="M137" t="s">
        <v>20</v>
      </c>
    </row>
    <row r="138" spans="1:13" x14ac:dyDescent="0.35">
      <c r="A138">
        <v>137</v>
      </c>
      <c r="B138">
        <v>583005195</v>
      </c>
      <c r="C138">
        <v>35946</v>
      </c>
      <c r="D138" t="s">
        <v>147</v>
      </c>
      <c r="E138" t="s">
        <v>177</v>
      </c>
      <c r="F138" t="s">
        <v>148</v>
      </c>
      <c r="G138" t="s">
        <v>149</v>
      </c>
      <c r="H138" t="s">
        <v>17</v>
      </c>
      <c r="I138" t="s">
        <v>18</v>
      </c>
      <c r="J138" t="s">
        <v>19</v>
      </c>
      <c r="K138">
        <v>72</v>
      </c>
      <c r="L138">
        <v>0</v>
      </c>
      <c r="M138" t="s">
        <v>20</v>
      </c>
    </row>
    <row r="139" spans="1:13" x14ac:dyDescent="0.35">
      <c r="A139">
        <v>138</v>
      </c>
      <c r="B139">
        <v>583005196</v>
      </c>
      <c r="C139">
        <v>35947</v>
      </c>
      <c r="D139" t="s">
        <v>147</v>
      </c>
      <c r="E139" t="s">
        <v>177</v>
      </c>
      <c r="F139" t="s">
        <v>148</v>
      </c>
      <c r="G139" t="s">
        <v>149</v>
      </c>
      <c r="H139" t="s">
        <v>17</v>
      </c>
      <c r="I139" t="s">
        <v>24</v>
      </c>
      <c r="J139" t="s">
        <v>25</v>
      </c>
      <c r="K139">
        <v>21</v>
      </c>
      <c r="L139">
        <v>0</v>
      </c>
      <c r="M139" t="s">
        <v>20</v>
      </c>
    </row>
    <row r="140" spans="1:13" x14ac:dyDescent="0.35">
      <c r="A140">
        <v>139</v>
      </c>
      <c r="B140">
        <v>583005232</v>
      </c>
      <c r="C140">
        <v>35992</v>
      </c>
      <c r="D140" t="s">
        <v>178</v>
      </c>
      <c r="E140" t="s">
        <v>177</v>
      </c>
      <c r="F140" t="s">
        <v>179</v>
      </c>
      <c r="G140" t="s">
        <v>180</v>
      </c>
      <c r="H140" t="s">
        <v>17</v>
      </c>
      <c r="I140" t="s">
        <v>63</v>
      </c>
      <c r="J140" t="s">
        <v>64</v>
      </c>
      <c r="K140">
        <v>645</v>
      </c>
      <c r="L140">
        <v>1141.6500000000001</v>
      </c>
      <c r="M140" t="s">
        <v>20</v>
      </c>
    </row>
    <row r="141" spans="1:13" x14ac:dyDescent="0.35">
      <c r="A141">
        <v>140</v>
      </c>
      <c r="B141">
        <v>583005232</v>
      </c>
      <c r="C141">
        <v>35992</v>
      </c>
      <c r="D141" t="s">
        <v>178</v>
      </c>
      <c r="E141" t="s">
        <v>177</v>
      </c>
      <c r="F141" t="s">
        <v>179</v>
      </c>
      <c r="G141" t="s">
        <v>180</v>
      </c>
      <c r="H141" t="s">
        <v>17</v>
      </c>
      <c r="I141" t="s">
        <v>63</v>
      </c>
      <c r="J141" t="s">
        <v>64</v>
      </c>
      <c r="K141">
        <v>1</v>
      </c>
      <c r="L141">
        <v>1.65</v>
      </c>
      <c r="M141" t="s">
        <v>20</v>
      </c>
    </row>
    <row r="142" spans="1:13" x14ac:dyDescent="0.35">
      <c r="A142">
        <v>141</v>
      </c>
      <c r="B142">
        <v>583005236</v>
      </c>
      <c r="C142">
        <v>35997</v>
      </c>
      <c r="D142" t="s">
        <v>21</v>
      </c>
      <c r="E142" t="s">
        <v>177</v>
      </c>
      <c r="F142" t="s">
        <v>22</v>
      </c>
      <c r="G142" t="s">
        <v>23</v>
      </c>
      <c r="H142" t="s">
        <v>17</v>
      </c>
      <c r="I142" t="s">
        <v>18</v>
      </c>
      <c r="J142" t="s">
        <v>19</v>
      </c>
      <c r="K142">
        <v>57</v>
      </c>
      <c r="L142">
        <v>0</v>
      </c>
      <c r="M142" t="s">
        <v>20</v>
      </c>
    </row>
    <row r="143" spans="1:13" x14ac:dyDescent="0.35">
      <c r="A143">
        <v>142</v>
      </c>
      <c r="B143">
        <v>583005235</v>
      </c>
      <c r="C143">
        <v>35996</v>
      </c>
      <c r="D143" t="s">
        <v>181</v>
      </c>
      <c r="E143" t="s">
        <v>177</v>
      </c>
      <c r="F143" t="s">
        <v>182</v>
      </c>
      <c r="G143" t="s">
        <v>183</v>
      </c>
      <c r="H143" t="s">
        <v>17</v>
      </c>
      <c r="I143" t="s">
        <v>35</v>
      </c>
      <c r="J143" t="s">
        <v>25</v>
      </c>
      <c r="K143">
        <v>8</v>
      </c>
      <c r="L143">
        <v>0</v>
      </c>
      <c r="M143" t="s">
        <v>20</v>
      </c>
    </row>
    <row r="144" spans="1:13" x14ac:dyDescent="0.35">
      <c r="A144">
        <v>143</v>
      </c>
      <c r="B144">
        <v>583005194</v>
      </c>
      <c r="C144">
        <v>35945</v>
      </c>
      <c r="D144" t="s">
        <v>184</v>
      </c>
      <c r="E144" t="s">
        <v>177</v>
      </c>
      <c r="F144" t="s">
        <v>185</v>
      </c>
      <c r="G144" t="s">
        <v>186</v>
      </c>
      <c r="H144" t="s">
        <v>17</v>
      </c>
      <c r="I144" t="s">
        <v>18</v>
      </c>
      <c r="J144" t="s">
        <v>19</v>
      </c>
      <c r="K144">
        <v>144</v>
      </c>
      <c r="L144">
        <v>0</v>
      </c>
      <c r="M144" t="s">
        <v>20</v>
      </c>
    </row>
    <row r="145" spans="1:13" x14ac:dyDescent="0.35">
      <c r="A145">
        <v>144</v>
      </c>
      <c r="B145">
        <v>583005194</v>
      </c>
      <c r="C145">
        <v>35945</v>
      </c>
      <c r="D145" t="s">
        <v>184</v>
      </c>
      <c r="E145" t="s">
        <v>177</v>
      </c>
      <c r="F145" t="s">
        <v>185</v>
      </c>
      <c r="G145" t="s">
        <v>186</v>
      </c>
      <c r="H145" t="s">
        <v>17</v>
      </c>
      <c r="I145" t="s">
        <v>18</v>
      </c>
      <c r="J145" t="s">
        <v>19</v>
      </c>
      <c r="K145">
        <v>1275</v>
      </c>
      <c r="L145">
        <v>0</v>
      </c>
      <c r="M145" t="s">
        <v>20</v>
      </c>
    </row>
    <row r="146" spans="1:13" x14ac:dyDescent="0.35">
      <c r="A146">
        <v>145</v>
      </c>
      <c r="B146">
        <v>583005194</v>
      </c>
      <c r="C146">
        <v>35945</v>
      </c>
      <c r="D146" t="s">
        <v>184</v>
      </c>
      <c r="E146" t="s">
        <v>177</v>
      </c>
      <c r="F146" t="s">
        <v>185</v>
      </c>
      <c r="G146" t="s">
        <v>186</v>
      </c>
      <c r="H146" t="s">
        <v>17</v>
      </c>
      <c r="I146" t="s">
        <v>18</v>
      </c>
      <c r="J146" t="s">
        <v>19</v>
      </c>
      <c r="K146">
        <v>468</v>
      </c>
      <c r="L146">
        <v>0</v>
      </c>
      <c r="M146" t="s">
        <v>20</v>
      </c>
    </row>
    <row r="147" spans="1:13" x14ac:dyDescent="0.35">
      <c r="A147">
        <v>146</v>
      </c>
      <c r="B147">
        <v>583005192</v>
      </c>
      <c r="C147">
        <v>35943</v>
      </c>
      <c r="D147" t="s">
        <v>184</v>
      </c>
      <c r="E147" t="s">
        <v>177</v>
      </c>
      <c r="F147" t="s">
        <v>185</v>
      </c>
      <c r="G147" t="s">
        <v>186</v>
      </c>
      <c r="H147" t="s">
        <v>17</v>
      </c>
      <c r="I147" t="s">
        <v>24</v>
      </c>
      <c r="J147" t="s">
        <v>25</v>
      </c>
      <c r="K147">
        <v>31</v>
      </c>
      <c r="L147">
        <v>0</v>
      </c>
      <c r="M147" t="s">
        <v>20</v>
      </c>
    </row>
    <row r="148" spans="1:13" x14ac:dyDescent="0.35">
      <c r="A148">
        <v>147</v>
      </c>
      <c r="B148">
        <v>583005193</v>
      </c>
      <c r="C148">
        <v>35944</v>
      </c>
      <c r="D148" t="s">
        <v>184</v>
      </c>
      <c r="E148" t="s">
        <v>177</v>
      </c>
      <c r="F148" t="s">
        <v>185</v>
      </c>
      <c r="G148" t="s">
        <v>186</v>
      </c>
      <c r="H148" t="s">
        <v>17</v>
      </c>
      <c r="I148" t="s">
        <v>24</v>
      </c>
      <c r="J148" t="s">
        <v>25</v>
      </c>
      <c r="K148">
        <v>2</v>
      </c>
      <c r="L148">
        <v>0</v>
      </c>
      <c r="M148" t="s">
        <v>20</v>
      </c>
    </row>
    <row r="149" spans="1:13" x14ac:dyDescent="0.35">
      <c r="A149">
        <v>148</v>
      </c>
      <c r="B149">
        <v>583005240</v>
      </c>
      <c r="C149">
        <v>36001</v>
      </c>
      <c r="D149" t="s">
        <v>116</v>
      </c>
      <c r="E149" t="s">
        <v>177</v>
      </c>
      <c r="F149" t="s">
        <v>117</v>
      </c>
      <c r="G149" t="s">
        <v>118</v>
      </c>
      <c r="H149" t="s">
        <v>17</v>
      </c>
      <c r="I149" t="s">
        <v>18</v>
      </c>
      <c r="J149" t="s">
        <v>19</v>
      </c>
      <c r="K149">
        <v>4191</v>
      </c>
      <c r="L149">
        <v>0</v>
      </c>
      <c r="M149" t="s">
        <v>20</v>
      </c>
    </row>
    <row r="150" spans="1:13" x14ac:dyDescent="0.35">
      <c r="A150">
        <v>149</v>
      </c>
      <c r="B150">
        <v>583005238</v>
      </c>
      <c r="C150">
        <v>35999</v>
      </c>
      <c r="D150" t="s">
        <v>82</v>
      </c>
      <c r="E150" t="s">
        <v>177</v>
      </c>
      <c r="F150" t="s">
        <v>83</v>
      </c>
      <c r="G150" t="s">
        <v>84</v>
      </c>
      <c r="H150" t="s">
        <v>17</v>
      </c>
      <c r="I150" t="s">
        <v>18</v>
      </c>
      <c r="J150" t="s">
        <v>19</v>
      </c>
      <c r="K150">
        <v>1908</v>
      </c>
      <c r="L150">
        <v>0</v>
      </c>
      <c r="M150" t="s">
        <v>20</v>
      </c>
    </row>
    <row r="151" spans="1:13" x14ac:dyDescent="0.35">
      <c r="A151">
        <v>150</v>
      </c>
      <c r="B151">
        <v>583005238</v>
      </c>
      <c r="C151">
        <v>35999</v>
      </c>
      <c r="D151" t="s">
        <v>82</v>
      </c>
      <c r="E151" t="s">
        <v>177</v>
      </c>
      <c r="F151" t="s">
        <v>83</v>
      </c>
      <c r="G151" t="s">
        <v>84</v>
      </c>
      <c r="H151" t="s">
        <v>17</v>
      </c>
      <c r="I151" t="s">
        <v>18</v>
      </c>
      <c r="J151" t="s">
        <v>19</v>
      </c>
      <c r="K151">
        <v>216</v>
      </c>
      <c r="L151">
        <v>0</v>
      </c>
      <c r="M151" t="s">
        <v>20</v>
      </c>
    </row>
    <row r="152" spans="1:13" x14ac:dyDescent="0.35">
      <c r="A152">
        <v>151</v>
      </c>
      <c r="B152">
        <v>583005238</v>
      </c>
      <c r="C152">
        <v>35999</v>
      </c>
      <c r="D152" t="s">
        <v>82</v>
      </c>
      <c r="E152" t="s">
        <v>177</v>
      </c>
      <c r="F152" t="s">
        <v>83</v>
      </c>
      <c r="G152" t="s">
        <v>84</v>
      </c>
      <c r="H152" t="s">
        <v>17</v>
      </c>
      <c r="I152" t="s">
        <v>18</v>
      </c>
      <c r="J152" t="s">
        <v>19</v>
      </c>
      <c r="K152">
        <v>828</v>
      </c>
      <c r="L152">
        <v>0</v>
      </c>
      <c r="M152" t="s">
        <v>20</v>
      </c>
    </row>
    <row r="153" spans="1:13" x14ac:dyDescent="0.35">
      <c r="A153">
        <v>152</v>
      </c>
      <c r="B153">
        <v>583005238</v>
      </c>
      <c r="C153">
        <v>35999</v>
      </c>
      <c r="D153" t="s">
        <v>82</v>
      </c>
      <c r="E153" t="s">
        <v>177</v>
      </c>
      <c r="F153" t="s">
        <v>83</v>
      </c>
      <c r="G153" t="s">
        <v>84</v>
      </c>
      <c r="H153" t="s">
        <v>17</v>
      </c>
      <c r="I153" t="s">
        <v>18</v>
      </c>
      <c r="J153" t="s">
        <v>19</v>
      </c>
      <c r="K153">
        <v>180</v>
      </c>
      <c r="L153">
        <v>0</v>
      </c>
      <c r="M153" t="s">
        <v>20</v>
      </c>
    </row>
    <row r="154" spans="1:13" x14ac:dyDescent="0.35">
      <c r="A154">
        <v>153</v>
      </c>
      <c r="B154">
        <v>583005238</v>
      </c>
      <c r="C154">
        <v>35999</v>
      </c>
      <c r="D154" t="s">
        <v>82</v>
      </c>
      <c r="E154" t="s">
        <v>177</v>
      </c>
      <c r="F154" t="s">
        <v>83</v>
      </c>
      <c r="G154" t="s">
        <v>84</v>
      </c>
      <c r="H154" t="s">
        <v>17</v>
      </c>
      <c r="I154" t="s">
        <v>18</v>
      </c>
      <c r="J154" t="s">
        <v>19</v>
      </c>
      <c r="K154">
        <v>720</v>
      </c>
      <c r="L154">
        <v>0</v>
      </c>
      <c r="M154" t="s">
        <v>20</v>
      </c>
    </row>
    <row r="155" spans="1:13" x14ac:dyDescent="0.35">
      <c r="A155">
        <v>154</v>
      </c>
      <c r="B155">
        <v>583005239</v>
      </c>
      <c r="C155">
        <v>36000</v>
      </c>
      <c r="D155" t="s">
        <v>82</v>
      </c>
      <c r="E155" t="s">
        <v>177</v>
      </c>
      <c r="F155" t="s">
        <v>83</v>
      </c>
      <c r="G155" t="s">
        <v>84</v>
      </c>
      <c r="H155" t="s">
        <v>17</v>
      </c>
      <c r="I155" t="s">
        <v>24</v>
      </c>
      <c r="J155" t="s">
        <v>25</v>
      </c>
      <c r="K155">
        <v>10</v>
      </c>
      <c r="L155">
        <v>0</v>
      </c>
      <c r="M155" t="s">
        <v>20</v>
      </c>
    </row>
    <row r="156" spans="1:13" x14ac:dyDescent="0.35">
      <c r="A156">
        <v>155</v>
      </c>
      <c r="B156">
        <v>583005234</v>
      </c>
      <c r="C156">
        <v>35995</v>
      </c>
      <c r="D156" t="s">
        <v>181</v>
      </c>
      <c r="E156" t="s">
        <v>177</v>
      </c>
      <c r="F156" t="s">
        <v>182</v>
      </c>
      <c r="G156" t="s">
        <v>183</v>
      </c>
      <c r="H156" t="s">
        <v>17</v>
      </c>
      <c r="I156" t="s">
        <v>18</v>
      </c>
      <c r="J156" t="s">
        <v>19</v>
      </c>
      <c r="K156">
        <v>1494</v>
      </c>
      <c r="L156">
        <v>0</v>
      </c>
      <c r="M156" t="s">
        <v>20</v>
      </c>
    </row>
    <row r="157" spans="1:13" x14ac:dyDescent="0.35">
      <c r="A157">
        <v>156</v>
      </c>
      <c r="B157">
        <v>583005219</v>
      </c>
      <c r="C157">
        <v>35977</v>
      </c>
      <c r="D157" t="s">
        <v>125</v>
      </c>
      <c r="E157" t="s">
        <v>177</v>
      </c>
      <c r="F157" t="s">
        <v>127</v>
      </c>
      <c r="G157" t="s">
        <v>128</v>
      </c>
      <c r="H157" t="s">
        <v>17</v>
      </c>
      <c r="I157" t="s">
        <v>63</v>
      </c>
      <c r="J157" t="s">
        <v>64</v>
      </c>
      <c r="K157">
        <v>28</v>
      </c>
      <c r="L157">
        <v>49.56</v>
      </c>
      <c r="M157" t="s">
        <v>20</v>
      </c>
    </row>
    <row r="158" spans="1:13" x14ac:dyDescent="0.35">
      <c r="A158">
        <v>157</v>
      </c>
      <c r="B158">
        <v>583005184</v>
      </c>
      <c r="C158">
        <v>35924</v>
      </c>
      <c r="D158" t="s">
        <v>187</v>
      </c>
      <c r="E158" t="s">
        <v>177</v>
      </c>
      <c r="F158" t="s">
        <v>188</v>
      </c>
      <c r="G158" t="s">
        <v>189</v>
      </c>
      <c r="H158" t="s">
        <v>17</v>
      </c>
      <c r="I158" t="s">
        <v>24</v>
      </c>
      <c r="J158" t="s">
        <v>25</v>
      </c>
      <c r="K158">
        <v>3</v>
      </c>
      <c r="L158">
        <v>0</v>
      </c>
      <c r="M158" t="s">
        <v>20</v>
      </c>
    </row>
    <row r="159" spans="1:13" x14ac:dyDescent="0.35">
      <c r="A159">
        <v>158</v>
      </c>
      <c r="B159">
        <v>583005183</v>
      </c>
      <c r="C159">
        <v>35923</v>
      </c>
      <c r="D159" t="s">
        <v>190</v>
      </c>
      <c r="E159" t="s">
        <v>177</v>
      </c>
      <c r="F159" t="s">
        <v>191</v>
      </c>
      <c r="G159" t="s">
        <v>192</v>
      </c>
      <c r="H159" t="s">
        <v>17</v>
      </c>
      <c r="I159" t="s">
        <v>24</v>
      </c>
      <c r="J159" t="s">
        <v>25</v>
      </c>
      <c r="K159">
        <v>3</v>
      </c>
      <c r="L159">
        <v>0</v>
      </c>
      <c r="M159" t="s">
        <v>20</v>
      </c>
    </row>
    <row r="160" spans="1:13" x14ac:dyDescent="0.35">
      <c r="A160">
        <v>159</v>
      </c>
      <c r="B160">
        <v>583005207</v>
      </c>
      <c r="C160">
        <v>35964</v>
      </c>
      <c r="D160" t="s">
        <v>193</v>
      </c>
      <c r="E160" t="s">
        <v>177</v>
      </c>
      <c r="F160" t="s">
        <v>194</v>
      </c>
      <c r="G160" t="s">
        <v>195</v>
      </c>
      <c r="H160" t="s">
        <v>17</v>
      </c>
      <c r="I160" t="s">
        <v>18</v>
      </c>
      <c r="J160" t="s">
        <v>19</v>
      </c>
      <c r="K160">
        <v>9</v>
      </c>
      <c r="L160">
        <v>0</v>
      </c>
      <c r="M160" t="s">
        <v>20</v>
      </c>
    </row>
    <row r="161" spans="1:13" x14ac:dyDescent="0.35">
      <c r="A161">
        <v>160</v>
      </c>
      <c r="B161">
        <v>583005208</v>
      </c>
      <c r="C161">
        <v>35965</v>
      </c>
      <c r="D161" t="s">
        <v>196</v>
      </c>
      <c r="E161" t="s">
        <v>177</v>
      </c>
      <c r="F161" t="s">
        <v>197</v>
      </c>
      <c r="G161" t="s">
        <v>198</v>
      </c>
      <c r="H161" t="s">
        <v>17</v>
      </c>
      <c r="I161" t="s">
        <v>18</v>
      </c>
      <c r="J161" t="s">
        <v>19</v>
      </c>
      <c r="K161">
        <v>12</v>
      </c>
      <c r="L161">
        <v>0</v>
      </c>
      <c r="M161" t="s">
        <v>20</v>
      </c>
    </row>
    <row r="162" spans="1:13" x14ac:dyDescent="0.35">
      <c r="A162">
        <v>161</v>
      </c>
      <c r="B162">
        <v>583005204</v>
      </c>
      <c r="C162">
        <v>35961</v>
      </c>
      <c r="D162" t="s">
        <v>110</v>
      </c>
      <c r="E162" t="s">
        <v>177</v>
      </c>
      <c r="F162" t="s">
        <v>111</v>
      </c>
      <c r="G162" t="s">
        <v>112</v>
      </c>
      <c r="H162" t="s">
        <v>17</v>
      </c>
      <c r="I162" t="s">
        <v>18</v>
      </c>
      <c r="J162" t="s">
        <v>19</v>
      </c>
      <c r="K162">
        <v>93</v>
      </c>
      <c r="L162">
        <v>0</v>
      </c>
      <c r="M162" t="s">
        <v>20</v>
      </c>
    </row>
    <row r="163" spans="1:13" x14ac:dyDescent="0.35">
      <c r="A163">
        <v>162</v>
      </c>
      <c r="B163">
        <v>583005206</v>
      </c>
      <c r="C163">
        <v>35963</v>
      </c>
      <c r="D163" t="s">
        <v>110</v>
      </c>
      <c r="E163" t="s">
        <v>177</v>
      </c>
      <c r="F163" t="s">
        <v>111</v>
      </c>
      <c r="G163" t="s">
        <v>112</v>
      </c>
      <c r="H163" t="s">
        <v>17</v>
      </c>
      <c r="I163" t="s">
        <v>18</v>
      </c>
      <c r="J163" t="s">
        <v>19</v>
      </c>
      <c r="K163">
        <v>57</v>
      </c>
      <c r="L163">
        <v>0</v>
      </c>
      <c r="M163" t="s">
        <v>20</v>
      </c>
    </row>
    <row r="164" spans="1:13" x14ac:dyDescent="0.35">
      <c r="A164">
        <v>163</v>
      </c>
      <c r="B164">
        <v>583005209</v>
      </c>
      <c r="C164">
        <v>35966</v>
      </c>
      <c r="D164" t="s">
        <v>162</v>
      </c>
      <c r="E164" t="s">
        <v>177</v>
      </c>
      <c r="F164" t="s">
        <v>163</v>
      </c>
      <c r="G164" t="s">
        <v>164</v>
      </c>
      <c r="H164" t="s">
        <v>17</v>
      </c>
      <c r="I164" t="s">
        <v>18</v>
      </c>
      <c r="J164" t="s">
        <v>19</v>
      </c>
      <c r="K164">
        <v>12</v>
      </c>
      <c r="L164">
        <v>0</v>
      </c>
      <c r="M164" t="s">
        <v>20</v>
      </c>
    </row>
    <row r="165" spans="1:13" x14ac:dyDescent="0.35">
      <c r="A165">
        <v>164</v>
      </c>
      <c r="B165">
        <v>583005188</v>
      </c>
      <c r="C165">
        <v>35936</v>
      </c>
      <c r="D165" t="s">
        <v>116</v>
      </c>
      <c r="E165" t="s">
        <v>177</v>
      </c>
      <c r="F165" t="s">
        <v>117</v>
      </c>
      <c r="G165" t="s">
        <v>118</v>
      </c>
      <c r="H165" t="s">
        <v>17</v>
      </c>
      <c r="I165" t="s">
        <v>18</v>
      </c>
      <c r="J165" t="s">
        <v>19</v>
      </c>
      <c r="K165">
        <v>360</v>
      </c>
      <c r="L165">
        <v>0</v>
      </c>
      <c r="M165" t="s">
        <v>20</v>
      </c>
    </row>
    <row r="166" spans="1:13" x14ac:dyDescent="0.35">
      <c r="A166">
        <v>165</v>
      </c>
      <c r="B166">
        <v>583005211</v>
      </c>
      <c r="C166">
        <v>35968</v>
      </c>
      <c r="D166" t="s">
        <v>144</v>
      </c>
      <c r="E166" t="s">
        <v>177</v>
      </c>
      <c r="F166" t="s">
        <v>145</v>
      </c>
      <c r="G166" t="s">
        <v>146</v>
      </c>
      <c r="H166" t="s">
        <v>17</v>
      </c>
      <c r="I166" t="s">
        <v>18</v>
      </c>
      <c r="J166" t="s">
        <v>19</v>
      </c>
      <c r="K166">
        <v>66</v>
      </c>
      <c r="L166">
        <v>0</v>
      </c>
      <c r="M166" t="s">
        <v>20</v>
      </c>
    </row>
    <row r="167" spans="1:13" x14ac:dyDescent="0.35">
      <c r="A167">
        <v>166</v>
      </c>
      <c r="B167">
        <v>583005210</v>
      </c>
      <c r="C167">
        <v>35967</v>
      </c>
      <c r="D167" t="s">
        <v>144</v>
      </c>
      <c r="E167" t="s">
        <v>177</v>
      </c>
      <c r="F167" t="s">
        <v>145</v>
      </c>
      <c r="G167" t="s">
        <v>146</v>
      </c>
      <c r="H167" t="s">
        <v>17</v>
      </c>
      <c r="I167" t="s">
        <v>18</v>
      </c>
      <c r="J167" t="s">
        <v>19</v>
      </c>
      <c r="K167">
        <v>42</v>
      </c>
      <c r="L167">
        <v>0</v>
      </c>
      <c r="M167" t="s">
        <v>20</v>
      </c>
    </row>
    <row r="168" spans="1:13" x14ac:dyDescent="0.35">
      <c r="A168">
        <v>167</v>
      </c>
      <c r="B168">
        <v>583005189</v>
      </c>
      <c r="C168">
        <v>35937</v>
      </c>
      <c r="D168" t="s">
        <v>116</v>
      </c>
      <c r="E168" t="s">
        <v>177</v>
      </c>
      <c r="F168" t="s">
        <v>117</v>
      </c>
      <c r="G168" t="s">
        <v>118</v>
      </c>
      <c r="H168" t="s">
        <v>17</v>
      </c>
      <c r="I168" t="s">
        <v>24</v>
      </c>
      <c r="J168" t="s">
        <v>25</v>
      </c>
      <c r="K168">
        <v>27</v>
      </c>
      <c r="L168">
        <v>0</v>
      </c>
      <c r="M168" t="s">
        <v>20</v>
      </c>
    </row>
    <row r="169" spans="1:13" x14ac:dyDescent="0.35">
      <c r="A169">
        <v>168</v>
      </c>
      <c r="B169">
        <v>583005189</v>
      </c>
      <c r="C169">
        <v>35937</v>
      </c>
      <c r="D169" t="s">
        <v>116</v>
      </c>
      <c r="E169" t="s">
        <v>177</v>
      </c>
      <c r="F169" t="s">
        <v>117</v>
      </c>
      <c r="G169" t="s">
        <v>118</v>
      </c>
      <c r="H169" t="s">
        <v>17</v>
      </c>
      <c r="I169" t="s">
        <v>24</v>
      </c>
      <c r="J169" t="s">
        <v>74</v>
      </c>
      <c r="K169">
        <v>6</v>
      </c>
      <c r="L169">
        <v>0</v>
      </c>
      <c r="M169" t="s">
        <v>20</v>
      </c>
    </row>
    <row r="170" spans="1:13" x14ac:dyDescent="0.35">
      <c r="A170">
        <v>169</v>
      </c>
      <c r="B170">
        <v>583005218</v>
      </c>
      <c r="C170">
        <v>35976</v>
      </c>
      <c r="D170" t="s">
        <v>32</v>
      </c>
      <c r="E170" t="s">
        <v>177</v>
      </c>
      <c r="F170" t="s">
        <v>33</v>
      </c>
      <c r="G170" t="s">
        <v>34</v>
      </c>
      <c r="H170" t="s">
        <v>17</v>
      </c>
      <c r="I170" t="s">
        <v>18</v>
      </c>
      <c r="J170" t="s">
        <v>19</v>
      </c>
      <c r="K170">
        <v>108</v>
      </c>
      <c r="L170">
        <v>0</v>
      </c>
      <c r="M170" t="s">
        <v>20</v>
      </c>
    </row>
    <row r="171" spans="1:13" x14ac:dyDescent="0.35">
      <c r="A171">
        <v>170</v>
      </c>
      <c r="B171">
        <v>583005218</v>
      </c>
      <c r="C171">
        <v>35976</v>
      </c>
      <c r="D171" t="s">
        <v>32</v>
      </c>
      <c r="E171" t="s">
        <v>177</v>
      </c>
      <c r="F171" t="s">
        <v>33</v>
      </c>
      <c r="G171" t="s">
        <v>34</v>
      </c>
      <c r="H171" t="s">
        <v>17</v>
      </c>
      <c r="I171" t="s">
        <v>18</v>
      </c>
      <c r="J171" t="s">
        <v>19</v>
      </c>
      <c r="K171">
        <v>2082</v>
      </c>
      <c r="L171">
        <v>0</v>
      </c>
      <c r="M171" t="s">
        <v>20</v>
      </c>
    </row>
    <row r="172" spans="1:13" x14ac:dyDescent="0.35">
      <c r="A172">
        <v>171</v>
      </c>
      <c r="B172">
        <v>583005218</v>
      </c>
      <c r="C172">
        <v>35976</v>
      </c>
      <c r="D172" t="s">
        <v>32</v>
      </c>
      <c r="E172" t="s">
        <v>177</v>
      </c>
      <c r="F172" t="s">
        <v>33</v>
      </c>
      <c r="G172" t="s">
        <v>34</v>
      </c>
      <c r="H172" t="s">
        <v>17</v>
      </c>
      <c r="I172" t="s">
        <v>18</v>
      </c>
      <c r="J172" t="s">
        <v>19</v>
      </c>
      <c r="K172">
        <v>1377</v>
      </c>
      <c r="L172">
        <v>0</v>
      </c>
      <c r="M172" t="s">
        <v>20</v>
      </c>
    </row>
    <row r="173" spans="1:13" x14ac:dyDescent="0.35">
      <c r="A173">
        <v>172</v>
      </c>
      <c r="B173">
        <v>583005233</v>
      </c>
      <c r="C173">
        <v>35994</v>
      </c>
      <c r="D173" t="s">
        <v>181</v>
      </c>
      <c r="E173" t="s">
        <v>177</v>
      </c>
      <c r="F173" t="s">
        <v>182</v>
      </c>
      <c r="G173" t="s">
        <v>183</v>
      </c>
      <c r="H173" t="s">
        <v>17</v>
      </c>
      <c r="I173" t="s">
        <v>135</v>
      </c>
      <c r="J173" t="s">
        <v>19</v>
      </c>
      <c r="K173">
        <v>300</v>
      </c>
      <c r="L173">
        <v>0</v>
      </c>
      <c r="M173" t="s">
        <v>20</v>
      </c>
    </row>
    <row r="174" spans="1:13" x14ac:dyDescent="0.35">
      <c r="A174">
        <v>173</v>
      </c>
      <c r="B174">
        <v>583005290</v>
      </c>
      <c r="C174">
        <v>36074</v>
      </c>
      <c r="D174" t="s">
        <v>199</v>
      </c>
      <c r="E174" t="s">
        <v>200</v>
      </c>
      <c r="F174" t="s">
        <v>201</v>
      </c>
      <c r="G174" t="s">
        <v>202</v>
      </c>
      <c r="H174" t="s">
        <v>17</v>
      </c>
      <c r="I174" t="s">
        <v>18</v>
      </c>
      <c r="J174" t="s">
        <v>19</v>
      </c>
      <c r="K174">
        <v>213</v>
      </c>
      <c r="L174">
        <v>0</v>
      </c>
      <c r="M174" t="s">
        <v>20</v>
      </c>
    </row>
    <row r="175" spans="1:13" x14ac:dyDescent="0.35">
      <c r="A175">
        <v>174</v>
      </c>
      <c r="B175">
        <v>583005289</v>
      </c>
      <c r="C175">
        <v>36073</v>
      </c>
      <c r="D175" t="s">
        <v>199</v>
      </c>
      <c r="E175" t="s">
        <v>200</v>
      </c>
      <c r="F175" t="s">
        <v>201</v>
      </c>
      <c r="G175" t="s">
        <v>202</v>
      </c>
      <c r="H175" t="s">
        <v>17</v>
      </c>
      <c r="I175" t="s">
        <v>51</v>
      </c>
      <c r="J175" t="s">
        <v>52</v>
      </c>
      <c r="K175">
        <v>6.8</v>
      </c>
      <c r="L175">
        <v>0</v>
      </c>
      <c r="M175" t="s">
        <v>20</v>
      </c>
    </row>
    <row r="176" spans="1:13" x14ac:dyDescent="0.35">
      <c r="A176">
        <v>175</v>
      </c>
      <c r="B176">
        <v>583005288</v>
      </c>
      <c r="C176">
        <v>36072</v>
      </c>
      <c r="D176" t="s">
        <v>199</v>
      </c>
      <c r="E176" t="s">
        <v>200</v>
      </c>
      <c r="F176" t="s">
        <v>201</v>
      </c>
      <c r="G176" t="s">
        <v>202</v>
      </c>
      <c r="H176" t="s">
        <v>17</v>
      </c>
      <c r="I176" t="s">
        <v>24</v>
      </c>
      <c r="J176" t="s">
        <v>25</v>
      </c>
      <c r="K176">
        <v>3</v>
      </c>
      <c r="L176">
        <v>0</v>
      </c>
      <c r="M176" t="s">
        <v>20</v>
      </c>
    </row>
    <row r="177" spans="1:13" x14ac:dyDescent="0.35">
      <c r="A177">
        <v>176</v>
      </c>
      <c r="B177">
        <v>583005287</v>
      </c>
      <c r="C177">
        <v>36071</v>
      </c>
      <c r="D177" t="s">
        <v>199</v>
      </c>
      <c r="E177" t="s">
        <v>200</v>
      </c>
      <c r="F177" t="s">
        <v>201</v>
      </c>
      <c r="G177" t="s">
        <v>202</v>
      </c>
      <c r="H177" t="s">
        <v>17</v>
      </c>
      <c r="I177" t="s">
        <v>18</v>
      </c>
      <c r="J177" t="s">
        <v>19</v>
      </c>
      <c r="K177">
        <v>423</v>
      </c>
      <c r="L177">
        <v>0</v>
      </c>
      <c r="M177" t="s">
        <v>20</v>
      </c>
    </row>
    <row r="178" spans="1:13" x14ac:dyDescent="0.35">
      <c r="A178">
        <v>177</v>
      </c>
      <c r="B178">
        <v>583005284</v>
      </c>
      <c r="C178">
        <v>36068</v>
      </c>
      <c r="D178" t="s">
        <v>21</v>
      </c>
      <c r="E178" t="s">
        <v>200</v>
      </c>
      <c r="F178" t="s">
        <v>22</v>
      </c>
      <c r="G178" t="s">
        <v>23</v>
      </c>
      <c r="H178" t="s">
        <v>17</v>
      </c>
      <c r="I178" t="s">
        <v>18</v>
      </c>
      <c r="J178" t="s">
        <v>19</v>
      </c>
      <c r="K178">
        <v>4230</v>
      </c>
      <c r="L178">
        <v>0</v>
      </c>
      <c r="M178" t="s">
        <v>20</v>
      </c>
    </row>
    <row r="179" spans="1:13" x14ac:dyDescent="0.35">
      <c r="A179">
        <v>178</v>
      </c>
      <c r="B179">
        <v>583005287</v>
      </c>
      <c r="C179">
        <v>36071</v>
      </c>
      <c r="D179" t="s">
        <v>199</v>
      </c>
      <c r="E179" t="s">
        <v>200</v>
      </c>
      <c r="F179" t="s">
        <v>201</v>
      </c>
      <c r="G179" t="s">
        <v>202</v>
      </c>
      <c r="H179" t="s">
        <v>17</v>
      </c>
      <c r="I179" t="s">
        <v>18</v>
      </c>
      <c r="J179" t="s">
        <v>19</v>
      </c>
      <c r="K179">
        <v>2484</v>
      </c>
      <c r="L179">
        <v>0</v>
      </c>
      <c r="M179" t="s">
        <v>20</v>
      </c>
    </row>
    <row r="180" spans="1:13" x14ac:dyDescent="0.35">
      <c r="A180">
        <v>179</v>
      </c>
      <c r="B180">
        <v>583005287</v>
      </c>
      <c r="C180">
        <v>36071</v>
      </c>
      <c r="D180" t="s">
        <v>199</v>
      </c>
      <c r="E180" t="s">
        <v>200</v>
      </c>
      <c r="F180" t="s">
        <v>201</v>
      </c>
      <c r="G180" t="s">
        <v>202</v>
      </c>
      <c r="H180" t="s">
        <v>17</v>
      </c>
      <c r="I180" t="s">
        <v>18</v>
      </c>
      <c r="J180" t="s">
        <v>19</v>
      </c>
      <c r="K180">
        <v>1251</v>
      </c>
      <c r="L180">
        <v>0</v>
      </c>
      <c r="M180" t="s">
        <v>20</v>
      </c>
    </row>
    <row r="181" spans="1:13" x14ac:dyDescent="0.35">
      <c r="A181">
        <v>180</v>
      </c>
      <c r="B181">
        <v>583005274</v>
      </c>
      <c r="C181">
        <v>36050</v>
      </c>
      <c r="D181" t="s">
        <v>159</v>
      </c>
      <c r="E181" t="s">
        <v>200</v>
      </c>
      <c r="F181" t="s">
        <v>160</v>
      </c>
      <c r="G181" t="s">
        <v>161</v>
      </c>
      <c r="H181" t="s">
        <v>17</v>
      </c>
      <c r="I181" t="s">
        <v>18</v>
      </c>
      <c r="J181" t="s">
        <v>19</v>
      </c>
      <c r="K181">
        <v>117</v>
      </c>
      <c r="L181">
        <v>0</v>
      </c>
      <c r="M181" t="s">
        <v>20</v>
      </c>
    </row>
    <row r="182" spans="1:13" x14ac:dyDescent="0.35">
      <c r="A182">
        <v>181</v>
      </c>
      <c r="B182">
        <v>583005260</v>
      </c>
      <c r="C182">
        <v>36034</v>
      </c>
      <c r="D182" t="s">
        <v>21</v>
      </c>
      <c r="E182" t="s">
        <v>200</v>
      </c>
      <c r="F182" t="s">
        <v>22</v>
      </c>
      <c r="G182" t="s">
        <v>23</v>
      </c>
      <c r="H182" t="s">
        <v>17</v>
      </c>
      <c r="I182" t="s">
        <v>18</v>
      </c>
      <c r="J182" t="s">
        <v>19</v>
      </c>
      <c r="K182">
        <v>57</v>
      </c>
      <c r="L182">
        <v>0</v>
      </c>
      <c r="M182" t="s">
        <v>20</v>
      </c>
    </row>
    <row r="183" spans="1:13" x14ac:dyDescent="0.35">
      <c r="A183">
        <v>182</v>
      </c>
      <c r="B183">
        <v>583005282</v>
      </c>
      <c r="C183">
        <v>36063</v>
      </c>
      <c r="D183" t="s">
        <v>116</v>
      </c>
      <c r="E183" t="s">
        <v>200</v>
      </c>
      <c r="F183" t="s">
        <v>117</v>
      </c>
      <c r="G183" t="s">
        <v>118</v>
      </c>
      <c r="H183" t="s">
        <v>17</v>
      </c>
      <c r="I183" t="s">
        <v>18</v>
      </c>
      <c r="J183" t="s">
        <v>19</v>
      </c>
      <c r="K183">
        <v>4140</v>
      </c>
      <c r="L183">
        <v>0</v>
      </c>
      <c r="M183" t="s">
        <v>20</v>
      </c>
    </row>
    <row r="184" spans="1:13" x14ac:dyDescent="0.35">
      <c r="A184">
        <v>183</v>
      </c>
      <c r="B184">
        <v>583005273</v>
      </c>
      <c r="C184">
        <v>36049</v>
      </c>
      <c r="D184" t="s">
        <v>203</v>
      </c>
      <c r="E184" t="s">
        <v>200</v>
      </c>
      <c r="F184" t="s">
        <v>204</v>
      </c>
      <c r="G184" t="s">
        <v>205</v>
      </c>
      <c r="H184" t="s">
        <v>17</v>
      </c>
      <c r="I184" t="s">
        <v>51</v>
      </c>
      <c r="J184" t="s">
        <v>52</v>
      </c>
      <c r="K184">
        <v>81.599999999999994</v>
      </c>
      <c r="L184">
        <v>0</v>
      </c>
      <c r="M184" t="s">
        <v>20</v>
      </c>
    </row>
    <row r="185" spans="1:13" x14ac:dyDescent="0.35">
      <c r="A185">
        <v>184</v>
      </c>
      <c r="B185">
        <v>583005248</v>
      </c>
      <c r="C185">
        <v>36020</v>
      </c>
      <c r="D185" t="s">
        <v>107</v>
      </c>
      <c r="E185" t="s">
        <v>200</v>
      </c>
      <c r="F185" t="s">
        <v>108</v>
      </c>
      <c r="G185" t="s">
        <v>109</v>
      </c>
      <c r="H185" t="s">
        <v>17</v>
      </c>
      <c r="I185" t="s">
        <v>18</v>
      </c>
      <c r="J185" t="s">
        <v>19</v>
      </c>
      <c r="K185">
        <v>63</v>
      </c>
      <c r="L185">
        <v>0</v>
      </c>
      <c r="M185" t="s">
        <v>20</v>
      </c>
    </row>
    <row r="186" spans="1:13" x14ac:dyDescent="0.35">
      <c r="A186">
        <v>185</v>
      </c>
      <c r="B186">
        <v>583005271</v>
      </c>
      <c r="C186">
        <v>36046</v>
      </c>
      <c r="D186" t="s">
        <v>92</v>
      </c>
      <c r="E186" t="s">
        <v>200</v>
      </c>
      <c r="F186" t="s">
        <v>93</v>
      </c>
      <c r="G186" t="s">
        <v>94</v>
      </c>
      <c r="H186" t="s">
        <v>17</v>
      </c>
      <c r="I186" t="s">
        <v>18</v>
      </c>
      <c r="J186" t="s">
        <v>19</v>
      </c>
      <c r="K186">
        <v>72</v>
      </c>
      <c r="L186">
        <v>0</v>
      </c>
      <c r="M186" t="s">
        <v>20</v>
      </c>
    </row>
    <row r="187" spans="1:13" x14ac:dyDescent="0.35">
      <c r="A187">
        <v>186</v>
      </c>
      <c r="B187">
        <v>583005244</v>
      </c>
      <c r="C187">
        <v>36014</v>
      </c>
      <c r="D187" t="s">
        <v>104</v>
      </c>
      <c r="E187" t="s">
        <v>200</v>
      </c>
      <c r="F187" t="s">
        <v>105</v>
      </c>
      <c r="G187" t="s">
        <v>106</v>
      </c>
      <c r="H187" t="s">
        <v>17</v>
      </c>
      <c r="I187" t="s">
        <v>63</v>
      </c>
      <c r="J187" t="s">
        <v>64</v>
      </c>
      <c r="K187">
        <v>16</v>
      </c>
      <c r="L187">
        <v>28.32</v>
      </c>
      <c r="M187" t="s">
        <v>20</v>
      </c>
    </row>
    <row r="188" spans="1:13" x14ac:dyDescent="0.35">
      <c r="A188">
        <v>187</v>
      </c>
      <c r="B188">
        <v>583005279</v>
      </c>
      <c r="C188">
        <v>36058</v>
      </c>
      <c r="D188" t="s">
        <v>206</v>
      </c>
      <c r="E188" t="s">
        <v>200</v>
      </c>
      <c r="F188" t="s">
        <v>207</v>
      </c>
      <c r="G188" t="s">
        <v>208</v>
      </c>
      <c r="H188" t="s">
        <v>17</v>
      </c>
      <c r="I188" t="s">
        <v>18</v>
      </c>
      <c r="J188" t="s">
        <v>19</v>
      </c>
      <c r="K188">
        <v>90</v>
      </c>
      <c r="L188">
        <v>0</v>
      </c>
      <c r="M188" t="s">
        <v>20</v>
      </c>
    </row>
    <row r="189" spans="1:13" x14ac:dyDescent="0.35">
      <c r="A189">
        <v>188</v>
      </c>
      <c r="B189">
        <v>583005243</v>
      </c>
      <c r="C189">
        <v>36012</v>
      </c>
      <c r="D189" t="s">
        <v>181</v>
      </c>
      <c r="E189" t="s">
        <v>200</v>
      </c>
      <c r="F189" t="s">
        <v>182</v>
      </c>
      <c r="G189" t="s">
        <v>183</v>
      </c>
      <c r="H189" t="s">
        <v>17</v>
      </c>
      <c r="I189" t="s">
        <v>89</v>
      </c>
      <c r="J189" t="s">
        <v>19</v>
      </c>
      <c r="K189">
        <v>100</v>
      </c>
      <c r="L189">
        <v>0</v>
      </c>
      <c r="M189" t="s">
        <v>20</v>
      </c>
    </row>
    <row r="190" spans="1:13" x14ac:dyDescent="0.35">
      <c r="A190">
        <v>189</v>
      </c>
      <c r="B190">
        <v>583005261</v>
      </c>
      <c r="C190">
        <v>36035</v>
      </c>
      <c r="D190" t="s">
        <v>82</v>
      </c>
      <c r="E190" t="s">
        <v>200</v>
      </c>
      <c r="F190" t="s">
        <v>83</v>
      </c>
      <c r="G190" t="s">
        <v>84</v>
      </c>
      <c r="H190" t="s">
        <v>17</v>
      </c>
      <c r="I190" t="s">
        <v>91</v>
      </c>
      <c r="J190" t="s">
        <v>25</v>
      </c>
      <c r="K190">
        <v>360</v>
      </c>
      <c r="L190">
        <v>0</v>
      </c>
      <c r="M190" t="s">
        <v>20</v>
      </c>
    </row>
    <row r="191" spans="1:13" x14ac:dyDescent="0.35">
      <c r="A191">
        <v>190</v>
      </c>
      <c r="B191">
        <v>583005266</v>
      </c>
      <c r="C191">
        <v>36041</v>
      </c>
      <c r="D191" t="s">
        <v>129</v>
      </c>
      <c r="E191" t="s">
        <v>200</v>
      </c>
      <c r="F191" t="s">
        <v>130</v>
      </c>
      <c r="G191" t="s">
        <v>131</v>
      </c>
      <c r="H191" t="s">
        <v>17</v>
      </c>
      <c r="I191" t="s">
        <v>24</v>
      </c>
      <c r="J191" t="s">
        <v>25</v>
      </c>
      <c r="K191">
        <v>6</v>
      </c>
      <c r="L191">
        <v>0</v>
      </c>
      <c r="M191" t="s">
        <v>20</v>
      </c>
    </row>
    <row r="192" spans="1:13" x14ac:dyDescent="0.35">
      <c r="A192">
        <v>191</v>
      </c>
      <c r="B192">
        <v>583005243</v>
      </c>
      <c r="C192">
        <v>36012</v>
      </c>
      <c r="D192" t="s">
        <v>181</v>
      </c>
      <c r="E192" t="s">
        <v>200</v>
      </c>
      <c r="F192" t="s">
        <v>182</v>
      </c>
      <c r="G192" t="s">
        <v>183</v>
      </c>
      <c r="H192" t="s">
        <v>17</v>
      </c>
      <c r="I192" t="s">
        <v>135</v>
      </c>
      <c r="J192" t="s">
        <v>19</v>
      </c>
      <c r="K192">
        <v>450</v>
      </c>
      <c r="L192">
        <v>0</v>
      </c>
      <c r="M192" t="s">
        <v>20</v>
      </c>
    </row>
    <row r="193" spans="1:13" x14ac:dyDescent="0.35">
      <c r="A193">
        <v>192</v>
      </c>
      <c r="B193">
        <v>583005247</v>
      </c>
      <c r="C193">
        <v>36018</v>
      </c>
      <c r="D193" t="s">
        <v>65</v>
      </c>
      <c r="E193" t="s">
        <v>200</v>
      </c>
      <c r="F193" t="s">
        <v>66</v>
      </c>
      <c r="G193" t="s">
        <v>67</v>
      </c>
      <c r="H193" t="s">
        <v>17</v>
      </c>
      <c r="I193" t="s">
        <v>18</v>
      </c>
      <c r="J193" t="s">
        <v>19</v>
      </c>
      <c r="K193">
        <v>18</v>
      </c>
      <c r="L193">
        <v>0</v>
      </c>
      <c r="M193" t="s">
        <v>20</v>
      </c>
    </row>
    <row r="194" spans="1:13" x14ac:dyDescent="0.35">
      <c r="A194">
        <v>193</v>
      </c>
      <c r="B194">
        <v>583005272</v>
      </c>
      <c r="C194">
        <v>36048</v>
      </c>
      <c r="D194" t="s">
        <v>203</v>
      </c>
      <c r="E194" t="s">
        <v>200</v>
      </c>
      <c r="F194" t="s">
        <v>204</v>
      </c>
      <c r="G194" t="s">
        <v>205</v>
      </c>
      <c r="H194" t="s">
        <v>17</v>
      </c>
      <c r="I194" t="s">
        <v>18</v>
      </c>
      <c r="J194" t="s">
        <v>19</v>
      </c>
      <c r="K194">
        <v>144</v>
      </c>
      <c r="L194">
        <v>0</v>
      </c>
      <c r="M194" t="s">
        <v>20</v>
      </c>
    </row>
    <row r="195" spans="1:13" x14ac:dyDescent="0.35">
      <c r="A195">
        <v>194</v>
      </c>
      <c r="B195">
        <v>583005263</v>
      </c>
      <c r="C195">
        <v>36038</v>
      </c>
      <c r="D195" t="s">
        <v>209</v>
      </c>
      <c r="E195" t="s">
        <v>200</v>
      </c>
      <c r="F195" t="s">
        <v>210</v>
      </c>
      <c r="G195" t="s">
        <v>211</v>
      </c>
      <c r="H195" t="s">
        <v>17</v>
      </c>
      <c r="I195" t="s">
        <v>18</v>
      </c>
      <c r="J195" t="s">
        <v>19</v>
      </c>
      <c r="K195">
        <v>132</v>
      </c>
      <c r="L195">
        <v>0</v>
      </c>
      <c r="M195" t="s">
        <v>20</v>
      </c>
    </row>
    <row r="196" spans="1:13" x14ac:dyDescent="0.35">
      <c r="A196">
        <v>195</v>
      </c>
      <c r="B196">
        <v>583005270</v>
      </c>
      <c r="C196">
        <v>36045</v>
      </c>
      <c r="D196" t="s">
        <v>92</v>
      </c>
      <c r="E196" t="s">
        <v>200</v>
      </c>
      <c r="F196" t="s">
        <v>93</v>
      </c>
      <c r="G196" t="s">
        <v>94</v>
      </c>
      <c r="H196" t="s">
        <v>17</v>
      </c>
      <c r="I196" t="s">
        <v>18</v>
      </c>
      <c r="J196" t="s">
        <v>19</v>
      </c>
      <c r="K196">
        <v>18</v>
      </c>
      <c r="L196">
        <v>0</v>
      </c>
      <c r="M196" t="s">
        <v>20</v>
      </c>
    </row>
    <row r="197" spans="1:13" x14ac:dyDescent="0.35">
      <c r="A197">
        <v>196</v>
      </c>
      <c r="B197">
        <v>583005272</v>
      </c>
      <c r="C197">
        <v>36048</v>
      </c>
      <c r="D197" t="s">
        <v>203</v>
      </c>
      <c r="E197" t="s">
        <v>200</v>
      </c>
      <c r="F197" t="s">
        <v>204</v>
      </c>
      <c r="G197" t="s">
        <v>205</v>
      </c>
      <c r="H197" t="s">
        <v>17</v>
      </c>
      <c r="I197" t="s">
        <v>18</v>
      </c>
      <c r="J197" t="s">
        <v>19</v>
      </c>
      <c r="K197">
        <v>156</v>
      </c>
      <c r="L197">
        <v>0</v>
      </c>
      <c r="M197" t="s">
        <v>20</v>
      </c>
    </row>
    <row r="198" spans="1:13" x14ac:dyDescent="0.35">
      <c r="A198">
        <v>197</v>
      </c>
      <c r="B198">
        <v>583005275</v>
      </c>
      <c r="C198">
        <v>36051</v>
      </c>
      <c r="D198" t="s">
        <v>110</v>
      </c>
      <c r="E198" t="s">
        <v>200</v>
      </c>
      <c r="F198" t="s">
        <v>111</v>
      </c>
      <c r="G198" t="s">
        <v>112</v>
      </c>
      <c r="H198" t="s">
        <v>17</v>
      </c>
      <c r="I198" t="s">
        <v>18</v>
      </c>
      <c r="J198" t="s">
        <v>19</v>
      </c>
      <c r="K198">
        <v>36</v>
      </c>
      <c r="L198">
        <v>0</v>
      </c>
      <c r="M198" t="s">
        <v>20</v>
      </c>
    </row>
    <row r="199" spans="1:13" x14ac:dyDescent="0.35">
      <c r="A199">
        <v>198</v>
      </c>
      <c r="B199">
        <v>583005272</v>
      </c>
      <c r="C199">
        <v>36048</v>
      </c>
      <c r="D199" t="s">
        <v>203</v>
      </c>
      <c r="E199" t="s">
        <v>200</v>
      </c>
      <c r="F199" t="s">
        <v>204</v>
      </c>
      <c r="G199" t="s">
        <v>205</v>
      </c>
      <c r="H199" t="s">
        <v>17</v>
      </c>
      <c r="I199" t="s">
        <v>18</v>
      </c>
      <c r="J199" t="s">
        <v>19</v>
      </c>
      <c r="K199">
        <v>3597</v>
      </c>
      <c r="L199">
        <v>0</v>
      </c>
      <c r="M199" t="s">
        <v>20</v>
      </c>
    </row>
    <row r="200" spans="1:13" x14ac:dyDescent="0.35">
      <c r="A200">
        <v>199</v>
      </c>
      <c r="B200">
        <v>583005248</v>
      </c>
      <c r="C200">
        <v>36020</v>
      </c>
      <c r="D200" t="s">
        <v>107</v>
      </c>
      <c r="E200" t="s">
        <v>200</v>
      </c>
      <c r="F200" t="s">
        <v>108</v>
      </c>
      <c r="G200" t="s">
        <v>109</v>
      </c>
      <c r="H200" t="s">
        <v>17</v>
      </c>
      <c r="I200" t="s">
        <v>18</v>
      </c>
      <c r="J200" t="s">
        <v>19</v>
      </c>
      <c r="K200">
        <v>45</v>
      </c>
      <c r="L200">
        <v>0</v>
      </c>
      <c r="M200" t="s">
        <v>20</v>
      </c>
    </row>
    <row r="201" spans="1:13" x14ac:dyDescent="0.35">
      <c r="A201">
        <v>200</v>
      </c>
      <c r="B201">
        <v>583005264</v>
      </c>
      <c r="C201">
        <v>36039</v>
      </c>
      <c r="D201" t="s">
        <v>212</v>
      </c>
      <c r="E201" t="s">
        <v>200</v>
      </c>
      <c r="F201" t="s">
        <v>213</v>
      </c>
      <c r="G201" t="s">
        <v>214</v>
      </c>
      <c r="H201" t="s">
        <v>17</v>
      </c>
      <c r="I201" t="s">
        <v>18</v>
      </c>
      <c r="J201" t="s">
        <v>19</v>
      </c>
      <c r="K201">
        <v>117</v>
      </c>
      <c r="L201">
        <v>0</v>
      </c>
      <c r="M201" t="s">
        <v>20</v>
      </c>
    </row>
    <row r="202" spans="1:13" x14ac:dyDescent="0.35">
      <c r="A202">
        <v>201</v>
      </c>
      <c r="B202">
        <v>583005272</v>
      </c>
      <c r="C202">
        <v>36048</v>
      </c>
      <c r="D202" t="s">
        <v>203</v>
      </c>
      <c r="E202" t="s">
        <v>200</v>
      </c>
      <c r="F202" t="s">
        <v>204</v>
      </c>
      <c r="G202" t="s">
        <v>205</v>
      </c>
      <c r="H202" t="s">
        <v>17</v>
      </c>
      <c r="I202" t="s">
        <v>18</v>
      </c>
      <c r="J202" t="s">
        <v>19</v>
      </c>
      <c r="K202">
        <v>36</v>
      </c>
      <c r="L202">
        <v>0</v>
      </c>
      <c r="M202" t="s">
        <v>20</v>
      </c>
    </row>
    <row r="203" spans="1:13" x14ac:dyDescent="0.35">
      <c r="A203">
        <v>202</v>
      </c>
      <c r="B203">
        <v>583005259</v>
      </c>
      <c r="C203">
        <v>36033</v>
      </c>
      <c r="D203" t="s">
        <v>53</v>
      </c>
      <c r="E203" t="s">
        <v>200</v>
      </c>
      <c r="F203" t="s">
        <v>54</v>
      </c>
      <c r="G203" t="s">
        <v>55</v>
      </c>
      <c r="H203" t="s">
        <v>17</v>
      </c>
      <c r="I203" t="s">
        <v>18</v>
      </c>
      <c r="J203" t="s">
        <v>19</v>
      </c>
      <c r="K203">
        <v>36</v>
      </c>
      <c r="L203">
        <v>0</v>
      </c>
      <c r="M203" t="s">
        <v>20</v>
      </c>
    </row>
    <row r="204" spans="1:13" x14ac:dyDescent="0.35">
      <c r="A204">
        <v>203</v>
      </c>
      <c r="B204">
        <v>583005295</v>
      </c>
      <c r="C204">
        <v>36080</v>
      </c>
      <c r="D204" t="s">
        <v>21</v>
      </c>
      <c r="E204" t="s">
        <v>215</v>
      </c>
      <c r="F204" t="s">
        <v>22</v>
      </c>
      <c r="G204" t="s">
        <v>23</v>
      </c>
      <c r="H204" t="s">
        <v>17</v>
      </c>
      <c r="I204" t="s">
        <v>24</v>
      </c>
      <c r="J204" t="s">
        <v>25</v>
      </c>
      <c r="K204">
        <v>50</v>
      </c>
      <c r="L204">
        <v>0</v>
      </c>
      <c r="M204" t="s">
        <v>20</v>
      </c>
    </row>
    <row r="205" spans="1:13" x14ac:dyDescent="0.35">
      <c r="A205">
        <v>204</v>
      </c>
      <c r="B205">
        <v>583005294</v>
      </c>
      <c r="C205">
        <v>36079</v>
      </c>
      <c r="D205" t="s">
        <v>21</v>
      </c>
      <c r="E205" t="s">
        <v>215</v>
      </c>
      <c r="F205" t="s">
        <v>22</v>
      </c>
      <c r="G205" t="s">
        <v>23</v>
      </c>
      <c r="H205" t="s">
        <v>17</v>
      </c>
      <c r="I205" t="s">
        <v>18</v>
      </c>
      <c r="J205" t="s">
        <v>19</v>
      </c>
      <c r="K205">
        <v>144</v>
      </c>
      <c r="L205">
        <v>0</v>
      </c>
      <c r="M205" t="s">
        <v>20</v>
      </c>
    </row>
    <row r="206" spans="1:13" x14ac:dyDescent="0.35">
      <c r="A206">
        <v>205</v>
      </c>
      <c r="B206">
        <v>583005294</v>
      </c>
      <c r="C206">
        <v>36079</v>
      </c>
      <c r="D206" t="s">
        <v>21</v>
      </c>
      <c r="E206" t="s">
        <v>215</v>
      </c>
      <c r="F206" t="s">
        <v>22</v>
      </c>
      <c r="G206" t="s">
        <v>23</v>
      </c>
      <c r="H206" t="s">
        <v>17</v>
      </c>
      <c r="I206" t="s">
        <v>18</v>
      </c>
      <c r="J206" t="s">
        <v>19</v>
      </c>
      <c r="K206">
        <v>1737</v>
      </c>
      <c r="L206">
        <v>0</v>
      </c>
      <c r="M206" t="s">
        <v>20</v>
      </c>
    </row>
    <row r="207" spans="1:13" x14ac:dyDescent="0.35">
      <c r="A207">
        <v>206</v>
      </c>
      <c r="B207">
        <v>583005294</v>
      </c>
      <c r="C207">
        <v>36079</v>
      </c>
      <c r="D207" t="s">
        <v>21</v>
      </c>
      <c r="E207" t="s">
        <v>215</v>
      </c>
      <c r="F207" t="s">
        <v>22</v>
      </c>
      <c r="G207" t="s">
        <v>23</v>
      </c>
      <c r="H207" t="s">
        <v>17</v>
      </c>
      <c r="I207" t="s">
        <v>18</v>
      </c>
      <c r="J207" t="s">
        <v>19</v>
      </c>
      <c r="K207">
        <v>714</v>
      </c>
      <c r="L207">
        <v>0</v>
      </c>
      <c r="M207" t="s">
        <v>20</v>
      </c>
    </row>
    <row r="208" spans="1:13" x14ac:dyDescent="0.35">
      <c r="A208">
        <v>207</v>
      </c>
      <c r="B208">
        <v>583005294</v>
      </c>
      <c r="C208">
        <v>36079</v>
      </c>
      <c r="D208" t="s">
        <v>21</v>
      </c>
      <c r="E208" t="s">
        <v>215</v>
      </c>
      <c r="F208" t="s">
        <v>22</v>
      </c>
      <c r="G208" t="s">
        <v>23</v>
      </c>
      <c r="H208" t="s">
        <v>17</v>
      </c>
      <c r="I208" t="s">
        <v>18</v>
      </c>
      <c r="J208" t="s">
        <v>19</v>
      </c>
      <c r="K208">
        <v>1167</v>
      </c>
      <c r="L208">
        <v>0</v>
      </c>
      <c r="M208" t="s">
        <v>20</v>
      </c>
    </row>
    <row r="209" spans="1:13" x14ac:dyDescent="0.35">
      <c r="A209">
        <v>208</v>
      </c>
      <c r="B209">
        <v>583005301</v>
      </c>
      <c r="C209">
        <v>36097</v>
      </c>
      <c r="D209" t="s">
        <v>216</v>
      </c>
      <c r="E209" t="s">
        <v>217</v>
      </c>
      <c r="F209" t="s">
        <v>218</v>
      </c>
      <c r="G209" t="s">
        <v>219</v>
      </c>
      <c r="H209" t="s">
        <v>17</v>
      </c>
      <c r="I209" t="s">
        <v>18</v>
      </c>
      <c r="J209" t="s">
        <v>19</v>
      </c>
      <c r="K209">
        <v>144</v>
      </c>
      <c r="L209">
        <v>0</v>
      </c>
      <c r="M209" t="s">
        <v>20</v>
      </c>
    </row>
    <row r="210" spans="1:13" x14ac:dyDescent="0.35">
      <c r="A210">
        <v>209</v>
      </c>
      <c r="B210">
        <v>583005301</v>
      </c>
      <c r="C210">
        <v>36097</v>
      </c>
      <c r="D210" t="s">
        <v>216</v>
      </c>
      <c r="E210" t="s">
        <v>217</v>
      </c>
      <c r="F210" t="s">
        <v>218</v>
      </c>
      <c r="G210" t="s">
        <v>219</v>
      </c>
      <c r="H210" t="s">
        <v>17</v>
      </c>
      <c r="I210" t="s">
        <v>18</v>
      </c>
      <c r="J210" t="s">
        <v>19</v>
      </c>
      <c r="K210">
        <v>90</v>
      </c>
      <c r="L210">
        <v>0</v>
      </c>
      <c r="M210" t="s">
        <v>20</v>
      </c>
    </row>
    <row r="211" spans="1:13" x14ac:dyDescent="0.35">
      <c r="A211">
        <v>210</v>
      </c>
      <c r="B211">
        <v>583005301</v>
      </c>
      <c r="C211">
        <v>36097</v>
      </c>
      <c r="D211" t="s">
        <v>216</v>
      </c>
      <c r="E211" t="s">
        <v>217</v>
      </c>
      <c r="F211" t="s">
        <v>218</v>
      </c>
      <c r="G211" t="s">
        <v>219</v>
      </c>
      <c r="H211" t="s">
        <v>17</v>
      </c>
      <c r="I211" t="s">
        <v>18</v>
      </c>
      <c r="J211" t="s">
        <v>19</v>
      </c>
      <c r="K211">
        <v>3444</v>
      </c>
      <c r="L211">
        <v>0</v>
      </c>
      <c r="M211" t="s">
        <v>20</v>
      </c>
    </row>
    <row r="212" spans="1:13" x14ac:dyDescent="0.35">
      <c r="A212">
        <v>211</v>
      </c>
      <c r="B212">
        <v>583005301</v>
      </c>
      <c r="C212">
        <v>36097</v>
      </c>
      <c r="D212" t="s">
        <v>216</v>
      </c>
      <c r="E212" t="s">
        <v>217</v>
      </c>
      <c r="F212" t="s">
        <v>218</v>
      </c>
      <c r="G212" t="s">
        <v>219</v>
      </c>
      <c r="H212" t="s">
        <v>17</v>
      </c>
      <c r="I212" t="s">
        <v>18</v>
      </c>
      <c r="J212" t="s">
        <v>19</v>
      </c>
      <c r="K212">
        <v>252</v>
      </c>
      <c r="L212">
        <v>0</v>
      </c>
      <c r="M212" t="s">
        <v>20</v>
      </c>
    </row>
    <row r="213" spans="1:13" x14ac:dyDescent="0.35">
      <c r="A213">
        <v>212</v>
      </c>
      <c r="B213">
        <v>583005318</v>
      </c>
      <c r="C213">
        <v>36119</v>
      </c>
      <c r="D213" t="s">
        <v>220</v>
      </c>
      <c r="E213" t="s">
        <v>217</v>
      </c>
      <c r="F213" t="s">
        <v>221</v>
      </c>
      <c r="G213" t="s">
        <v>222</v>
      </c>
      <c r="H213" t="s">
        <v>17</v>
      </c>
      <c r="I213" t="s">
        <v>63</v>
      </c>
      <c r="J213" t="s">
        <v>64</v>
      </c>
      <c r="K213">
        <v>33</v>
      </c>
      <c r="L213">
        <v>58.41</v>
      </c>
      <c r="M213" t="s">
        <v>20</v>
      </c>
    </row>
    <row r="214" spans="1:13" x14ac:dyDescent="0.35">
      <c r="A214">
        <v>213</v>
      </c>
      <c r="B214">
        <v>583005307</v>
      </c>
      <c r="C214">
        <v>36107</v>
      </c>
      <c r="D214" t="s">
        <v>125</v>
      </c>
      <c r="E214" t="s">
        <v>217</v>
      </c>
      <c r="F214" t="s">
        <v>127</v>
      </c>
      <c r="G214" t="s">
        <v>128</v>
      </c>
      <c r="H214" t="s">
        <v>17</v>
      </c>
      <c r="I214" t="s">
        <v>18</v>
      </c>
      <c r="J214" t="s">
        <v>19</v>
      </c>
      <c r="K214">
        <v>1296</v>
      </c>
      <c r="L214">
        <v>0</v>
      </c>
      <c r="M214" t="s">
        <v>20</v>
      </c>
    </row>
    <row r="215" spans="1:13" x14ac:dyDescent="0.35">
      <c r="A215">
        <v>214</v>
      </c>
      <c r="B215">
        <v>583005307</v>
      </c>
      <c r="C215">
        <v>36107</v>
      </c>
      <c r="D215" t="s">
        <v>125</v>
      </c>
      <c r="E215" t="s">
        <v>217</v>
      </c>
      <c r="F215" t="s">
        <v>127</v>
      </c>
      <c r="G215" t="s">
        <v>128</v>
      </c>
      <c r="H215" t="s">
        <v>17</v>
      </c>
      <c r="I215" t="s">
        <v>18</v>
      </c>
      <c r="J215" t="s">
        <v>19</v>
      </c>
      <c r="K215">
        <v>2385</v>
      </c>
      <c r="L215">
        <v>0</v>
      </c>
      <c r="M215" t="s">
        <v>20</v>
      </c>
    </row>
    <row r="216" spans="1:13" x14ac:dyDescent="0.35">
      <c r="A216">
        <v>215</v>
      </c>
      <c r="B216">
        <v>583005306</v>
      </c>
      <c r="C216">
        <v>36106</v>
      </c>
      <c r="D216" t="s">
        <v>21</v>
      </c>
      <c r="E216" t="s">
        <v>217</v>
      </c>
      <c r="F216" t="s">
        <v>22</v>
      </c>
      <c r="G216" t="s">
        <v>23</v>
      </c>
      <c r="H216" t="s">
        <v>17</v>
      </c>
      <c r="I216" t="s">
        <v>18</v>
      </c>
      <c r="J216" t="s">
        <v>19</v>
      </c>
      <c r="K216">
        <v>180</v>
      </c>
      <c r="L216">
        <v>0</v>
      </c>
      <c r="M216" t="s">
        <v>20</v>
      </c>
    </row>
    <row r="217" spans="1:13" x14ac:dyDescent="0.35">
      <c r="A217">
        <v>216</v>
      </c>
      <c r="B217">
        <v>583005306</v>
      </c>
      <c r="C217">
        <v>36106</v>
      </c>
      <c r="D217" t="s">
        <v>21</v>
      </c>
      <c r="E217" t="s">
        <v>217</v>
      </c>
      <c r="F217" t="s">
        <v>22</v>
      </c>
      <c r="G217" t="s">
        <v>23</v>
      </c>
      <c r="H217" t="s">
        <v>17</v>
      </c>
      <c r="I217" t="s">
        <v>18</v>
      </c>
      <c r="J217" t="s">
        <v>19</v>
      </c>
      <c r="K217">
        <v>594</v>
      </c>
      <c r="L217">
        <v>0</v>
      </c>
      <c r="M217" t="s">
        <v>20</v>
      </c>
    </row>
    <row r="218" spans="1:13" x14ac:dyDescent="0.35">
      <c r="A218">
        <v>217</v>
      </c>
      <c r="B218">
        <v>583005306</v>
      </c>
      <c r="C218">
        <v>36106</v>
      </c>
      <c r="D218" t="s">
        <v>21</v>
      </c>
      <c r="E218" t="s">
        <v>217</v>
      </c>
      <c r="F218" t="s">
        <v>22</v>
      </c>
      <c r="G218" t="s">
        <v>23</v>
      </c>
      <c r="H218" t="s">
        <v>17</v>
      </c>
      <c r="I218" t="s">
        <v>18</v>
      </c>
      <c r="J218" t="s">
        <v>19</v>
      </c>
      <c r="K218">
        <v>3195</v>
      </c>
      <c r="L218">
        <v>0</v>
      </c>
      <c r="M218" t="s">
        <v>20</v>
      </c>
    </row>
    <row r="219" spans="1:13" x14ac:dyDescent="0.35">
      <c r="A219">
        <v>218</v>
      </c>
      <c r="B219">
        <v>583005307</v>
      </c>
      <c r="C219">
        <v>36107</v>
      </c>
      <c r="D219" t="s">
        <v>125</v>
      </c>
      <c r="E219" t="s">
        <v>217</v>
      </c>
      <c r="F219" t="s">
        <v>127</v>
      </c>
      <c r="G219" t="s">
        <v>128</v>
      </c>
      <c r="H219" t="s">
        <v>17</v>
      </c>
      <c r="I219" t="s">
        <v>18</v>
      </c>
      <c r="J219" t="s">
        <v>19</v>
      </c>
      <c r="K219">
        <v>510</v>
      </c>
      <c r="L219">
        <v>0</v>
      </c>
      <c r="M219" t="s">
        <v>20</v>
      </c>
    </row>
    <row r="220" spans="1:13" x14ac:dyDescent="0.35">
      <c r="A220">
        <v>219</v>
      </c>
      <c r="B220">
        <v>583005302</v>
      </c>
      <c r="C220">
        <v>36098</v>
      </c>
      <c r="D220" t="s">
        <v>216</v>
      </c>
      <c r="E220" t="s">
        <v>217</v>
      </c>
      <c r="F220" t="s">
        <v>218</v>
      </c>
      <c r="G220" t="s">
        <v>219</v>
      </c>
      <c r="H220" t="s">
        <v>17</v>
      </c>
      <c r="I220" t="s">
        <v>51</v>
      </c>
      <c r="J220" t="s">
        <v>52</v>
      </c>
      <c r="K220">
        <v>149.6</v>
      </c>
      <c r="L220">
        <v>0</v>
      </c>
      <c r="M220" t="s">
        <v>20</v>
      </c>
    </row>
    <row r="221" spans="1:13" x14ac:dyDescent="0.35">
      <c r="A221">
        <v>220</v>
      </c>
      <c r="B221">
        <v>583005308</v>
      </c>
      <c r="C221">
        <v>36108</v>
      </c>
      <c r="D221" t="s">
        <v>223</v>
      </c>
      <c r="E221" t="s">
        <v>217</v>
      </c>
      <c r="F221" t="s">
        <v>224</v>
      </c>
      <c r="G221" t="s">
        <v>225</v>
      </c>
      <c r="H221" t="s">
        <v>17</v>
      </c>
      <c r="I221" t="s">
        <v>63</v>
      </c>
      <c r="J221" t="s">
        <v>64</v>
      </c>
      <c r="K221">
        <v>8</v>
      </c>
      <c r="L221">
        <v>14.16</v>
      </c>
      <c r="M221" t="s">
        <v>20</v>
      </c>
    </row>
    <row r="222" spans="1:13" x14ac:dyDescent="0.35">
      <c r="A222">
        <v>221</v>
      </c>
      <c r="B222">
        <v>583005313</v>
      </c>
      <c r="C222">
        <v>36114</v>
      </c>
      <c r="D222" t="s">
        <v>39</v>
      </c>
      <c r="E222" t="s">
        <v>217</v>
      </c>
      <c r="F222" t="s">
        <v>40</v>
      </c>
      <c r="G222" t="s">
        <v>41</v>
      </c>
      <c r="H222" t="s">
        <v>17</v>
      </c>
      <c r="I222" t="s">
        <v>63</v>
      </c>
      <c r="J222" t="s">
        <v>64</v>
      </c>
      <c r="K222">
        <v>4</v>
      </c>
      <c r="L222">
        <v>7.08</v>
      </c>
      <c r="M222" t="s">
        <v>20</v>
      </c>
    </row>
    <row r="223" spans="1:13" x14ac:dyDescent="0.35">
      <c r="A223">
        <v>222</v>
      </c>
      <c r="B223">
        <v>583005298</v>
      </c>
      <c r="C223">
        <v>36089</v>
      </c>
      <c r="D223" t="s">
        <v>82</v>
      </c>
      <c r="E223" t="s">
        <v>217</v>
      </c>
      <c r="F223" t="s">
        <v>83</v>
      </c>
      <c r="G223" t="s">
        <v>84</v>
      </c>
      <c r="H223" t="s">
        <v>17</v>
      </c>
      <c r="I223" t="s">
        <v>91</v>
      </c>
      <c r="J223" t="s">
        <v>25</v>
      </c>
      <c r="K223">
        <v>360</v>
      </c>
      <c r="L223">
        <v>0</v>
      </c>
      <c r="M223" t="s">
        <v>20</v>
      </c>
    </row>
    <row r="224" spans="1:13" x14ac:dyDescent="0.35">
      <c r="A224">
        <v>223</v>
      </c>
      <c r="B224">
        <v>583005326</v>
      </c>
      <c r="C224">
        <v>36127</v>
      </c>
      <c r="D224" t="s">
        <v>226</v>
      </c>
      <c r="E224" t="s">
        <v>217</v>
      </c>
      <c r="F224" t="s">
        <v>227</v>
      </c>
      <c r="G224" t="s">
        <v>228</v>
      </c>
      <c r="H224" t="s">
        <v>17</v>
      </c>
      <c r="I224" t="s">
        <v>18</v>
      </c>
      <c r="J224" t="s">
        <v>19</v>
      </c>
      <c r="K224">
        <v>1692</v>
      </c>
      <c r="L224">
        <v>0</v>
      </c>
      <c r="M224" t="s">
        <v>20</v>
      </c>
    </row>
    <row r="225" spans="1:13" x14ac:dyDescent="0.35">
      <c r="A225">
        <v>224</v>
      </c>
      <c r="B225">
        <v>583005326</v>
      </c>
      <c r="C225">
        <v>36127</v>
      </c>
      <c r="D225" t="s">
        <v>226</v>
      </c>
      <c r="E225" t="s">
        <v>217</v>
      </c>
      <c r="F225" t="s">
        <v>227</v>
      </c>
      <c r="G225" t="s">
        <v>228</v>
      </c>
      <c r="H225" t="s">
        <v>17</v>
      </c>
      <c r="I225" t="s">
        <v>18</v>
      </c>
      <c r="J225" t="s">
        <v>19</v>
      </c>
      <c r="K225">
        <v>324</v>
      </c>
      <c r="L225">
        <v>0</v>
      </c>
      <c r="M225" t="s">
        <v>20</v>
      </c>
    </row>
    <row r="226" spans="1:13" x14ac:dyDescent="0.35">
      <c r="A226">
        <v>225</v>
      </c>
      <c r="B226">
        <v>583005309</v>
      </c>
      <c r="C226">
        <v>36109</v>
      </c>
      <c r="D226" t="s">
        <v>101</v>
      </c>
      <c r="E226" t="s">
        <v>217</v>
      </c>
      <c r="F226" t="s">
        <v>229</v>
      </c>
      <c r="G226" t="s">
        <v>230</v>
      </c>
      <c r="H226" t="s">
        <v>17</v>
      </c>
      <c r="I226" t="s">
        <v>18</v>
      </c>
      <c r="J226" t="s">
        <v>19</v>
      </c>
      <c r="K226">
        <v>234</v>
      </c>
      <c r="L226">
        <v>0</v>
      </c>
      <c r="M226" t="s">
        <v>20</v>
      </c>
    </row>
    <row r="227" spans="1:13" x14ac:dyDescent="0.35">
      <c r="A227">
        <v>226</v>
      </c>
      <c r="B227">
        <v>583005309</v>
      </c>
      <c r="C227">
        <v>36109</v>
      </c>
      <c r="D227" t="s">
        <v>101</v>
      </c>
      <c r="E227" t="s">
        <v>217</v>
      </c>
      <c r="F227" t="s">
        <v>229</v>
      </c>
      <c r="G227" t="s">
        <v>230</v>
      </c>
      <c r="H227" t="s">
        <v>17</v>
      </c>
      <c r="I227" t="s">
        <v>18</v>
      </c>
      <c r="J227" t="s">
        <v>19</v>
      </c>
      <c r="K227">
        <v>1551</v>
      </c>
      <c r="L227">
        <v>0</v>
      </c>
      <c r="M227" t="s">
        <v>20</v>
      </c>
    </row>
    <row r="228" spans="1:13" x14ac:dyDescent="0.35">
      <c r="A228">
        <v>227</v>
      </c>
      <c r="B228">
        <v>583005305</v>
      </c>
      <c r="C228">
        <v>36104</v>
      </c>
      <c r="D228" t="s">
        <v>82</v>
      </c>
      <c r="E228" t="s">
        <v>217</v>
      </c>
      <c r="F228" t="s">
        <v>83</v>
      </c>
      <c r="G228" t="s">
        <v>84</v>
      </c>
      <c r="H228" t="s">
        <v>17</v>
      </c>
      <c r="I228" t="s">
        <v>63</v>
      </c>
      <c r="J228" t="s">
        <v>64</v>
      </c>
      <c r="K228">
        <v>56</v>
      </c>
      <c r="L228">
        <v>99.12</v>
      </c>
      <c r="M228" t="s">
        <v>20</v>
      </c>
    </row>
    <row r="229" spans="1:13" x14ac:dyDescent="0.35">
      <c r="A229">
        <v>228</v>
      </c>
      <c r="B229">
        <v>583005317</v>
      </c>
      <c r="C229">
        <v>36118</v>
      </c>
      <c r="D229" t="s">
        <v>231</v>
      </c>
      <c r="E229" t="s">
        <v>217</v>
      </c>
      <c r="F229" t="s">
        <v>232</v>
      </c>
      <c r="G229" t="s">
        <v>233</v>
      </c>
      <c r="H229" t="s">
        <v>17</v>
      </c>
      <c r="I229" t="s">
        <v>18</v>
      </c>
      <c r="J229" t="s">
        <v>19</v>
      </c>
      <c r="K229">
        <v>90</v>
      </c>
      <c r="L229">
        <v>0</v>
      </c>
      <c r="M229" t="s">
        <v>20</v>
      </c>
    </row>
    <row r="230" spans="1:13" x14ac:dyDescent="0.35">
      <c r="A230">
        <v>229</v>
      </c>
      <c r="B230">
        <v>583005316</v>
      </c>
      <c r="C230">
        <v>36117</v>
      </c>
      <c r="D230" t="s">
        <v>234</v>
      </c>
      <c r="E230" t="s">
        <v>217</v>
      </c>
      <c r="F230" t="s">
        <v>235</v>
      </c>
      <c r="G230" t="s">
        <v>236</v>
      </c>
      <c r="H230" t="s">
        <v>17</v>
      </c>
      <c r="I230" t="s">
        <v>63</v>
      </c>
      <c r="J230" t="s">
        <v>64</v>
      </c>
      <c r="K230">
        <v>2</v>
      </c>
      <c r="L230">
        <v>3.54</v>
      </c>
      <c r="M230" t="s">
        <v>20</v>
      </c>
    </row>
    <row r="231" spans="1:13" x14ac:dyDescent="0.35">
      <c r="A231">
        <v>230</v>
      </c>
      <c r="B231">
        <v>583005314</v>
      </c>
      <c r="C231">
        <v>36115</v>
      </c>
      <c r="D231" t="s">
        <v>29</v>
      </c>
      <c r="E231" t="s">
        <v>217</v>
      </c>
      <c r="F231" t="s">
        <v>30</v>
      </c>
      <c r="G231" t="s">
        <v>31</v>
      </c>
      <c r="H231" t="s">
        <v>17</v>
      </c>
      <c r="I231" t="s">
        <v>18</v>
      </c>
      <c r="J231" t="s">
        <v>19</v>
      </c>
      <c r="K231">
        <v>90</v>
      </c>
      <c r="L231">
        <v>0</v>
      </c>
      <c r="M231" t="s">
        <v>20</v>
      </c>
    </row>
    <row r="232" spans="1:13" x14ac:dyDescent="0.35">
      <c r="A232">
        <v>231</v>
      </c>
      <c r="B232">
        <v>583005314</v>
      </c>
      <c r="C232">
        <v>36115</v>
      </c>
      <c r="D232" t="s">
        <v>29</v>
      </c>
      <c r="E232" t="s">
        <v>217</v>
      </c>
      <c r="F232" t="s">
        <v>30</v>
      </c>
      <c r="G232" t="s">
        <v>31</v>
      </c>
      <c r="H232" t="s">
        <v>17</v>
      </c>
      <c r="I232" t="s">
        <v>18</v>
      </c>
      <c r="J232" t="s">
        <v>19</v>
      </c>
      <c r="K232">
        <v>168</v>
      </c>
      <c r="L232">
        <v>0</v>
      </c>
      <c r="M232" t="s">
        <v>20</v>
      </c>
    </row>
    <row r="233" spans="1:13" x14ac:dyDescent="0.35">
      <c r="A233">
        <v>232</v>
      </c>
      <c r="B233">
        <v>583005315</v>
      </c>
      <c r="C233">
        <v>36116</v>
      </c>
      <c r="D233" t="s">
        <v>29</v>
      </c>
      <c r="E233" t="s">
        <v>217</v>
      </c>
      <c r="F233" t="s">
        <v>30</v>
      </c>
      <c r="G233" t="s">
        <v>31</v>
      </c>
      <c r="H233" t="s">
        <v>17</v>
      </c>
      <c r="I233" t="s">
        <v>18</v>
      </c>
      <c r="J233" t="s">
        <v>19</v>
      </c>
      <c r="K233">
        <v>153</v>
      </c>
      <c r="L233">
        <v>0</v>
      </c>
      <c r="M233" t="s">
        <v>20</v>
      </c>
    </row>
    <row r="234" spans="1:13" x14ac:dyDescent="0.35">
      <c r="A234">
        <v>233</v>
      </c>
      <c r="B234">
        <v>583005311</v>
      </c>
      <c r="C234">
        <v>36112</v>
      </c>
      <c r="D234" t="s">
        <v>181</v>
      </c>
      <c r="E234" t="s">
        <v>217</v>
      </c>
      <c r="F234" t="s">
        <v>182</v>
      </c>
      <c r="G234" t="s">
        <v>183</v>
      </c>
      <c r="H234" t="s">
        <v>17</v>
      </c>
      <c r="I234" t="s">
        <v>63</v>
      </c>
      <c r="J234" t="s">
        <v>64</v>
      </c>
      <c r="K234">
        <v>90</v>
      </c>
      <c r="L234">
        <v>159.30000000000001</v>
      </c>
      <c r="M234" t="s">
        <v>20</v>
      </c>
    </row>
    <row r="235" spans="1:13" x14ac:dyDescent="0.35">
      <c r="A235">
        <v>234</v>
      </c>
      <c r="B235">
        <v>583005376</v>
      </c>
      <c r="C235">
        <v>36197</v>
      </c>
      <c r="D235" t="s">
        <v>193</v>
      </c>
      <c r="E235" t="s">
        <v>237</v>
      </c>
      <c r="F235" t="s">
        <v>194</v>
      </c>
      <c r="G235" t="s">
        <v>195</v>
      </c>
      <c r="H235" t="s">
        <v>17</v>
      </c>
      <c r="I235" t="s">
        <v>18</v>
      </c>
      <c r="J235" t="s">
        <v>19</v>
      </c>
      <c r="K235">
        <v>1290</v>
      </c>
      <c r="L235">
        <v>0</v>
      </c>
      <c r="M235" t="s">
        <v>20</v>
      </c>
    </row>
    <row r="236" spans="1:13" x14ac:dyDescent="0.35">
      <c r="A236">
        <v>235</v>
      </c>
      <c r="B236">
        <v>583005376</v>
      </c>
      <c r="C236">
        <v>36197</v>
      </c>
      <c r="D236" t="s">
        <v>193</v>
      </c>
      <c r="E236" t="s">
        <v>237</v>
      </c>
      <c r="F236" t="s">
        <v>194</v>
      </c>
      <c r="G236" t="s">
        <v>195</v>
      </c>
      <c r="H236" t="s">
        <v>17</v>
      </c>
      <c r="I236" t="s">
        <v>18</v>
      </c>
      <c r="J236" t="s">
        <v>19</v>
      </c>
      <c r="K236">
        <v>72</v>
      </c>
      <c r="L236">
        <v>0</v>
      </c>
      <c r="M236" t="s">
        <v>20</v>
      </c>
    </row>
    <row r="237" spans="1:13" x14ac:dyDescent="0.35">
      <c r="A237">
        <v>236</v>
      </c>
      <c r="B237">
        <v>583005376</v>
      </c>
      <c r="C237">
        <v>36197</v>
      </c>
      <c r="D237" t="s">
        <v>193</v>
      </c>
      <c r="E237" t="s">
        <v>237</v>
      </c>
      <c r="F237" t="s">
        <v>194</v>
      </c>
      <c r="G237" t="s">
        <v>195</v>
      </c>
      <c r="H237" t="s">
        <v>17</v>
      </c>
      <c r="I237" t="s">
        <v>18</v>
      </c>
      <c r="J237" t="s">
        <v>19</v>
      </c>
      <c r="K237">
        <v>72</v>
      </c>
      <c r="L237">
        <v>0</v>
      </c>
      <c r="M237" t="s">
        <v>20</v>
      </c>
    </row>
    <row r="238" spans="1:13" x14ac:dyDescent="0.35">
      <c r="A238">
        <v>237</v>
      </c>
      <c r="B238">
        <v>583005361</v>
      </c>
      <c r="C238">
        <v>36178</v>
      </c>
      <c r="D238" t="s">
        <v>122</v>
      </c>
      <c r="E238" t="s">
        <v>237</v>
      </c>
      <c r="F238" t="s">
        <v>123</v>
      </c>
      <c r="G238" t="s">
        <v>124</v>
      </c>
      <c r="H238" t="s">
        <v>17</v>
      </c>
      <c r="I238" t="s">
        <v>18</v>
      </c>
      <c r="J238" t="s">
        <v>19</v>
      </c>
      <c r="K238">
        <v>1008</v>
      </c>
      <c r="L238">
        <v>0</v>
      </c>
      <c r="M238" t="s">
        <v>20</v>
      </c>
    </row>
    <row r="239" spans="1:13" x14ac:dyDescent="0.35">
      <c r="A239">
        <v>238</v>
      </c>
      <c r="B239">
        <v>583005364</v>
      </c>
      <c r="C239">
        <v>36182</v>
      </c>
      <c r="D239" t="s">
        <v>174</v>
      </c>
      <c r="E239" t="s">
        <v>237</v>
      </c>
      <c r="F239" t="s">
        <v>175</v>
      </c>
      <c r="G239" t="s">
        <v>176</v>
      </c>
      <c r="H239" t="s">
        <v>17</v>
      </c>
      <c r="I239" t="s">
        <v>18</v>
      </c>
      <c r="J239" t="s">
        <v>19</v>
      </c>
      <c r="K239">
        <v>1728</v>
      </c>
      <c r="L239">
        <v>0</v>
      </c>
      <c r="M239" t="s">
        <v>20</v>
      </c>
    </row>
    <row r="240" spans="1:13" x14ac:dyDescent="0.35">
      <c r="A240">
        <v>239</v>
      </c>
      <c r="B240">
        <v>583005359</v>
      </c>
      <c r="C240">
        <v>36175</v>
      </c>
      <c r="D240" t="s">
        <v>125</v>
      </c>
      <c r="E240" t="s">
        <v>237</v>
      </c>
      <c r="F240" t="s">
        <v>127</v>
      </c>
      <c r="G240" t="s">
        <v>128</v>
      </c>
      <c r="H240" t="s">
        <v>17</v>
      </c>
      <c r="I240" t="s">
        <v>63</v>
      </c>
      <c r="J240" t="s">
        <v>64</v>
      </c>
      <c r="K240">
        <v>43</v>
      </c>
      <c r="L240">
        <v>76.11</v>
      </c>
      <c r="M240" t="s">
        <v>20</v>
      </c>
    </row>
    <row r="241" spans="1:13" x14ac:dyDescent="0.35">
      <c r="A241">
        <v>240</v>
      </c>
      <c r="B241">
        <v>583005384</v>
      </c>
      <c r="C241">
        <v>36205</v>
      </c>
      <c r="D241" t="s">
        <v>238</v>
      </c>
      <c r="E241" t="s">
        <v>237</v>
      </c>
      <c r="F241" t="s">
        <v>239</v>
      </c>
      <c r="G241" t="s">
        <v>240</v>
      </c>
      <c r="H241" t="s">
        <v>17</v>
      </c>
      <c r="I241" t="s">
        <v>18</v>
      </c>
      <c r="J241" t="s">
        <v>19</v>
      </c>
      <c r="K241">
        <v>2715</v>
      </c>
      <c r="L241">
        <v>0</v>
      </c>
      <c r="M241" t="s">
        <v>20</v>
      </c>
    </row>
    <row r="242" spans="1:13" x14ac:dyDescent="0.35">
      <c r="A242">
        <v>241</v>
      </c>
      <c r="B242">
        <v>583005384</v>
      </c>
      <c r="C242">
        <v>36205</v>
      </c>
      <c r="D242" t="s">
        <v>238</v>
      </c>
      <c r="E242" t="s">
        <v>237</v>
      </c>
      <c r="F242" t="s">
        <v>239</v>
      </c>
      <c r="G242" t="s">
        <v>240</v>
      </c>
      <c r="H242" t="s">
        <v>17</v>
      </c>
      <c r="I242" t="s">
        <v>18</v>
      </c>
      <c r="J242" t="s">
        <v>19</v>
      </c>
      <c r="K242">
        <v>468</v>
      </c>
      <c r="L242">
        <v>0</v>
      </c>
      <c r="M242" t="s">
        <v>20</v>
      </c>
    </row>
    <row r="243" spans="1:13" x14ac:dyDescent="0.35">
      <c r="A243">
        <v>242</v>
      </c>
      <c r="B243">
        <v>583005384</v>
      </c>
      <c r="C243">
        <v>36205</v>
      </c>
      <c r="D243" t="s">
        <v>238</v>
      </c>
      <c r="E243" t="s">
        <v>237</v>
      </c>
      <c r="F243" t="s">
        <v>239</v>
      </c>
      <c r="G243" t="s">
        <v>240</v>
      </c>
      <c r="H243" t="s">
        <v>17</v>
      </c>
      <c r="I243" t="s">
        <v>18</v>
      </c>
      <c r="J243" t="s">
        <v>19</v>
      </c>
      <c r="K243">
        <v>360</v>
      </c>
      <c r="L243">
        <v>0</v>
      </c>
      <c r="M243" t="s">
        <v>20</v>
      </c>
    </row>
    <row r="244" spans="1:13" x14ac:dyDescent="0.35">
      <c r="A244">
        <v>243</v>
      </c>
      <c r="B244">
        <v>583005386</v>
      </c>
      <c r="C244">
        <v>36207</v>
      </c>
      <c r="D244" t="s">
        <v>238</v>
      </c>
      <c r="E244" t="s">
        <v>237</v>
      </c>
      <c r="F244" t="s">
        <v>239</v>
      </c>
      <c r="G244" t="s">
        <v>240</v>
      </c>
      <c r="H244" t="s">
        <v>17</v>
      </c>
      <c r="I244" t="s">
        <v>135</v>
      </c>
      <c r="J244" t="s">
        <v>19</v>
      </c>
      <c r="K244">
        <v>600</v>
      </c>
      <c r="L244">
        <v>0</v>
      </c>
      <c r="M244" t="s">
        <v>20</v>
      </c>
    </row>
    <row r="245" spans="1:13" x14ac:dyDescent="0.35">
      <c r="A245">
        <v>244</v>
      </c>
      <c r="B245">
        <v>583005383</v>
      </c>
      <c r="C245">
        <v>36204</v>
      </c>
      <c r="D245" t="s">
        <v>13</v>
      </c>
      <c r="E245" t="s">
        <v>237</v>
      </c>
      <c r="F245" t="s">
        <v>15</v>
      </c>
      <c r="G245" t="s">
        <v>16</v>
      </c>
      <c r="H245" t="s">
        <v>17</v>
      </c>
      <c r="I245" t="s">
        <v>135</v>
      </c>
      <c r="J245" t="s">
        <v>19</v>
      </c>
      <c r="K245">
        <v>132</v>
      </c>
      <c r="L245">
        <v>0</v>
      </c>
      <c r="M245" t="s">
        <v>20</v>
      </c>
    </row>
    <row r="246" spans="1:13" x14ac:dyDescent="0.35">
      <c r="A246">
        <v>245</v>
      </c>
      <c r="B246">
        <v>583005360</v>
      </c>
      <c r="C246">
        <v>36176</v>
      </c>
      <c r="D246" t="s">
        <v>241</v>
      </c>
      <c r="E246" t="s">
        <v>237</v>
      </c>
      <c r="F246" t="s">
        <v>242</v>
      </c>
      <c r="G246" t="s">
        <v>243</v>
      </c>
      <c r="H246" t="s">
        <v>17</v>
      </c>
      <c r="I246" t="s">
        <v>18</v>
      </c>
      <c r="J246" t="s">
        <v>19</v>
      </c>
      <c r="K246">
        <v>2859</v>
      </c>
      <c r="L246">
        <v>0</v>
      </c>
      <c r="M246" t="s">
        <v>20</v>
      </c>
    </row>
    <row r="247" spans="1:13" x14ac:dyDescent="0.35">
      <c r="A247">
        <v>246</v>
      </c>
      <c r="B247">
        <v>583005360</v>
      </c>
      <c r="C247">
        <v>36176</v>
      </c>
      <c r="D247" t="s">
        <v>241</v>
      </c>
      <c r="E247" t="s">
        <v>237</v>
      </c>
      <c r="F247" t="s">
        <v>242</v>
      </c>
      <c r="G247" t="s">
        <v>243</v>
      </c>
      <c r="H247" t="s">
        <v>17</v>
      </c>
      <c r="I247" t="s">
        <v>18</v>
      </c>
      <c r="J247" t="s">
        <v>19</v>
      </c>
      <c r="K247">
        <v>180</v>
      </c>
      <c r="L247">
        <v>0</v>
      </c>
      <c r="M247" t="s">
        <v>20</v>
      </c>
    </row>
    <row r="248" spans="1:13" x14ac:dyDescent="0.35">
      <c r="A248">
        <v>247</v>
      </c>
      <c r="B248">
        <v>583005360</v>
      </c>
      <c r="C248">
        <v>36176</v>
      </c>
      <c r="D248" t="s">
        <v>241</v>
      </c>
      <c r="E248" t="s">
        <v>237</v>
      </c>
      <c r="F248" t="s">
        <v>242</v>
      </c>
      <c r="G248" t="s">
        <v>243</v>
      </c>
      <c r="H248" t="s">
        <v>17</v>
      </c>
      <c r="I248" t="s">
        <v>18</v>
      </c>
      <c r="J248" t="s">
        <v>19</v>
      </c>
      <c r="K248">
        <v>495</v>
      </c>
      <c r="L248">
        <v>0</v>
      </c>
      <c r="M248" t="s">
        <v>20</v>
      </c>
    </row>
    <row r="249" spans="1:13" x14ac:dyDescent="0.35">
      <c r="A249">
        <v>248</v>
      </c>
      <c r="B249">
        <v>583005360</v>
      </c>
      <c r="C249">
        <v>36176</v>
      </c>
      <c r="D249" t="s">
        <v>241</v>
      </c>
      <c r="E249" t="s">
        <v>237</v>
      </c>
      <c r="F249" t="s">
        <v>242</v>
      </c>
      <c r="G249" t="s">
        <v>243</v>
      </c>
      <c r="H249" t="s">
        <v>17</v>
      </c>
      <c r="I249" t="s">
        <v>18</v>
      </c>
      <c r="J249" t="s">
        <v>19</v>
      </c>
      <c r="K249">
        <v>468</v>
      </c>
      <c r="L249">
        <v>0</v>
      </c>
      <c r="M249" t="s">
        <v>20</v>
      </c>
    </row>
    <row r="250" spans="1:13" x14ac:dyDescent="0.35">
      <c r="A250">
        <v>249</v>
      </c>
      <c r="B250">
        <v>583005365</v>
      </c>
      <c r="C250">
        <v>36183</v>
      </c>
      <c r="D250" t="s">
        <v>36</v>
      </c>
      <c r="E250" t="s">
        <v>237</v>
      </c>
      <c r="F250" t="s">
        <v>37</v>
      </c>
      <c r="G250" t="s">
        <v>38</v>
      </c>
      <c r="H250" t="s">
        <v>17</v>
      </c>
      <c r="I250" t="s">
        <v>18</v>
      </c>
      <c r="J250" t="s">
        <v>19</v>
      </c>
      <c r="K250">
        <v>72</v>
      </c>
      <c r="L250">
        <v>0</v>
      </c>
      <c r="M250" t="s">
        <v>20</v>
      </c>
    </row>
    <row r="251" spans="1:13" x14ac:dyDescent="0.35">
      <c r="A251">
        <v>250</v>
      </c>
      <c r="B251">
        <v>583005365</v>
      </c>
      <c r="C251">
        <v>36183</v>
      </c>
      <c r="D251" t="s">
        <v>36</v>
      </c>
      <c r="E251" t="s">
        <v>237</v>
      </c>
      <c r="F251" t="s">
        <v>37</v>
      </c>
      <c r="G251" t="s">
        <v>38</v>
      </c>
      <c r="H251" t="s">
        <v>17</v>
      </c>
      <c r="I251" t="s">
        <v>18</v>
      </c>
      <c r="J251" t="s">
        <v>19</v>
      </c>
      <c r="K251">
        <v>1140</v>
      </c>
      <c r="L251">
        <v>0</v>
      </c>
      <c r="M251" t="s">
        <v>20</v>
      </c>
    </row>
    <row r="252" spans="1:13" x14ac:dyDescent="0.35">
      <c r="A252">
        <v>251</v>
      </c>
      <c r="B252">
        <v>583005365</v>
      </c>
      <c r="C252">
        <v>36183</v>
      </c>
      <c r="D252" t="s">
        <v>36</v>
      </c>
      <c r="E252" t="s">
        <v>237</v>
      </c>
      <c r="F252" t="s">
        <v>37</v>
      </c>
      <c r="G252" t="s">
        <v>38</v>
      </c>
      <c r="H252" t="s">
        <v>17</v>
      </c>
      <c r="I252" t="s">
        <v>18</v>
      </c>
      <c r="J252" t="s">
        <v>19</v>
      </c>
      <c r="K252">
        <v>522</v>
      </c>
      <c r="L252">
        <v>0</v>
      </c>
      <c r="M252" t="s">
        <v>20</v>
      </c>
    </row>
    <row r="253" spans="1:13" x14ac:dyDescent="0.35">
      <c r="A253">
        <v>252</v>
      </c>
      <c r="B253">
        <v>583005365</v>
      </c>
      <c r="C253">
        <v>36183</v>
      </c>
      <c r="D253" t="s">
        <v>36</v>
      </c>
      <c r="E253" t="s">
        <v>237</v>
      </c>
      <c r="F253" t="s">
        <v>37</v>
      </c>
      <c r="G253" t="s">
        <v>38</v>
      </c>
      <c r="H253" t="s">
        <v>17</v>
      </c>
      <c r="I253" t="s">
        <v>18</v>
      </c>
      <c r="J253" t="s">
        <v>19</v>
      </c>
      <c r="K253">
        <v>144</v>
      </c>
      <c r="L253">
        <v>0</v>
      </c>
      <c r="M253" t="s">
        <v>20</v>
      </c>
    </row>
    <row r="254" spans="1:13" x14ac:dyDescent="0.35">
      <c r="A254">
        <v>253</v>
      </c>
      <c r="B254">
        <v>583005372</v>
      </c>
      <c r="C254">
        <v>36192</v>
      </c>
      <c r="D254" t="s">
        <v>92</v>
      </c>
      <c r="E254" t="s">
        <v>237</v>
      </c>
      <c r="F254" t="s">
        <v>93</v>
      </c>
      <c r="G254" t="s">
        <v>94</v>
      </c>
      <c r="H254" t="s">
        <v>17</v>
      </c>
      <c r="I254" t="s">
        <v>18</v>
      </c>
      <c r="J254" t="s">
        <v>19</v>
      </c>
      <c r="K254">
        <v>90</v>
      </c>
      <c r="L254">
        <v>0</v>
      </c>
      <c r="M254" t="s">
        <v>20</v>
      </c>
    </row>
    <row r="255" spans="1:13" x14ac:dyDescent="0.35">
      <c r="A255">
        <v>254</v>
      </c>
      <c r="B255">
        <v>583005371</v>
      </c>
      <c r="C255">
        <v>36191</v>
      </c>
      <c r="D255" t="s">
        <v>92</v>
      </c>
      <c r="E255" t="s">
        <v>237</v>
      </c>
      <c r="F255" t="s">
        <v>93</v>
      </c>
      <c r="G255" t="s">
        <v>94</v>
      </c>
      <c r="H255" t="s">
        <v>17</v>
      </c>
      <c r="I255" t="s">
        <v>18</v>
      </c>
      <c r="J255" t="s">
        <v>19</v>
      </c>
      <c r="K255">
        <v>90</v>
      </c>
      <c r="L255">
        <v>0</v>
      </c>
      <c r="M255" t="s">
        <v>20</v>
      </c>
    </row>
    <row r="256" spans="1:13" x14ac:dyDescent="0.35">
      <c r="A256">
        <v>255</v>
      </c>
      <c r="B256">
        <v>583005392</v>
      </c>
      <c r="C256">
        <v>36213</v>
      </c>
      <c r="D256" t="s">
        <v>36</v>
      </c>
      <c r="E256" t="s">
        <v>237</v>
      </c>
      <c r="F256" t="s">
        <v>37</v>
      </c>
      <c r="G256" t="s">
        <v>38</v>
      </c>
      <c r="H256" t="s">
        <v>17</v>
      </c>
      <c r="I256" t="s">
        <v>18</v>
      </c>
      <c r="J256" t="s">
        <v>19</v>
      </c>
      <c r="K256">
        <v>90</v>
      </c>
      <c r="L256">
        <v>0</v>
      </c>
      <c r="M256" t="s">
        <v>20</v>
      </c>
    </row>
    <row r="257" spans="1:13" x14ac:dyDescent="0.35">
      <c r="A257">
        <v>256</v>
      </c>
      <c r="B257">
        <v>583005390</v>
      </c>
      <c r="C257">
        <v>36211</v>
      </c>
      <c r="D257" t="s">
        <v>36</v>
      </c>
      <c r="E257" t="s">
        <v>237</v>
      </c>
      <c r="F257" t="s">
        <v>37</v>
      </c>
      <c r="G257" t="s">
        <v>38</v>
      </c>
      <c r="H257" t="s">
        <v>17</v>
      </c>
      <c r="I257" t="s">
        <v>18</v>
      </c>
      <c r="J257" t="s">
        <v>19</v>
      </c>
      <c r="K257">
        <v>90</v>
      </c>
      <c r="L257">
        <v>0</v>
      </c>
      <c r="M257" t="s">
        <v>20</v>
      </c>
    </row>
    <row r="258" spans="1:13" x14ac:dyDescent="0.35">
      <c r="A258">
        <v>257</v>
      </c>
      <c r="B258">
        <v>583005389</v>
      </c>
      <c r="C258">
        <v>36210</v>
      </c>
      <c r="D258" t="s">
        <v>36</v>
      </c>
      <c r="E258" t="s">
        <v>237</v>
      </c>
      <c r="F258" t="s">
        <v>37</v>
      </c>
      <c r="G258" t="s">
        <v>38</v>
      </c>
      <c r="H258" t="s">
        <v>17</v>
      </c>
      <c r="I258" t="s">
        <v>18</v>
      </c>
      <c r="J258" t="s">
        <v>19</v>
      </c>
      <c r="K258">
        <v>90</v>
      </c>
      <c r="L258">
        <v>0</v>
      </c>
      <c r="M258" t="s">
        <v>20</v>
      </c>
    </row>
    <row r="259" spans="1:13" x14ac:dyDescent="0.35">
      <c r="A259">
        <v>258</v>
      </c>
      <c r="B259">
        <v>583005385</v>
      </c>
      <c r="C259">
        <v>36206</v>
      </c>
      <c r="D259" t="s">
        <v>13</v>
      </c>
      <c r="E259" t="s">
        <v>237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>
        <v>90</v>
      </c>
      <c r="L259">
        <v>0</v>
      </c>
      <c r="M259" t="s">
        <v>20</v>
      </c>
    </row>
    <row r="260" spans="1:13" x14ac:dyDescent="0.35">
      <c r="A260">
        <v>259</v>
      </c>
      <c r="B260">
        <v>583005391</v>
      </c>
      <c r="C260">
        <v>36212</v>
      </c>
      <c r="D260" t="s">
        <v>36</v>
      </c>
      <c r="E260" t="s">
        <v>237</v>
      </c>
      <c r="F260" t="s">
        <v>37</v>
      </c>
      <c r="G260" t="s">
        <v>38</v>
      </c>
      <c r="H260" t="s">
        <v>17</v>
      </c>
      <c r="I260" t="s">
        <v>18</v>
      </c>
      <c r="J260" t="s">
        <v>19</v>
      </c>
      <c r="K260">
        <v>66</v>
      </c>
      <c r="L260">
        <v>0</v>
      </c>
      <c r="M260" t="s">
        <v>20</v>
      </c>
    </row>
    <row r="261" spans="1:13" x14ac:dyDescent="0.35">
      <c r="A261">
        <v>260</v>
      </c>
      <c r="B261">
        <v>583005382</v>
      </c>
      <c r="C261">
        <v>36203</v>
      </c>
      <c r="D261" t="s">
        <v>144</v>
      </c>
      <c r="E261" t="s">
        <v>237</v>
      </c>
      <c r="F261" t="s">
        <v>145</v>
      </c>
      <c r="G261" t="s">
        <v>146</v>
      </c>
      <c r="H261" t="s">
        <v>17</v>
      </c>
      <c r="I261" t="s">
        <v>18</v>
      </c>
      <c r="J261" t="s">
        <v>19</v>
      </c>
      <c r="K261">
        <v>69</v>
      </c>
      <c r="L261">
        <v>0</v>
      </c>
      <c r="M261" t="s">
        <v>20</v>
      </c>
    </row>
    <row r="262" spans="1:13" x14ac:dyDescent="0.35">
      <c r="A262">
        <v>261</v>
      </c>
      <c r="B262">
        <v>583005377</v>
      </c>
      <c r="C262">
        <v>36198</v>
      </c>
      <c r="D262" t="s">
        <v>244</v>
      </c>
      <c r="E262" t="s">
        <v>237</v>
      </c>
      <c r="F262" t="s">
        <v>245</v>
      </c>
      <c r="G262" t="s">
        <v>246</v>
      </c>
      <c r="H262" t="s">
        <v>17</v>
      </c>
      <c r="I262" t="s">
        <v>18</v>
      </c>
      <c r="J262" t="s">
        <v>19</v>
      </c>
      <c r="K262">
        <v>6</v>
      </c>
      <c r="L262">
        <v>0</v>
      </c>
      <c r="M262" t="s">
        <v>20</v>
      </c>
    </row>
    <row r="263" spans="1:13" x14ac:dyDescent="0.35">
      <c r="A263">
        <v>262</v>
      </c>
      <c r="B263">
        <v>583005368</v>
      </c>
      <c r="C263">
        <v>36188</v>
      </c>
      <c r="D263" t="s">
        <v>98</v>
      </c>
      <c r="E263" t="s">
        <v>237</v>
      </c>
      <c r="F263" t="s">
        <v>99</v>
      </c>
      <c r="G263" t="s">
        <v>100</v>
      </c>
      <c r="H263" t="s">
        <v>17</v>
      </c>
      <c r="I263" t="s">
        <v>18</v>
      </c>
      <c r="J263" t="s">
        <v>19</v>
      </c>
      <c r="K263">
        <v>45</v>
      </c>
      <c r="L263">
        <v>0</v>
      </c>
      <c r="M263" t="s">
        <v>20</v>
      </c>
    </row>
    <row r="264" spans="1:13" x14ac:dyDescent="0.35">
      <c r="A264">
        <v>263</v>
      </c>
      <c r="B264">
        <v>583005375</v>
      </c>
      <c r="C264">
        <v>36196</v>
      </c>
      <c r="D264" t="s">
        <v>129</v>
      </c>
      <c r="E264" t="s">
        <v>237</v>
      </c>
      <c r="F264" t="s">
        <v>130</v>
      </c>
      <c r="G264" t="s">
        <v>131</v>
      </c>
      <c r="H264" t="s">
        <v>17</v>
      </c>
      <c r="I264" t="s">
        <v>18</v>
      </c>
      <c r="J264" t="s">
        <v>19</v>
      </c>
      <c r="K264">
        <v>36</v>
      </c>
      <c r="L264">
        <v>0</v>
      </c>
      <c r="M264" t="s">
        <v>20</v>
      </c>
    </row>
    <row r="265" spans="1:13" x14ac:dyDescent="0.35">
      <c r="A265">
        <v>264</v>
      </c>
      <c r="B265">
        <v>583005378</v>
      </c>
      <c r="C265">
        <v>36199</v>
      </c>
      <c r="D265" t="s">
        <v>247</v>
      </c>
      <c r="E265" t="s">
        <v>237</v>
      </c>
      <c r="F265" t="s">
        <v>248</v>
      </c>
      <c r="G265" t="s">
        <v>249</v>
      </c>
      <c r="H265" t="s">
        <v>17</v>
      </c>
      <c r="I265" t="s">
        <v>18</v>
      </c>
      <c r="J265" t="s">
        <v>19</v>
      </c>
      <c r="K265">
        <v>12</v>
      </c>
      <c r="L265">
        <v>0</v>
      </c>
      <c r="M265" t="s">
        <v>20</v>
      </c>
    </row>
    <row r="266" spans="1:13" x14ac:dyDescent="0.35">
      <c r="A266">
        <v>265</v>
      </c>
      <c r="B266">
        <v>583005373</v>
      </c>
      <c r="C266">
        <v>36193</v>
      </c>
      <c r="D266" t="s">
        <v>209</v>
      </c>
      <c r="E266" t="s">
        <v>237</v>
      </c>
      <c r="F266" t="s">
        <v>210</v>
      </c>
      <c r="G266" t="s">
        <v>211</v>
      </c>
      <c r="H266" t="s">
        <v>17</v>
      </c>
      <c r="I266" t="s">
        <v>18</v>
      </c>
      <c r="J266" t="s">
        <v>19</v>
      </c>
      <c r="K266">
        <v>39</v>
      </c>
      <c r="L266">
        <v>0</v>
      </c>
      <c r="M266" t="s">
        <v>20</v>
      </c>
    </row>
    <row r="267" spans="1:13" x14ac:dyDescent="0.35">
      <c r="A267">
        <v>266</v>
      </c>
      <c r="B267">
        <v>583005366</v>
      </c>
      <c r="C267">
        <v>36186</v>
      </c>
      <c r="D267" t="s">
        <v>250</v>
      </c>
      <c r="E267" t="s">
        <v>237</v>
      </c>
      <c r="F267" t="s">
        <v>251</v>
      </c>
      <c r="G267" t="s">
        <v>252</v>
      </c>
      <c r="H267" t="s">
        <v>17</v>
      </c>
      <c r="I267" t="s">
        <v>18</v>
      </c>
      <c r="J267" t="s">
        <v>19</v>
      </c>
      <c r="K267">
        <v>45</v>
      </c>
      <c r="L267">
        <v>0</v>
      </c>
      <c r="M267" t="s">
        <v>20</v>
      </c>
    </row>
    <row r="268" spans="1:13" x14ac:dyDescent="0.35">
      <c r="A268">
        <v>267</v>
      </c>
      <c r="B268">
        <v>583005380</v>
      </c>
      <c r="C268">
        <v>36201</v>
      </c>
      <c r="D268" t="s">
        <v>98</v>
      </c>
      <c r="E268" t="s">
        <v>237</v>
      </c>
      <c r="F268" t="s">
        <v>99</v>
      </c>
      <c r="G268" t="s">
        <v>100</v>
      </c>
      <c r="H268" t="s">
        <v>17</v>
      </c>
      <c r="I268" t="s">
        <v>18</v>
      </c>
      <c r="J268" t="s">
        <v>19</v>
      </c>
      <c r="K268">
        <v>45</v>
      </c>
      <c r="L268">
        <v>0</v>
      </c>
      <c r="M268" t="s">
        <v>20</v>
      </c>
    </row>
    <row r="269" spans="1:13" x14ac:dyDescent="0.35">
      <c r="A269">
        <v>268</v>
      </c>
      <c r="B269">
        <v>583005370</v>
      </c>
      <c r="C269">
        <v>36190</v>
      </c>
      <c r="D269" t="s">
        <v>92</v>
      </c>
      <c r="E269" t="s">
        <v>237</v>
      </c>
      <c r="F269" t="s">
        <v>93</v>
      </c>
      <c r="G269" t="s">
        <v>94</v>
      </c>
      <c r="H269" t="s">
        <v>17</v>
      </c>
      <c r="I269" t="s">
        <v>18</v>
      </c>
      <c r="J269" t="s">
        <v>19</v>
      </c>
      <c r="K269">
        <v>45</v>
      </c>
      <c r="L269">
        <v>0</v>
      </c>
      <c r="M269" t="s">
        <v>20</v>
      </c>
    </row>
    <row r="270" spans="1:13" x14ac:dyDescent="0.35">
      <c r="A270">
        <v>269</v>
      </c>
      <c r="B270">
        <v>583005367</v>
      </c>
      <c r="C270">
        <v>36187</v>
      </c>
      <c r="D270" t="s">
        <v>159</v>
      </c>
      <c r="E270" t="s">
        <v>237</v>
      </c>
      <c r="F270" t="s">
        <v>160</v>
      </c>
      <c r="G270" t="s">
        <v>161</v>
      </c>
      <c r="H270" t="s">
        <v>17</v>
      </c>
      <c r="I270" t="s">
        <v>18</v>
      </c>
      <c r="J270" t="s">
        <v>19</v>
      </c>
      <c r="K270">
        <v>33</v>
      </c>
      <c r="L270">
        <v>0</v>
      </c>
      <c r="M270" t="s">
        <v>20</v>
      </c>
    </row>
    <row r="271" spans="1:13" x14ac:dyDescent="0.35">
      <c r="A271">
        <v>270</v>
      </c>
      <c r="B271">
        <v>583005374</v>
      </c>
      <c r="C271">
        <v>36194</v>
      </c>
      <c r="D271" t="s">
        <v>203</v>
      </c>
      <c r="E271" t="s">
        <v>237</v>
      </c>
      <c r="F271" t="s">
        <v>204</v>
      </c>
      <c r="G271" t="s">
        <v>205</v>
      </c>
      <c r="H271" t="s">
        <v>17</v>
      </c>
      <c r="I271" t="s">
        <v>18</v>
      </c>
      <c r="J271" t="s">
        <v>19</v>
      </c>
      <c r="K271">
        <v>72</v>
      </c>
      <c r="L271">
        <v>0</v>
      </c>
      <c r="M271" t="s">
        <v>20</v>
      </c>
    </row>
    <row r="272" spans="1:13" x14ac:dyDescent="0.35">
      <c r="A272">
        <v>271</v>
      </c>
      <c r="B272">
        <v>583005393</v>
      </c>
      <c r="C272">
        <v>36214</v>
      </c>
      <c r="D272" t="s">
        <v>36</v>
      </c>
      <c r="E272" t="s">
        <v>237</v>
      </c>
      <c r="F272" t="s">
        <v>37</v>
      </c>
      <c r="G272" t="s">
        <v>38</v>
      </c>
      <c r="H272" t="s">
        <v>17</v>
      </c>
      <c r="I272" t="s">
        <v>18</v>
      </c>
      <c r="J272" t="s">
        <v>19</v>
      </c>
      <c r="K272">
        <v>33</v>
      </c>
      <c r="L272">
        <v>0</v>
      </c>
      <c r="M272" t="s">
        <v>20</v>
      </c>
    </row>
    <row r="273" spans="1:13" x14ac:dyDescent="0.35">
      <c r="A273">
        <v>272</v>
      </c>
      <c r="B273">
        <v>583005379</v>
      </c>
      <c r="C273">
        <v>36200</v>
      </c>
      <c r="D273" t="s">
        <v>193</v>
      </c>
      <c r="E273" t="s">
        <v>237</v>
      </c>
      <c r="F273" t="s">
        <v>194</v>
      </c>
      <c r="G273" t="s">
        <v>195</v>
      </c>
      <c r="H273" t="s">
        <v>17</v>
      </c>
      <c r="I273" t="s">
        <v>24</v>
      </c>
      <c r="J273" t="s">
        <v>25</v>
      </c>
      <c r="K273">
        <v>11</v>
      </c>
      <c r="L273">
        <v>0</v>
      </c>
      <c r="M273" t="s">
        <v>20</v>
      </c>
    </row>
    <row r="274" spans="1:13" x14ac:dyDescent="0.35">
      <c r="A274">
        <v>273</v>
      </c>
      <c r="B274">
        <v>583005352</v>
      </c>
      <c r="C274">
        <v>36165</v>
      </c>
      <c r="D274" t="s">
        <v>144</v>
      </c>
      <c r="E274" t="s">
        <v>237</v>
      </c>
      <c r="F274" t="s">
        <v>145</v>
      </c>
      <c r="G274" t="s">
        <v>146</v>
      </c>
      <c r="H274" t="s">
        <v>17</v>
      </c>
      <c r="I274" t="s">
        <v>18</v>
      </c>
      <c r="J274" t="s">
        <v>19</v>
      </c>
      <c r="K274">
        <v>180</v>
      </c>
      <c r="L274">
        <v>0</v>
      </c>
      <c r="M274" t="s">
        <v>20</v>
      </c>
    </row>
    <row r="275" spans="1:13" x14ac:dyDescent="0.35">
      <c r="A275">
        <v>274</v>
      </c>
      <c r="B275">
        <v>583005362</v>
      </c>
      <c r="C275">
        <v>36179</v>
      </c>
      <c r="D275" t="s">
        <v>48</v>
      </c>
      <c r="E275" t="s">
        <v>237</v>
      </c>
      <c r="F275" t="s">
        <v>49</v>
      </c>
      <c r="G275" t="s">
        <v>50</v>
      </c>
      <c r="H275" t="s">
        <v>17</v>
      </c>
      <c r="I275" t="s">
        <v>18</v>
      </c>
      <c r="J275" t="s">
        <v>19</v>
      </c>
      <c r="K275">
        <v>156</v>
      </c>
      <c r="L275">
        <v>0</v>
      </c>
      <c r="M275" t="s">
        <v>20</v>
      </c>
    </row>
    <row r="276" spans="1:13" x14ac:dyDescent="0.35">
      <c r="A276">
        <v>275</v>
      </c>
      <c r="B276">
        <v>583005369</v>
      </c>
      <c r="C276">
        <v>36189</v>
      </c>
      <c r="D276" t="s">
        <v>92</v>
      </c>
      <c r="E276" t="s">
        <v>237</v>
      </c>
      <c r="F276" t="s">
        <v>93</v>
      </c>
      <c r="G276" t="s">
        <v>94</v>
      </c>
      <c r="H276" t="s">
        <v>17</v>
      </c>
      <c r="I276" t="s">
        <v>18</v>
      </c>
      <c r="J276" t="s">
        <v>19</v>
      </c>
      <c r="K276">
        <v>225</v>
      </c>
      <c r="L276">
        <v>0</v>
      </c>
      <c r="M276" t="s">
        <v>20</v>
      </c>
    </row>
    <row r="277" spans="1:13" x14ac:dyDescent="0.35">
      <c r="A277">
        <v>276</v>
      </c>
      <c r="B277">
        <v>583005394</v>
      </c>
      <c r="C277">
        <v>36215</v>
      </c>
      <c r="D277" t="s">
        <v>199</v>
      </c>
      <c r="E277" t="s">
        <v>237</v>
      </c>
      <c r="F277" t="s">
        <v>201</v>
      </c>
      <c r="G277" t="s">
        <v>202</v>
      </c>
      <c r="H277" t="s">
        <v>17</v>
      </c>
      <c r="I277" t="s">
        <v>63</v>
      </c>
      <c r="J277" t="s">
        <v>64</v>
      </c>
      <c r="K277">
        <v>8</v>
      </c>
      <c r="L277">
        <v>13.2</v>
      </c>
      <c r="M277" t="s">
        <v>20</v>
      </c>
    </row>
    <row r="278" spans="1:13" x14ac:dyDescent="0.35">
      <c r="A278">
        <v>277</v>
      </c>
      <c r="B278">
        <v>583005381</v>
      </c>
      <c r="C278">
        <v>36202</v>
      </c>
      <c r="D278" t="s">
        <v>119</v>
      </c>
      <c r="E278" t="s">
        <v>237</v>
      </c>
      <c r="F278" t="s">
        <v>120</v>
      </c>
      <c r="G278" t="s">
        <v>121</v>
      </c>
      <c r="H278" t="s">
        <v>17</v>
      </c>
      <c r="I278" t="s">
        <v>18</v>
      </c>
      <c r="J278" t="s">
        <v>19</v>
      </c>
      <c r="K278">
        <v>21</v>
      </c>
      <c r="L278">
        <v>0</v>
      </c>
      <c r="M278" t="s">
        <v>20</v>
      </c>
    </row>
    <row r="279" spans="1:13" x14ac:dyDescent="0.35">
      <c r="A279">
        <v>278</v>
      </c>
      <c r="B279">
        <v>583005388</v>
      </c>
      <c r="C279">
        <v>36209</v>
      </c>
      <c r="D279" t="s">
        <v>174</v>
      </c>
      <c r="E279" t="s">
        <v>237</v>
      </c>
      <c r="F279" t="s">
        <v>175</v>
      </c>
      <c r="G279" t="s">
        <v>176</v>
      </c>
      <c r="H279" t="s">
        <v>17</v>
      </c>
      <c r="I279" t="s">
        <v>18</v>
      </c>
      <c r="J279" t="s">
        <v>19</v>
      </c>
      <c r="K279">
        <v>15</v>
      </c>
      <c r="L279">
        <v>0</v>
      </c>
      <c r="M279" t="s">
        <v>20</v>
      </c>
    </row>
    <row r="280" spans="1:13" x14ac:dyDescent="0.35">
      <c r="A280">
        <v>279</v>
      </c>
      <c r="B280">
        <v>583005387</v>
      </c>
      <c r="C280">
        <v>36208</v>
      </c>
      <c r="D280" t="s">
        <v>68</v>
      </c>
      <c r="E280" t="s">
        <v>237</v>
      </c>
      <c r="F280" t="s">
        <v>69</v>
      </c>
      <c r="G280" t="s">
        <v>70</v>
      </c>
      <c r="H280" t="s">
        <v>17</v>
      </c>
      <c r="I280" t="s">
        <v>18</v>
      </c>
      <c r="J280" t="s">
        <v>19</v>
      </c>
      <c r="K280">
        <v>18</v>
      </c>
      <c r="L280">
        <v>0</v>
      </c>
      <c r="M280" t="s">
        <v>20</v>
      </c>
    </row>
    <row r="281" spans="1:13" x14ac:dyDescent="0.35">
      <c r="A281">
        <v>280</v>
      </c>
      <c r="B281">
        <v>583005446</v>
      </c>
      <c r="C281">
        <v>36293</v>
      </c>
      <c r="D281" t="s">
        <v>253</v>
      </c>
      <c r="E281" t="s">
        <v>254</v>
      </c>
      <c r="F281" t="s">
        <v>255</v>
      </c>
      <c r="G281" t="s">
        <v>256</v>
      </c>
      <c r="H281" t="s">
        <v>17</v>
      </c>
      <c r="I281" t="s">
        <v>18</v>
      </c>
      <c r="J281" t="s">
        <v>19</v>
      </c>
      <c r="K281">
        <v>111</v>
      </c>
      <c r="L281">
        <v>0</v>
      </c>
      <c r="M281" t="s">
        <v>20</v>
      </c>
    </row>
    <row r="282" spans="1:13" x14ac:dyDescent="0.35">
      <c r="A282">
        <v>281</v>
      </c>
      <c r="B282">
        <v>583005432</v>
      </c>
      <c r="C282">
        <v>36277</v>
      </c>
      <c r="D282" t="s">
        <v>257</v>
      </c>
      <c r="E282" t="s">
        <v>254</v>
      </c>
      <c r="F282" t="s">
        <v>258</v>
      </c>
      <c r="G282" t="s">
        <v>259</v>
      </c>
      <c r="H282" t="s">
        <v>17</v>
      </c>
      <c r="I282" t="s">
        <v>18</v>
      </c>
      <c r="J282" t="s">
        <v>19</v>
      </c>
      <c r="K282">
        <v>273</v>
      </c>
      <c r="L282">
        <v>0</v>
      </c>
      <c r="M282" t="s">
        <v>20</v>
      </c>
    </row>
    <row r="283" spans="1:13" x14ac:dyDescent="0.35">
      <c r="A283">
        <v>282</v>
      </c>
      <c r="B283">
        <v>583005432</v>
      </c>
      <c r="C283">
        <v>36277</v>
      </c>
      <c r="D283" t="s">
        <v>257</v>
      </c>
      <c r="E283" t="s">
        <v>254</v>
      </c>
      <c r="F283" t="s">
        <v>258</v>
      </c>
      <c r="G283" t="s">
        <v>259</v>
      </c>
      <c r="H283" t="s">
        <v>17</v>
      </c>
      <c r="I283" t="s">
        <v>135</v>
      </c>
      <c r="J283" t="s">
        <v>19</v>
      </c>
      <c r="K283">
        <v>516</v>
      </c>
      <c r="L283">
        <v>0</v>
      </c>
      <c r="M283" t="s">
        <v>20</v>
      </c>
    </row>
    <row r="284" spans="1:13" x14ac:dyDescent="0.35">
      <c r="A284">
        <v>283</v>
      </c>
      <c r="B284">
        <v>583005428</v>
      </c>
      <c r="C284">
        <v>36271</v>
      </c>
      <c r="D284" t="s">
        <v>32</v>
      </c>
      <c r="E284" t="s">
        <v>254</v>
      </c>
      <c r="F284" t="s">
        <v>33</v>
      </c>
      <c r="G284" t="s">
        <v>34</v>
      </c>
      <c r="H284" t="s">
        <v>17</v>
      </c>
      <c r="I284" t="s">
        <v>18</v>
      </c>
      <c r="J284" t="s">
        <v>19</v>
      </c>
      <c r="K284">
        <v>384</v>
      </c>
      <c r="L284">
        <v>0</v>
      </c>
      <c r="M284" t="s">
        <v>20</v>
      </c>
    </row>
    <row r="285" spans="1:13" x14ac:dyDescent="0.35">
      <c r="A285">
        <v>284</v>
      </c>
      <c r="B285">
        <v>583005428</v>
      </c>
      <c r="C285">
        <v>36271</v>
      </c>
      <c r="D285" t="s">
        <v>32</v>
      </c>
      <c r="E285" t="s">
        <v>254</v>
      </c>
      <c r="F285" t="s">
        <v>33</v>
      </c>
      <c r="G285" t="s">
        <v>34</v>
      </c>
      <c r="H285" t="s">
        <v>17</v>
      </c>
      <c r="I285" t="s">
        <v>18</v>
      </c>
      <c r="J285" t="s">
        <v>19</v>
      </c>
      <c r="K285">
        <v>135</v>
      </c>
      <c r="L285">
        <v>0</v>
      </c>
      <c r="M285" t="s">
        <v>20</v>
      </c>
    </row>
    <row r="286" spans="1:13" x14ac:dyDescent="0.35">
      <c r="A286">
        <v>285</v>
      </c>
      <c r="B286">
        <v>583005433</v>
      </c>
      <c r="C286">
        <v>36279</v>
      </c>
      <c r="D286" t="s">
        <v>257</v>
      </c>
      <c r="E286" t="s">
        <v>254</v>
      </c>
      <c r="F286" t="s">
        <v>258</v>
      </c>
      <c r="G286" t="s">
        <v>259</v>
      </c>
      <c r="H286" t="s">
        <v>17</v>
      </c>
      <c r="I286" t="s">
        <v>18</v>
      </c>
      <c r="J286" t="s">
        <v>19</v>
      </c>
      <c r="K286">
        <v>414</v>
      </c>
      <c r="L286">
        <v>0</v>
      </c>
      <c r="M286" t="s">
        <v>20</v>
      </c>
    </row>
    <row r="287" spans="1:13" x14ac:dyDescent="0.35">
      <c r="A287">
        <v>286</v>
      </c>
      <c r="B287">
        <v>583005428</v>
      </c>
      <c r="C287">
        <v>36271</v>
      </c>
      <c r="D287" t="s">
        <v>32</v>
      </c>
      <c r="E287" t="s">
        <v>254</v>
      </c>
      <c r="F287" t="s">
        <v>33</v>
      </c>
      <c r="G287" t="s">
        <v>34</v>
      </c>
      <c r="H287" t="s">
        <v>17</v>
      </c>
      <c r="I287" t="s">
        <v>18</v>
      </c>
      <c r="J287" t="s">
        <v>19</v>
      </c>
      <c r="K287">
        <v>846</v>
      </c>
      <c r="L287">
        <v>0</v>
      </c>
      <c r="M287" t="s">
        <v>20</v>
      </c>
    </row>
    <row r="288" spans="1:13" x14ac:dyDescent="0.35">
      <c r="A288">
        <v>287</v>
      </c>
      <c r="B288">
        <v>583005455</v>
      </c>
      <c r="C288">
        <v>36305</v>
      </c>
      <c r="D288" t="s">
        <v>21</v>
      </c>
      <c r="E288" t="s">
        <v>254</v>
      </c>
      <c r="F288" t="s">
        <v>22</v>
      </c>
      <c r="G288" t="s">
        <v>23</v>
      </c>
      <c r="H288" t="s">
        <v>17</v>
      </c>
      <c r="I288" t="s">
        <v>135</v>
      </c>
      <c r="J288" t="s">
        <v>19</v>
      </c>
      <c r="K288">
        <v>1350</v>
      </c>
      <c r="L288">
        <v>0</v>
      </c>
      <c r="M288" t="s">
        <v>20</v>
      </c>
    </row>
    <row r="289" spans="1:13" x14ac:dyDescent="0.35">
      <c r="A289">
        <v>288</v>
      </c>
      <c r="B289">
        <v>583005456</v>
      </c>
      <c r="C289">
        <v>36309</v>
      </c>
      <c r="D289" t="s">
        <v>21</v>
      </c>
      <c r="E289" t="s">
        <v>254</v>
      </c>
      <c r="F289" t="s">
        <v>22</v>
      </c>
      <c r="G289" t="s">
        <v>23</v>
      </c>
      <c r="H289" t="s">
        <v>17</v>
      </c>
      <c r="I289" t="s">
        <v>18</v>
      </c>
      <c r="J289" t="s">
        <v>19</v>
      </c>
      <c r="K289">
        <v>630</v>
      </c>
      <c r="L289">
        <v>0</v>
      </c>
      <c r="M289" t="s">
        <v>20</v>
      </c>
    </row>
    <row r="290" spans="1:13" x14ac:dyDescent="0.35">
      <c r="A290">
        <v>289</v>
      </c>
      <c r="B290">
        <v>583005456</v>
      </c>
      <c r="C290">
        <v>36309</v>
      </c>
      <c r="D290" t="s">
        <v>21</v>
      </c>
      <c r="E290" t="s">
        <v>254</v>
      </c>
      <c r="F290" t="s">
        <v>22</v>
      </c>
      <c r="G290" t="s">
        <v>23</v>
      </c>
      <c r="H290" t="s">
        <v>17</v>
      </c>
      <c r="I290" t="s">
        <v>18</v>
      </c>
      <c r="J290" t="s">
        <v>19</v>
      </c>
      <c r="K290">
        <v>2454</v>
      </c>
      <c r="L290">
        <v>0</v>
      </c>
      <c r="M290" t="s">
        <v>20</v>
      </c>
    </row>
    <row r="291" spans="1:13" x14ac:dyDescent="0.35">
      <c r="A291">
        <v>290</v>
      </c>
      <c r="B291">
        <v>583005456</v>
      </c>
      <c r="C291">
        <v>36309</v>
      </c>
      <c r="D291" t="s">
        <v>21</v>
      </c>
      <c r="E291" t="s">
        <v>254</v>
      </c>
      <c r="F291" t="s">
        <v>22</v>
      </c>
      <c r="G291" t="s">
        <v>23</v>
      </c>
      <c r="H291" t="s">
        <v>17</v>
      </c>
      <c r="I291" t="s">
        <v>18</v>
      </c>
      <c r="J291" t="s">
        <v>19</v>
      </c>
      <c r="K291">
        <v>786</v>
      </c>
      <c r="L291">
        <v>0</v>
      </c>
      <c r="M291" t="s">
        <v>20</v>
      </c>
    </row>
    <row r="292" spans="1:13" x14ac:dyDescent="0.35">
      <c r="A292">
        <v>291</v>
      </c>
      <c r="B292">
        <v>583005454</v>
      </c>
      <c r="C292">
        <v>36304</v>
      </c>
      <c r="D292" t="s">
        <v>21</v>
      </c>
      <c r="E292" t="s">
        <v>254</v>
      </c>
      <c r="F292" t="s">
        <v>22</v>
      </c>
      <c r="G292" t="s">
        <v>23</v>
      </c>
      <c r="H292" t="s">
        <v>17</v>
      </c>
      <c r="I292" t="s">
        <v>18</v>
      </c>
      <c r="J292" t="s">
        <v>19</v>
      </c>
      <c r="K292">
        <v>720</v>
      </c>
      <c r="L292">
        <v>0</v>
      </c>
      <c r="M292" t="s">
        <v>20</v>
      </c>
    </row>
    <row r="293" spans="1:13" x14ac:dyDescent="0.35">
      <c r="A293">
        <v>292</v>
      </c>
      <c r="B293">
        <v>583005454</v>
      </c>
      <c r="C293">
        <v>36304</v>
      </c>
      <c r="D293" t="s">
        <v>21</v>
      </c>
      <c r="E293" t="s">
        <v>254</v>
      </c>
      <c r="F293" t="s">
        <v>22</v>
      </c>
      <c r="G293" t="s">
        <v>23</v>
      </c>
      <c r="H293" t="s">
        <v>17</v>
      </c>
      <c r="I293" t="s">
        <v>18</v>
      </c>
      <c r="J293" t="s">
        <v>19</v>
      </c>
      <c r="K293">
        <v>753</v>
      </c>
      <c r="L293">
        <v>0</v>
      </c>
      <c r="M293" t="s">
        <v>20</v>
      </c>
    </row>
    <row r="294" spans="1:13" x14ac:dyDescent="0.35">
      <c r="A294">
        <v>293</v>
      </c>
      <c r="B294">
        <v>583005454</v>
      </c>
      <c r="C294">
        <v>36304</v>
      </c>
      <c r="D294" t="s">
        <v>21</v>
      </c>
      <c r="E294" t="s">
        <v>254</v>
      </c>
      <c r="F294" t="s">
        <v>22</v>
      </c>
      <c r="G294" t="s">
        <v>23</v>
      </c>
      <c r="H294" t="s">
        <v>17</v>
      </c>
      <c r="I294" t="s">
        <v>18</v>
      </c>
      <c r="J294" t="s">
        <v>19</v>
      </c>
      <c r="K294">
        <v>1260</v>
      </c>
      <c r="L294">
        <v>0</v>
      </c>
      <c r="M294" t="s">
        <v>20</v>
      </c>
    </row>
    <row r="295" spans="1:13" x14ac:dyDescent="0.35">
      <c r="A295">
        <v>294</v>
      </c>
      <c r="B295">
        <v>583005454</v>
      </c>
      <c r="C295">
        <v>36304</v>
      </c>
      <c r="D295" t="s">
        <v>21</v>
      </c>
      <c r="E295" t="s">
        <v>254</v>
      </c>
      <c r="F295" t="s">
        <v>22</v>
      </c>
      <c r="G295" t="s">
        <v>23</v>
      </c>
      <c r="H295" t="s">
        <v>17</v>
      </c>
      <c r="I295" t="s">
        <v>18</v>
      </c>
      <c r="J295" t="s">
        <v>19</v>
      </c>
      <c r="K295">
        <v>720</v>
      </c>
      <c r="L295">
        <v>0</v>
      </c>
      <c r="M295" t="s">
        <v>20</v>
      </c>
    </row>
    <row r="296" spans="1:13" x14ac:dyDescent="0.35">
      <c r="A296">
        <v>295</v>
      </c>
      <c r="B296">
        <v>583005417</v>
      </c>
      <c r="C296">
        <v>36256</v>
      </c>
      <c r="D296" t="s">
        <v>147</v>
      </c>
      <c r="E296" t="s">
        <v>254</v>
      </c>
      <c r="F296" t="s">
        <v>148</v>
      </c>
      <c r="G296" t="s">
        <v>149</v>
      </c>
      <c r="H296" t="s">
        <v>17</v>
      </c>
      <c r="I296" t="s">
        <v>24</v>
      </c>
      <c r="J296" t="s">
        <v>25</v>
      </c>
      <c r="K296">
        <v>2</v>
      </c>
      <c r="L296">
        <v>0</v>
      </c>
      <c r="M296" t="s">
        <v>20</v>
      </c>
    </row>
    <row r="297" spans="1:13" x14ac:dyDescent="0.35">
      <c r="A297">
        <v>296</v>
      </c>
      <c r="B297">
        <v>583005422</v>
      </c>
      <c r="C297">
        <v>36264</v>
      </c>
      <c r="D297" t="s">
        <v>78</v>
      </c>
      <c r="E297" t="s">
        <v>254</v>
      </c>
      <c r="F297" t="s">
        <v>79</v>
      </c>
      <c r="G297" t="s">
        <v>80</v>
      </c>
      <c r="H297" t="s">
        <v>17</v>
      </c>
      <c r="I297" t="s">
        <v>24</v>
      </c>
      <c r="J297" t="s">
        <v>25</v>
      </c>
      <c r="K297">
        <v>3</v>
      </c>
      <c r="L297">
        <v>0</v>
      </c>
      <c r="M297" t="s">
        <v>20</v>
      </c>
    </row>
    <row r="298" spans="1:13" x14ac:dyDescent="0.35">
      <c r="A298">
        <v>297</v>
      </c>
      <c r="B298">
        <v>583005418</v>
      </c>
      <c r="C298">
        <v>36257</v>
      </c>
      <c r="D298" t="s">
        <v>147</v>
      </c>
      <c r="E298" t="s">
        <v>254</v>
      </c>
      <c r="F298" t="s">
        <v>148</v>
      </c>
      <c r="G298" t="s">
        <v>149</v>
      </c>
      <c r="H298" t="s">
        <v>17</v>
      </c>
      <c r="I298" t="s">
        <v>24</v>
      </c>
      <c r="J298" t="s">
        <v>74</v>
      </c>
      <c r="K298">
        <v>2</v>
      </c>
      <c r="L298">
        <v>0</v>
      </c>
      <c r="M298" t="s">
        <v>20</v>
      </c>
    </row>
    <row r="299" spans="1:13" x14ac:dyDescent="0.35">
      <c r="A299">
        <v>298</v>
      </c>
      <c r="B299">
        <v>583005432</v>
      </c>
      <c r="C299">
        <v>36277</v>
      </c>
      <c r="D299" t="s">
        <v>257</v>
      </c>
      <c r="E299" t="s">
        <v>254</v>
      </c>
      <c r="F299" t="s">
        <v>258</v>
      </c>
      <c r="G299" t="s">
        <v>259</v>
      </c>
      <c r="H299" t="s">
        <v>17</v>
      </c>
      <c r="I299" t="s">
        <v>18</v>
      </c>
      <c r="J299" t="s">
        <v>19</v>
      </c>
      <c r="K299">
        <v>360</v>
      </c>
      <c r="L299">
        <v>0</v>
      </c>
      <c r="M299" t="s">
        <v>20</v>
      </c>
    </row>
    <row r="300" spans="1:13" x14ac:dyDescent="0.35">
      <c r="A300">
        <v>299</v>
      </c>
      <c r="B300">
        <v>583005437</v>
      </c>
      <c r="C300">
        <v>36284</v>
      </c>
      <c r="D300" t="s">
        <v>260</v>
      </c>
      <c r="E300" t="s">
        <v>254</v>
      </c>
      <c r="F300" t="s">
        <v>261</v>
      </c>
      <c r="G300" t="s">
        <v>262</v>
      </c>
      <c r="H300" t="s">
        <v>17</v>
      </c>
      <c r="I300" t="s">
        <v>51</v>
      </c>
      <c r="J300" t="s">
        <v>52</v>
      </c>
      <c r="K300">
        <v>23.8</v>
      </c>
      <c r="L300">
        <v>0</v>
      </c>
      <c r="M300" t="s">
        <v>20</v>
      </c>
    </row>
    <row r="301" spans="1:13" x14ac:dyDescent="0.35">
      <c r="A301">
        <v>300</v>
      </c>
      <c r="B301">
        <v>583005436</v>
      </c>
      <c r="C301">
        <v>36283</v>
      </c>
      <c r="D301" t="s">
        <v>260</v>
      </c>
      <c r="E301" t="s">
        <v>254</v>
      </c>
      <c r="F301" t="s">
        <v>261</v>
      </c>
      <c r="G301" t="s">
        <v>262</v>
      </c>
      <c r="H301" t="s">
        <v>17</v>
      </c>
      <c r="I301" t="s">
        <v>18</v>
      </c>
      <c r="J301" t="s">
        <v>19</v>
      </c>
      <c r="K301">
        <v>1572</v>
      </c>
      <c r="L301">
        <v>0</v>
      </c>
      <c r="M301" t="s">
        <v>20</v>
      </c>
    </row>
    <row r="302" spans="1:13" x14ac:dyDescent="0.35">
      <c r="A302">
        <v>301</v>
      </c>
      <c r="B302">
        <v>583005436</v>
      </c>
      <c r="C302">
        <v>36283</v>
      </c>
      <c r="D302" t="s">
        <v>260</v>
      </c>
      <c r="E302" t="s">
        <v>254</v>
      </c>
      <c r="F302" t="s">
        <v>261</v>
      </c>
      <c r="G302" t="s">
        <v>262</v>
      </c>
      <c r="H302" t="s">
        <v>17</v>
      </c>
      <c r="I302" t="s">
        <v>18</v>
      </c>
      <c r="J302" t="s">
        <v>19</v>
      </c>
      <c r="K302">
        <v>15</v>
      </c>
      <c r="L302">
        <v>0</v>
      </c>
      <c r="M302" t="s">
        <v>20</v>
      </c>
    </row>
    <row r="303" spans="1:13" x14ac:dyDescent="0.35">
      <c r="A303">
        <v>302</v>
      </c>
      <c r="B303">
        <v>583005436</v>
      </c>
      <c r="C303">
        <v>36283</v>
      </c>
      <c r="D303" t="s">
        <v>260</v>
      </c>
      <c r="E303" t="s">
        <v>254</v>
      </c>
      <c r="F303" t="s">
        <v>261</v>
      </c>
      <c r="G303" t="s">
        <v>262</v>
      </c>
      <c r="H303" t="s">
        <v>17</v>
      </c>
      <c r="I303" t="s">
        <v>18</v>
      </c>
      <c r="J303" t="s">
        <v>19</v>
      </c>
      <c r="K303">
        <v>90</v>
      </c>
      <c r="L303">
        <v>0</v>
      </c>
      <c r="M303" t="s">
        <v>20</v>
      </c>
    </row>
    <row r="304" spans="1:13" x14ac:dyDescent="0.35">
      <c r="A304">
        <v>303</v>
      </c>
      <c r="B304">
        <v>583005436</v>
      </c>
      <c r="C304">
        <v>36283</v>
      </c>
      <c r="D304" t="s">
        <v>260</v>
      </c>
      <c r="E304" t="s">
        <v>254</v>
      </c>
      <c r="F304" t="s">
        <v>261</v>
      </c>
      <c r="G304" t="s">
        <v>262</v>
      </c>
      <c r="H304" t="s">
        <v>17</v>
      </c>
      <c r="I304" t="s">
        <v>18</v>
      </c>
      <c r="J304" t="s">
        <v>19</v>
      </c>
      <c r="K304">
        <v>141</v>
      </c>
      <c r="L304">
        <v>0</v>
      </c>
      <c r="M304" t="s">
        <v>20</v>
      </c>
    </row>
    <row r="305" spans="1:13" x14ac:dyDescent="0.35">
      <c r="A305">
        <v>304</v>
      </c>
      <c r="B305">
        <v>583005418</v>
      </c>
      <c r="C305">
        <v>36257</v>
      </c>
      <c r="D305" t="s">
        <v>147</v>
      </c>
      <c r="E305" t="s">
        <v>254</v>
      </c>
      <c r="F305" t="s">
        <v>148</v>
      </c>
      <c r="G305" t="s">
        <v>149</v>
      </c>
      <c r="H305" t="s">
        <v>17</v>
      </c>
      <c r="I305" t="s">
        <v>24</v>
      </c>
      <c r="J305" t="s">
        <v>25</v>
      </c>
      <c r="K305">
        <v>2</v>
      </c>
      <c r="L305">
        <v>0</v>
      </c>
      <c r="M305" t="s">
        <v>20</v>
      </c>
    </row>
    <row r="306" spans="1:13" x14ac:dyDescent="0.35">
      <c r="A306">
        <v>305</v>
      </c>
      <c r="B306">
        <v>583005443</v>
      </c>
      <c r="C306">
        <v>36290</v>
      </c>
      <c r="D306" t="s">
        <v>263</v>
      </c>
      <c r="E306" t="s">
        <v>254</v>
      </c>
      <c r="F306" t="s">
        <v>264</v>
      </c>
      <c r="G306" t="s">
        <v>265</v>
      </c>
      <c r="H306" t="s">
        <v>17</v>
      </c>
      <c r="I306" t="s">
        <v>18</v>
      </c>
      <c r="J306" t="s">
        <v>19</v>
      </c>
      <c r="K306">
        <v>24</v>
      </c>
      <c r="L306">
        <v>0</v>
      </c>
      <c r="M306" t="s">
        <v>20</v>
      </c>
    </row>
    <row r="307" spans="1:13" x14ac:dyDescent="0.35">
      <c r="A307">
        <v>306</v>
      </c>
      <c r="B307">
        <v>583005442</v>
      </c>
      <c r="C307">
        <v>36289</v>
      </c>
      <c r="D307" t="s">
        <v>263</v>
      </c>
      <c r="E307" t="s">
        <v>254</v>
      </c>
      <c r="F307" t="s">
        <v>264</v>
      </c>
      <c r="G307" t="s">
        <v>265</v>
      </c>
      <c r="H307" t="s">
        <v>17</v>
      </c>
      <c r="I307" t="s">
        <v>63</v>
      </c>
      <c r="J307" t="s">
        <v>64</v>
      </c>
      <c r="K307">
        <v>54</v>
      </c>
      <c r="L307">
        <v>95.58</v>
      </c>
      <c r="M307" t="s">
        <v>20</v>
      </c>
    </row>
    <row r="308" spans="1:13" x14ac:dyDescent="0.35">
      <c r="A308">
        <v>307</v>
      </c>
      <c r="B308">
        <v>583005414</v>
      </c>
      <c r="C308">
        <v>36253</v>
      </c>
      <c r="D308" t="s">
        <v>147</v>
      </c>
      <c r="E308" t="s">
        <v>254</v>
      </c>
      <c r="F308" t="s">
        <v>148</v>
      </c>
      <c r="G308" t="s">
        <v>149</v>
      </c>
      <c r="H308" t="s">
        <v>17</v>
      </c>
      <c r="I308" t="s">
        <v>18</v>
      </c>
      <c r="J308" t="s">
        <v>19</v>
      </c>
      <c r="K308">
        <v>9</v>
      </c>
      <c r="L308">
        <v>0</v>
      </c>
      <c r="M308" t="s">
        <v>20</v>
      </c>
    </row>
    <row r="309" spans="1:13" x14ac:dyDescent="0.35">
      <c r="A309">
        <v>308</v>
      </c>
      <c r="B309">
        <v>583005416</v>
      </c>
      <c r="C309">
        <v>36255</v>
      </c>
      <c r="D309" t="s">
        <v>147</v>
      </c>
      <c r="E309" t="s">
        <v>254</v>
      </c>
      <c r="F309" t="s">
        <v>148</v>
      </c>
      <c r="G309" t="s">
        <v>149</v>
      </c>
      <c r="H309" t="s">
        <v>17</v>
      </c>
      <c r="I309" t="s">
        <v>18</v>
      </c>
      <c r="J309" t="s">
        <v>19</v>
      </c>
      <c r="K309">
        <v>36</v>
      </c>
      <c r="L309">
        <v>0</v>
      </c>
      <c r="M309" t="s">
        <v>20</v>
      </c>
    </row>
    <row r="310" spans="1:13" x14ac:dyDescent="0.35">
      <c r="A310">
        <v>309</v>
      </c>
      <c r="B310">
        <v>583005432</v>
      </c>
      <c r="C310">
        <v>36277</v>
      </c>
      <c r="D310" t="s">
        <v>257</v>
      </c>
      <c r="E310" t="s">
        <v>254</v>
      </c>
      <c r="F310" t="s">
        <v>258</v>
      </c>
      <c r="G310" t="s">
        <v>259</v>
      </c>
      <c r="H310" t="s">
        <v>17</v>
      </c>
      <c r="I310" t="s">
        <v>18</v>
      </c>
      <c r="J310" t="s">
        <v>19</v>
      </c>
      <c r="K310">
        <v>2430</v>
      </c>
      <c r="L310">
        <v>0</v>
      </c>
      <c r="M310" t="s">
        <v>20</v>
      </c>
    </row>
    <row r="311" spans="1:13" x14ac:dyDescent="0.35">
      <c r="A311">
        <v>310</v>
      </c>
      <c r="B311">
        <v>583005427</v>
      </c>
      <c r="C311">
        <v>36270</v>
      </c>
      <c r="D311" t="s">
        <v>32</v>
      </c>
      <c r="E311" t="s">
        <v>254</v>
      </c>
      <c r="F311" t="s">
        <v>33</v>
      </c>
      <c r="G311" t="s">
        <v>34</v>
      </c>
      <c r="H311" t="s">
        <v>17</v>
      </c>
      <c r="I311" t="s">
        <v>135</v>
      </c>
      <c r="J311" t="s">
        <v>19</v>
      </c>
      <c r="K311">
        <v>225</v>
      </c>
      <c r="L311">
        <v>0</v>
      </c>
      <c r="M311" t="s">
        <v>20</v>
      </c>
    </row>
    <row r="312" spans="1:13" x14ac:dyDescent="0.35">
      <c r="A312">
        <v>311</v>
      </c>
      <c r="B312">
        <v>583005426</v>
      </c>
      <c r="C312">
        <v>36269</v>
      </c>
      <c r="D312" t="s">
        <v>32</v>
      </c>
      <c r="E312" t="s">
        <v>254</v>
      </c>
      <c r="F312" t="s">
        <v>33</v>
      </c>
      <c r="G312" t="s">
        <v>34</v>
      </c>
      <c r="H312" t="s">
        <v>17</v>
      </c>
      <c r="I312" t="s">
        <v>135</v>
      </c>
      <c r="J312" t="s">
        <v>19</v>
      </c>
      <c r="K312">
        <v>234</v>
      </c>
      <c r="L312">
        <v>0</v>
      </c>
      <c r="M312" t="s">
        <v>20</v>
      </c>
    </row>
    <row r="313" spans="1:13" x14ac:dyDescent="0.35">
      <c r="A313">
        <v>312</v>
      </c>
      <c r="B313">
        <v>583005446</v>
      </c>
      <c r="C313">
        <v>36293</v>
      </c>
      <c r="D313" t="s">
        <v>253</v>
      </c>
      <c r="E313" t="s">
        <v>254</v>
      </c>
      <c r="F313" t="s">
        <v>255</v>
      </c>
      <c r="G313" t="s">
        <v>256</v>
      </c>
      <c r="H313" t="s">
        <v>17</v>
      </c>
      <c r="I313" t="s">
        <v>18</v>
      </c>
      <c r="J313" t="s">
        <v>19</v>
      </c>
      <c r="K313">
        <v>9</v>
      </c>
      <c r="L313">
        <v>0</v>
      </c>
      <c r="M313" t="s">
        <v>20</v>
      </c>
    </row>
    <row r="314" spans="1:13" x14ac:dyDescent="0.35">
      <c r="A314">
        <v>313</v>
      </c>
      <c r="B314">
        <v>583005446</v>
      </c>
      <c r="C314">
        <v>36293</v>
      </c>
      <c r="D314" t="s">
        <v>253</v>
      </c>
      <c r="E314" t="s">
        <v>254</v>
      </c>
      <c r="F314" t="s">
        <v>255</v>
      </c>
      <c r="G314" t="s">
        <v>256</v>
      </c>
      <c r="H314" t="s">
        <v>17</v>
      </c>
      <c r="I314" t="s">
        <v>18</v>
      </c>
      <c r="J314" t="s">
        <v>19</v>
      </c>
      <c r="K314">
        <v>324</v>
      </c>
      <c r="L314">
        <v>0</v>
      </c>
      <c r="M314" t="s">
        <v>20</v>
      </c>
    </row>
    <row r="315" spans="1:13" x14ac:dyDescent="0.35">
      <c r="A315">
        <v>314</v>
      </c>
      <c r="B315">
        <v>583005446</v>
      </c>
      <c r="C315">
        <v>36293</v>
      </c>
      <c r="D315" t="s">
        <v>253</v>
      </c>
      <c r="E315" t="s">
        <v>254</v>
      </c>
      <c r="F315" t="s">
        <v>255</v>
      </c>
      <c r="G315" t="s">
        <v>256</v>
      </c>
      <c r="H315" t="s">
        <v>17</v>
      </c>
      <c r="I315" t="s">
        <v>18</v>
      </c>
      <c r="J315" t="s">
        <v>19</v>
      </c>
      <c r="K315">
        <v>63</v>
      </c>
      <c r="L315">
        <v>0</v>
      </c>
      <c r="M315" t="s">
        <v>20</v>
      </c>
    </row>
    <row r="316" spans="1:13" x14ac:dyDescent="0.35">
      <c r="A316">
        <v>315</v>
      </c>
      <c r="B316">
        <v>583005415</v>
      </c>
      <c r="C316">
        <v>36254</v>
      </c>
      <c r="D316" t="s">
        <v>147</v>
      </c>
      <c r="E316" t="s">
        <v>254</v>
      </c>
      <c r="F316" t="s">
        <v>148</v>
      </c>
      <c r="G316" t="s">
        <v>149</v>
      </c>
      <c r="H316" t="s">
        <v>17</v>
      </c>
      <c r="I316" t="s">
        <v>18</v>
      </c>
      <c r="J316" t="s">
        <v>19</v>
      </c>
      <c r="K316">
        <v>45</v>
      </c>
      <c r="L316">
        <v>0</v>
      </c>
      <c r="M316" t="s">
        <v>20</v>
      </c>
    </row>
    <row r="317" spans="1:13" x14ac:dyDescent="0.35">
      <c r="A317">
        <v>316</v>
      </c>
      <c r="B317">
        <v>583005506</v>
      </c>
      <c r="C317">
        <v>36381</v>
      </c>
      <c r="D317" t="s">
        <v>29</v>
      </c>
      <c r="E317" t="s">
        <v>266</v>
      </c>
      <c r="F317" t="s">
        <v>30</v>
      </c>
      <c r="G317" t="s">
        <v>31</v>
      </c>
      <c r="H317" t="s">
        <v>17</v>
      </c>
      <c r="I317" t="s">
        <v>18</v>
      </c>
      <c r="J317" t="s">
        <v>19</v>
      </c>
      <c r="K317">
        <v>720</v>
      </c>
      <c r="L317">
        <v>0</v>
      </c>
      <c r="M317" t="s">
        <v>20</v>
      </c>
    </row>
    <row r="318" spans="1:13" x14ac:dyDescent="0.35">
      <c r="A318">
        <v>317</v>
      </c>
      <c r="B318">
        <v>583005506</v>
      </c>
      <c r="C318">
        <v>36381</v>
      </c>
      <c r="D318" t="s">
        <v>29</v>
      </c>
      <c r="E318" t="s">
        <v>266</v>
      </c>
      <c r="F318" t="s">
        <v>30</v>
      </c>
      <c r="G318" t="s">
        <v>31</v>
      </c>
      <c r="H318" t="s">
        <v>17</v>
      </c>
      <c r="I318" t="s">
        <v>18</v>
      </c>
      <c r="J318" t="s">
        <v>19</v>
      </c>
      <c r="K318">
        <v>1080</v>
      </c>
      <c r="L318">
        <v>0</v>
      </c>
      <c r="M318" t="s">
        <v>20</v>
      </c>
    </row>
    <row r="319" spans="1:13" x14ac:dyDescent="0.35">
      <c r="A319">
        <v>318</v>
      </c>
      <c r="B319">
        <v>583005529</v>
      </c>
      <c r="C319">
        <v>36413</v>
      </c>
      <c r="D319" t="s">
        <v>29</v>
      </c>
      <c r="E319" t="s">
        <v>266</v>
      </c>
      <c r="F319" t="s">
        <v>30</v>
      </c>
      <c r="G319" t="s">
        <v>31</v>
      </c>
      <c r="H319" t="s">
        <v>17</v>
      </c>
      <c r="I319" t="s">
        <v>18</v>
      </c>
      <c r="J319" t="s">
        <v>19</v>
      </c>
      <c r="K319">
        <v>45</v>
      </c>
      <c r="L319">
        <v>0</v>
      </c>
      <c r="M319" t="s">
        <v>20</v>
      </c>
    </row>
    <row r="320" spans="1:13" x14ac:dyDescent="0.35">
      <c r="A320">
        <v>319</v>
      </c>
      <c r="B320">
        <v>583005467</v>
      </c>
      <c r="C320">
        <v>36325</v>
      </c>
      <c r="D320" t="s">
        <v>110</v>
      </c>
      <c r="E320" t="s">
        <v>266</v>
      </c>
      <c r="F320" t="s">
        <v>111</v>
      </c>
      <c r="G320" t="s">
        <v>112</v>
      </c>
      <c r="H320" t="s">
        <v>17</v>
      </c>
      <c r="I320" t="s">
        <v>18</v>
      </c>
      <c r="J320" t="s">
        <v>19</v>
      </c>
      <c r="K320">
        <v>9</v>
      </c>
      <c r="L320">
        <v>0</v>
      </c>
      <c r="M320" t="s">
        <v>20</v>
      </c>
    </row>
    <row r="321" spans="1:13" x14ac:dyDescent="0.35">
      <c r="A321">
        <v>320</v>
      </c>
      <c r="B321">
        <v>583005547</v>
      </c>
      <c r="C321">
        <v>36432</v>
      </c>
      <c r="D321" t="s">
        <v>136</v>
      </c>
      <c r="E321" t="s">
        <v>266</v>
      </c>
      <c r="F321" t="s">
        <v>137</v>
      </c>
      <c r="G321" t="s">
        <v>138</v>
      </c>
      <c r="H321" t="s">
        <v>17</v>
      </c>
      <c r="I321" t="s">
        <v>18</v>
      </c>
      <c r="J321" t="s">
        <v>19</v>
      </c>
      <c r="K321">
        <v>195</v>
      </c>
      <c r="L321">
        <v>0</v>
      </c>
      <c r="M321" t="s">
        <v>20</v>
      </c>
    </row>
    <row r="322" spans="1:13" x14ac:dyDescent="0.35">
      <c r="A322">
        <v>321</v>
      </c>
      <c r="B322">
        <v>583005529</v>
      </c>
      <c r="C322">
        <v>36413</v>
      </c>
      <c r="D322" t="s">
        <v>29</v>
      </c>
      <c r="E322" t="s">
        <v>266</v>
      </c>
      <c r="F322" t="s">
        <v>30</v>
      </c>
      <c r="G322" t="s">
        <v>31</v>
      </c>
      <c r="H322" t="s">
        <v>17</v>
      </c>
      <c r="I322" t="s">
        <v>18</v>
      </c>
      <c r="J322" t="s">
        <v>19</v>
      </c>
      <c r="K322">
        <v>123</v>
      </c>
      <c r="L322">
        <v>0</v>
      </c>
      <c r="M322" t="s">
        <v>20</v>
      </c>
    </row>
    <row r="323" spans="1:13" x14ac:dyDescent="0.35">
      <c r="A323">
        <v>322</v>
      </c>
      <c r="B323">
        <v>583005534</v>
      </c>
      <c r="C323">
        <v>36418</v>
      </c>
      <c r="D323" t="s">
        <v>29</v>
      </c>
      <c r="E323" t="s">
        <v>266</v>
      </c>
      <c r="F323" t="s">
        <v>30</v>
      </c>
      <c r="G323" t="s">
        <v>31</v>
      </c>
      <c r="H323" t="s">
        <v>17</v>
      </c>
      <c r="I323" t="s">
        <v>18</v>
      </c>
      <c r="J323" t="s">
        <v>19</v>
      </c>
      <c r="K323">
        <v>225</v>
      </c>
      <c r="L323">
        <v>0</v>
      </c>
      <c r="M323" t="s">
        <v>20</v>
      </c>
    </row>
    <row r="324" spans="1:13" x14ac:dyDescent="0.35">
      <c r="A324">
        <v>323</v>
      </c>
      <c r="B324">
        <v>583005547</v>
      </c>
      <c r="C324">
        <v>36432</v>
      </c>
      <c r="D324" t="s">
        <v>136</v>
      </c>
      <c r="E324" t="s">
        <v>266</v>
      </c>
      <c r="F324" t="s">
        <v>137</v>
      </c>
      <c r="G324" t="s">
        <v>138</v>
      </c>
      <c r="H324" t="s">
        <v>17</v>
      </c>
      <c r="I324" t="s">
        <v>18</v>
      </c>
      <c r="J324" t="s">
        <v>19</v>
      </c>
      <c r="K324">
        <v>2220</v>
      </c>
      <c r="L324">
        <v>0</v>
      </c>
      <c r="M324" t="s">
        <v>20</v>
      </c>
    </row>
    <row r="325" spans="1:13" x14ac:dyDescent="0.35">
      <c r="A325">
        <v>324</v>
      </c>
      <c r="B325">
        <v>583005547</v>
      </c>
      <c r="C325">
        <v>36432</v>
      </c>
      <c r="D325" t="s">
        <v>136</v>
      </c>
      <c r="E325" t="s">
        <v>266</v>
      </c>
      <c r="F325" t="s">
        <v>137</v>
      </c>
      <c r="G325" t="s">
        <v>138</v>
      </c>
      <c r="H325" t="s">
        <v>17</v>
      </c>
      <c r="I325" t="s">
        <v>18</v>
      </c>
      <c r="J325" t="s">
        <v>19</v>
      </c>
      <c r="K325">
        <v>1458</v>
      </c>
      <c r="L325">
        <v>0</v>
      </c>
      <c r="M325" t="s">
        <v>20</v>
      </c>
    </row>
    <row r="326" spans="1:13" x14ac:dyDescent="0.35">
      <c r="A326">
        <v>325</v>
      </c>
      <c r="B326">
        <v>583005535</v>
      </c>
      <c r="C326">
        <v>36419</v>
      </c>
      <c r="D326" t="s">
        <v>29</v>
      </c>
      <c r="E326" t="s">
        <v>266</v>
      </c>
      <c r="F326" t="s">
        <v>30</v>
      </c>
      <c r="G326" t="s">
        <v>31</v>
      </c>
      <c r="H326" t="s">
        <v>17</v>
      </c>
      <c r="I326" t="s">
        <v>18</v>
      </c>
      <c r="J326" t="s">
        <v>19</v>
      </c>
      <c r="K326">
        <v>90</v>
      </c>
      <c r="L326">
        <v>0</v>
      </c>
      <c r="M326" t="s">
        <v>20</v>
      </c>
    </row>
    <row r="327" spans="1:13" x14ac:dyDescent="0.35">
      <c r="A327">
        <v>326</v>
      </c>
      <c r="B327">
        <v>583005530</v>
      </c>
      <c r="C327">
        <v>36414</v>
      </c>
      <c r="D327" t="s">
        <v>29</v>
      </c>
      <c r="E327" t="s">
        <v>266</v>
      </c>
      <c r="F327" t="s">
        <v>30</v>
      </c>
      <c r="G327" t="s">
        <v>31</v>
      </c>
      <c r="H327" t="s">
        <v>17</v>
      </c>
      <c r="I327" t="s">
        <v>18</v>
      </c>
      <c r="J327" t="s">
        <v>19</v>
      </c>
      <c r="K327">
        <v>90</v>
      </c>
      <c r="L327">
        <v>0</v>
      </c>
      <c r="M327" t="s">
        <v>20</v>
      </c>
    </row>
    <row r="328" spans="1:13" x14ac:dyDescent="0.35">
      <c r="A328">
        <v>327</v>
      </c>
      <c r="B328">
        <v>583005532</v>
      </c>
      <c r="C328">
        <v>36416</v>
      </c>
      <c r="D328" t="s">
        <v>29</v>
      </c>
      <c r="E328" t="s">
        <v>266</v>
      </c>
      <c r="F328" t="s">
        <v>30</v>
      </c>
      <c r="G328" t="s">
        <v>31</v>
      </c>
      <c r="H328" t="s">
        <v>17</v>
      </c>
      <c r="I328" t="s">
        <v>18</v>
      </c>
      <c r="J328" t="s">
        <v>19</v>
      </c>
      <c r="K328">
        <v>315</v>
      </c>
      <c r="L328">
        <v>0</v>
      </c>
      <c r="M328" t="s">
        <v>20</v>
      </c>
    </row>
    <row r="329" spans="1:13" x14ac:dyDescent="0.35">
      <c r="A329">
        <v>328</v>
      </c>
      <c r="B329">
        <v>583005537</v>
      </c>
      <c r="C329">
        <v>36421</v>
      </c>
      <c r="D329" t="s">
        <v>29</v>
      </c>
      <c r="E329" t="s">
        <v>266</v>
      </c>
      <c r="F329" t="s">
        <v>30</v>
      </c>
      <c r="G329" t="s">
        <v>31</v>
      </c>
      <c r="H329" t="s">
        <v>17</v>
      </c>
      <c r="I329" t="s">
        <v>18</v>
      </c>
      <c r="J329" t="s">
        <v>19</v>
      </c>
      <c r="K329">
        <v>180</v>
      </c>
      <c r="L329">
        <v>0</v>
      </c>
      <c r="M329" t="s">
        <v>20</v>
      </c>
    </row>
    <row r="330" spans="1:13" x14ac:dyDescent="0.35">
      <c r="A330">
        <v>329</v>
      </c>
      <c r="B330">
        <v>583005548</v>
      </c>
      <c r="C330">
        <v>36433</v>
      </c>
      <c r="D330" t="s">
        <v>136</v>
      </c>
      <c r="E330" t="s">
        <v>266</v>
      </c>
      <c r="F330" t="s">
        <v>137</v>
      </c>
      <c r="G330" t="s">
        <v>138</v>
      </c>
      <c r="H330" t="s">
        <v>17</v>
      </c>
      <c r="I330" t="s">
        <v>24</v>
      </c>
      <c r="J330" t="s">
        <v>25</v>
      </c>
      <c r="K330">
        <v>14</v>
      </c>
      <c r="L330">
        <v>0</v>
      </c>
      <c r="M330" t="s">
        <v>20</v>
      </c>
    </row>
    <row r="331" spans="1:13" x14ac:dyDescent="0.35">
      <c r="A331">
        <v>330</v>
      </c>
      <c r="B331">
        <v>583005528</v>
      </c>
      <c r="C331">
        <v>36412</v>
      </c>
      <c r="D331" t="s">
        <v>21</v>
      </c>
      <c r="E331" t="s">
        <v>266</v>
      </c>
      <c r="F331" t="s">
        <v>22</v>
      </c>
      <c r="G331" t="s">
        <v>23</v>
      </c>
      <c r="H331" t="s">
        <v>17</v>
      </c>
      <c r="I331" t="s">
        <v>18</v>
      </c>
      <c r="J331" t="s">
        <v>19</v>
      </c>
      <c r="K331">
        <v>72</v>
      </c>
      <c r="L331">
        <v>0</v>
      </c>
      <c r="M331" t="s">
        <v>20</v>
      </c>
    </row>
    <row r="332" spans="1:13" x14ac:dyDescent="0.35">
      <c r="A332">
        <v>331</v>
      </c>
      <c r="B332">
        <v>583005544</v>
      </c>
      <c r="C332">
        <v>36428</v>
      </c>
      <c r="D332" t="s">
        <v>29</v>
      </c>
      <c r="E332" t="s">
        <v>266</v>
      </c>
      <c r="F332" t="s">
        <v>30</v>
      </c>
      <c r="G332" t="s">
        <v>31</v>
      </c>
      <c r="H332" t="s">
        <v>17</v>
      </c>
      <c r="I332" t="s">
        <v>18</v>
      </c>
      <c r="J332" t="s">
        <v>19</v>
      </c>
      <c r="K332">
        <v>180</v>
      </c>
      <c r="L332">
        <v>0</v>
      </c>
      <c r="M332" t="s">
        <v>20</v>
      </c>
    </row>
    <row r="333" spans="1:13" x14ac:dyDescent="0.35">
      <c r="A333">
        <v>332</v>
      </c>
      <c r="B333">
        <v>583005543</v>
      </c>
      <c r="C333">
        <v>36427</v>
      </c>
      <c r="D333" t="s">
        <v>29</v>
      </c>
      <c r="E333" t="s">
        <v>266</v>
      </c>
      <c r="F333" t="s">
        <v>30</v>
      </c>
      <c r="G333" t="s">
        <v>31</v>
      </c>
      <c r="H333" t="s">
        <v>17</v>
      </c>
      <c r="I333" t="s">
        <v>18</v>
      </c>
      <c r="J333" t="s">
        <v>19</v>
      </c>
      <c r="K333">
        <v>90</v>
      </c>
      <c r="L333">
        <v>0</v>
      </c>
      <c r="M333" t="s">
        <v>20</v>
      </c>
    </row>
    <row r="334" spans="1:13" x14ac:dyDescent="0.35">
      <c r="A334">
        <v>333</v>
      </c>
      <c r="B334">
        <v>583005543</v>
      </c>
      <c r="C334">
        <v>36427</v>
      </c>
      <c r="D334" t="s">
        <v>29</v>
      </c>
      <c r="E334" t="s">
        <v>266</v>
      </c>
      <c r="F334" t="s">
        <v>30</v>
      </c>
      <c r="G334" t="s">
        <v>31</v>
      </c>
      <c r="H334" t="s">
        <v>17</v>
      </c>
      <c r="I334" t="s">
        <v>18</v>
      </c>
      <c r="J334" t="s">
        <v>19</v>
      </c>
      <c r="K334">
        <v>90</v>
      </c>
      <c r="L334">
        <v>0</v>
      </c>
      <c r="M334" t="s">
        <v>20</v>
      </c>
    </row>
    <row r="335" spans="1:13" x14ac:dyDescent="0.35">
      <c r="A335">
        <v>334</v>
      </c>
      <c r="B335">
        <v>583005542</v>
      </c>
      <c r="C335">
        <v>36426</v>
      </c>
      <c r="D335" t="s">
        <v>29</v>
      </c>
      <c r="E335" t="s">
        <v>266</v>
      </c>
      <c r="F335" t="s">
        <v>30</v>
      </c>
      <c r="G335" t="s">
        <v>31</v>
      </c>
      <c r="H335" t="s">
        <v>17</v>
      </c>
      <c r="I335" t="s">
        <v>18</v>
      </c>
      <c r="J335" t="s">
        <v>19</v>
      </c>
      <c r="K335">
        <v>270</v>
      </c>
      <c r="L335">
        <v>0</v>
      </c>
      <c r="M335" t="s">
        <v>20</v>
      </c>
    </row>
    <row r="336" spans="1:13" x14ac:dyDescent="0.35">
      <c r="A336">
        <v>335</v>
      </c>
      <c r="B336">
        <v>583005538</v>
      </c>
      <c r="C336">
        <v>36422</v>
      </c>
      <c r="D336" t="s">
        <v>29</v>
      </c>
      <c r="E336" t="s">
        <v>266</v>
      </c>
      <c r="F336" t="s">
        <v>30</v>
      </c>
      <c r="G336" t="s">
        <v>31</v>
      </c>
      <c r="H336" t="s">
        <v>17</v>
      </c>
      <c r="I336" t="s">
        <v>18</v>
      </c>
      <c r="J336" t="s">
        <v>19</v>
      </c>
      <c r="K336">
        <v>135</v>
      </c>
      <c r="L336">
        <v>0</v>
      </c>
      <c r="M336" t="s">
        <v>20</v>
      </c>
    </row>
    <row r="337" spans="1:13" x14ac:dyDescent="0.35">
      <c r="A337">
        <v>336</v>
      </c>
      <c r="B337">
        <v>583005539</v>
      </c>
      <c r="C337">
        <v>36423</v>
      </c>
      <c r="D337" t="s">
        <v>29</v>
      </c>
      <c r="E337" t="s">
        <v>266</v>
      </c>
      <c r="F337" t="s">
        <v>30</v>
      </c>
      <c r="G337" t="s">
        <v>31</v>
      </c>
      <c r="H337" t="s">
        <v>17</v>
      </c>
      <c r="I337" t="s">
        <v>18</v>
      </c>
      <c r="J337" t="s">
        <v>19</v>
      </c>
      <c r="K337">
        <v>270</v>
      </c>
      <c r="L337">
        <v>0</v>
      </c>
      <c r="M337" t="s">
        <v>20</v>
      </c>
    </row>
    <row r="338" spans="1:13" x14ac:dyDescent="0.35">
      <c r="A338">
        <v>337</v>
      </c>
      <c r="B338">
        <v>583005540</v>
      </c>
      <c r="C338">
        <v>36424</v>
      </c>
      <c r="D338" t="s">
        <v>29</v>
      </c>
      <c r="E338" t="s">
        <v>266</v>
      </c>
      <c r="F338" t="s">
        <v>30</v>
      </c>
      <c r="G338" t="s">
        <v>31</v>
      </c>
      <c r="H338" t="s">
        <v>17</v>
      </c>
      <c r="I338" t="s">
        <v>18</v>
      </c>
      <c r="J338" t="s">
        <v>19</v>
      </c>
      <c r="K338">
        <v>180</v>
      </c>
      <c r="L338">
        <v>0</v>
      </c>
      <c r="M338" t="s">
        <v>20</v>
      </c>
    </row>
    <row r="339" spans="1:13" x14ac:dyDescent="0.35">
      <c r="A339">
        <v>338</v>
      </c>
      <c r="B339">
        <v>583005541</v>
      </c>
      <c r="C339">
        <v>36425</v>
      </c>
      <c r="D339" t="s">
        <v>29</v>
      </c>
      <c r="E339" t="s">
        <v>266</v>
      </c>
      <c r="F339" t="s">
        <v>30</v>
      </c>
      <c r="G339" t="s">
        <v>31</v>
      </c>
      <c r="H339" t="s">
        <v>17</v>
      </c>
      <c r="I339" t="s">
        <v>63</v>
      </c>
      <c r="J339" t="s">
        <v>64</v>
      </c>
      <c r="K339">
        <v>369</v>
      </c>
      <c r="L339">
        <v>653.13</v>
      </c>
      <c r="M339" t="s">
        <v>20</v>
      </c>
    </row>
    <row r="340" spans="1:13" x14ac:dyDescent="0.35">
      <c r="A340">
        <v>339</v>
      </c>
      <c r="B340">
        <v>583005468</v>
      </c>
      <c r="C340">
        <v>36326</v>
      </c>
      <c r="D340" t="s">
        <v>75</v>
      </c>
      <c r="E340" t="s">
        <v>266</v>
      </c>
      <c r="F340" t="s">
        <v>76</v>
      </c>
      <c r="G340" t="s">
        <v>77</v>
      </c>
      <c r="H340" t="s">
        <v>17</v>
      </c>
      <c r="I340" t="s">
        <v>18</v>
      </c>
      <c r="J340" t="s">
        <v>19</v>
      </c>
      <c r="K340">
        <v>12</v>
      </c>
      <c r="L340">
        <v>0</v>
      </c>
      <c r="M340" t="s">
        <v>20</v>
      </c>
    </row>
    <row r="341" spans="1:13" x14ac:dyDescent="0.35">
      <c r="A341">
        <v>340</v>
      </c>
      <c r="B341">
        <v>583005466</v>
      </c>
      <c r="C341">
        <v>36324</v>
      </c>
      <c r="D341" t="s">
        <v>110</v>
      </c>
      <c r="E341" t="s">
        <v>266</v>
      </c>
      <c r="F341" t="s">
        <v>111</v>
      </c>
      <c r="G341" t="s">
        <v>112</v>
      </c>
      <c r="H341" t="s">
        <v>17</v>
      </c>
      <c r="I341" t="s">
        <v>18</v>
      </c>
      <c r="J341" t="s">
        <v>19</v>
      </c>
      <c r="K341">
        <v>15</v>
      </c>
      <c r="L341">
        <v>0</v>
      </c>
      <c r="M341" t="s">
        <v>20</v>
      </c>
    </row>
    <row r="342" spans="1:13" x14ac:dyDescent="0.35">
      <c r="A342">
        <v>341</v>
      </c>
      <c r="B342">
        <v>583005473</v>
      </c>
      <c r="C342">
        <v>36331</v>
      </c>
      <c r="D342" t="s">
        <v>244</v>
      </c>
      <c r="E342" t="s">
        <v>266</v>
      </c>
      <c r="F342" t="s">
        <v>245</v>
      </c>
      <c r="G342" t="s">
        <v>246</v>
      </c>
      <c r="H342" t="s">
        <v>17</v>
      </c>
      <c r="I342" t="s">
        <v>18</v>
      </c>
      <c r="J342" t="s">
        <v>19</v>
      </c>
      <c r="K342">
        <v>12</v>
      </c>
      <c r="L342">
        <v>0</v>
      </c>
      <c r="M342" t="s">
        <v>20</v>
      </c>
    </row>
    <row r="343" spans="1:13" x14ac:dyDescent="0.35">
      <c r="A343">
        <v>342</v>
      </c>
      <c r="B343">
        <v>583005469</v>
      </c>
      <c r="C343">
        <v>36327</v>
      </c>
      <c r="D343" t="s">
        <v>68</v>
      </c>
      <c r="E343" t="s">
        <v>266</v>
      </c>
      <c r="F343" t="s">
        <v>69</v>
      </c>
      <c r="G343" t="s">
        <v>70</v>
      </c>
      <c r="H343" t="s">
        <v>17</v>
      </c>
      <c r="I343" t="s">
        <v>18</v>
      </c>
      <c r="J343" t="s">
        <v>19</v>
      </c>
      <c r="K343">
        <v>12</v>
      </c>
      <c r="L343">
        <v>0</v>
      </c>
      <c r="M343" t="s">
        <v>20</v>
      </c>
    </row>
    <row r="344" spans="1:13" x14ac:dyDescent="0.35">
      <c r="A344">
        <v>343</v>
      </c>
      <c r="B344">
        <v>583005471</v>
      </c>
      <c r="C344">
        <v>36329</v>
      </c>
      <c r="D344" t="s">
        <v>98</v>
      </c>
      <c r="E344" t="s">
        <v>266</v>
      </c>
      <c r="F344" t="s">
        <v>99</v>
      </c>
      <c r="G344" t="s">
        <v>100</v>
      </c>
      <c r="H344" t="s">
        <v>17</v>
      </c>
      <c r="I344" t="s">
        <v>18</v>
      </c>
      <c r="J344" t="s">
        <v>19</v>
      </c>
      <c r="K344">
        <v>33</v>
      </c>
      <c r="L344">
        <v>0</v>
      </c>
      <c r="M344" t="s">
        <v>20</v>
      </c>
    </row>
    <row r="345" spans="1:13" x14ac:dyDescent="0.35">
      <c r="A345">
        <v>344</v>
      </c>
      <c r="B345">
        <v>583005476</v>
      </c>
      <c r="C345">
        <v>36334</v>
      </c>
      <c r="D345" t="s">
        <v>65</v>
      </c>
      <c r="E345" t="s">
        <v>266</v>
      </c>
      <c r="F345" t="s">
        <v>66</v>
      </c>
      <c r="G345" t="s">
        <v>67</v>
      </c>
      <c r="H345" t="s">
        <v>17</v>
      </c>
      <c r="I345" t="s">
        <v>18</v>
      </c>
      <c r="J345" t="s">
        <v>19</v>
      </c>
      <c r="K345">
        <v>24</v>
      </c>
      <c r="L345">
        <v>0</v>
      </c>
      <c r="M345" t="s">
        <v>20</v>
      </c>
    </row>
    <row r="346" spans="1:13" x14ac:dyDescent="0.35">
      <c r="A346">
        <v>345</v>
      </c>
      <c r="B346">
        <v>583005464</v>
      </c>
      <c r="C346">
        <v>36322</v>
      </c>
      <c r="D346" t="s">
        <v>56</v>
      </c>
      <c r="E346" t="s">
        <v>266</v>
      </c>
      <c r="F346" t="s">
        <v>57</v>
      </c>
      <c r="G346" t="s">
        <v>58</v>
      </c>
      <c r="H346" t="s">
        <v>17</v>
      </c>
      <c r="I346" t="s">
        <v>18</v>
      </c>
      <c r="J346" t="s">
        <v>19</v>
      </c>
      <c r="K346">
        <v>30</v>
      </c>
      <c r="L346">
        <v>0</v>
      </c>
      <c r="M346" t="s">
        <v>20</v>
      </c>
    </row>
    <row r="347" spans="1:13" x14ac:dyDescent="0.35">
      <c r="A347">
        <v>346</v>
      </c>
      <c r="B347">
        <v>583005475</v>
      </c>
      <c r="C347">
        <v>36333</v>
      </c>
      <c r="D347" t="s">
        <v>247</v>
      </c>
      <c r="E347" t="s">
        <v>266</v>
      </c>
      <c r="F347" t="s">
        <v>248</v>
      </c>
      <c r="G347" t="s">
        <v>249</v>
      </c>
      <c r="H347" t="s">
        <v>17</v>
      </c>
      <c r="I347" t="s">
        <v>18</v>
      </c>
      <c r="J347" t="s">
        <v>19</v>
      </c>
      <c r="K347">
        <v>45</v>
      </c>
      <c r="L347">
        <v>0</v>
      </c>
      <c r="M347" t="s">
        <v>20</v>
      </c>
    </row>
    <row r="348" spans="1:13" x14ac:dyDescent="0.35">
      <c r="A348">
        <v>347</v>
      </c>
      <c r="B348">
        <v>583005472</v>
      </c>
      <c r="C348">
        <v>36330</v>
      </c>
      <c r="D348" t="s">
        <v>98</v>
      </c>
      <c r="E348" t="s">
        <v>266</v>
      </c>
      <c r="F348" t="s">
        <v>99</v>
      </c>
      <c r="G348" t="s">
        <v>100</v>
      </c>
      <c r="H348" t="s">
        <v>17</v>
      </c>
      <c r="I348" t="s">
        <v>18</v>
      </c>
      <c r="J348" t="s">
        <v>19</v>
      </c>
      <c r="K348">
        <v>45</v>
      </c>
      <c r="L348">
        <v>0</v>
      </c>
      <c r="M348" t="s">
        <v>20</v>
      </c>
    </row>
    <row r="349" spans="1:13" x14ac:dyDescent="0.35">
      <c r="A349">
        <v>348</v>
      </c>
      <c r="B349">
        <v>583005465</v>
      </c>
      <c r="C349">
        <v>36323</v>
      </c>
      <c r="D349" t="s">
        <v>110</v>
      </c>
      <c r="E349" t="s">
        <v>266</v>
      </c>
      <c r="F349" t="s">
        <v>111</v>
      </c>
      <c r="G349" t="s">
        <v>112</v>
      </c>
      <c r="H349" t="s">
        <v>17</v>
      </c>
      <c r="I349" t="s">
        <v>18</v>
      </c>
      <c r="J349" t="s">
        <v>19</v>
      </c>
      <c r="K349">
        <v>45</v>
      </c>
      <c r="L349">
        <v>0</v>
      </c>
      <c r="M349" t="s">
        <v>20</v>
      </c>
    </row>
    <row r="350" spans="1:13" x14ac:dyDescent="0.35">
      <c r="A350">
        <v>349</v>
      </c>
      <c r="B350">
        <v>583005470</v>
      </c>
      <c r="C350">
        <v>36328</v>
      </c>
      <c r="D350" t="s">
        <v>95</v>
      </c>
      <c r="E350" t="s">
        <v>266</v>
      </c>
      <c r="F350" t="s">
        <v>96</v>
      </c>
      <c r="G350" t="s">
        <v>97</v>
      </c>
      <c r="H350" t="s">
        <v>17</v>
      </c>
      <c r="I350" t="s">
        <v>18</v>
      </c>
      <c r="J350" t="s">
        <v>19</v>
      </c>
      <c r="K350">
        <v>36</v>
      </c>
      <c r="L350">
        <v>0</v>
      </c>
      <c r="M350" t="s">
        <v>20</v>
      </c>
    </row>
    <row r="351" spans="1:13" x14ac:dyDescent="0.35">
      <c r="A351">
        <v>350</v>
      </c>
      <c r="B351">
        <v>583005474</v>
      </c>
      <c r="C351">
        <v>36332</v>
      </c>
      <c r="D351" t="s">
        <v>247</v>
      </c>
      <c r="E351" t="s">
        <v>266</v>
      </c>
      <c r="F351" t="s">
        <v>248</v>
      </c>
      <c r="G351" t="s">
        <v>249</v>
      </c>
      <c r="H351" t="s">
        <v>17</v>
      </c>
      <c r="I351" t="s">
        <v>18</v>
      </c>
      <c r="J351" t="s">
        <v>19</v>
      </c>
      <c r="K351">
        <v>45</v>
      </c>
      <c r="L351">
        <v>0</v>
      </c>
      <c r="M351" t="s">
        <v>20</v>
      </c>
    </row>
    <row r="352" spans="1:13" x14ac:dyDescent="0.35">
      <c r="A352">
        <v>351</v>
      </c>
      <c r="B352">
        <v>583005463</v>
      </c>
      <c r="C352">
        <v>36321</v>
      </c>
      <c r="D352" t="s">
        <v>56</v>
      </c>
      <c r="E352" t="s">
        <v>266</v>
      </c>
      <c r="F352" t="s">
        <v>57</v>
      </c>
      <c r="G352" t="s">
        <v>58</v>
      </c>
      <c r="H352" t="s">
        <v>17</v>
      </c>
      <c r="I352" t="s">
        <v>18</v>
      </c>
      <c r="J352" t="s">
        <v>19</v>
      </c>
      <c r="K352">
        <v>45</v>
      </c>
      <c r="L352">
        <v>0</v>
      </c>
      <c r="M352" t="s">
        <v>20</v>
      </c>
    </row>
    <row r="353" spans="1:13" x14ac:dyDescent="0.35">
      <c r="A353">
        <v>352</v>
      </c>
      <c r="B353">
        <v>583005462</v>
      </c>
      <c r="C353">
        <v>36320</v>
      </c>
      <c r="D353" t="s">
        <v>56</v>
      </c>
      <c r="E353" t="s">
        <v>266</v>
      </c>
      <c r="F353" t="s">
        <v>57</v>
      </c>
      <c r="G353" t="s">
        <v>58</v>
      </c>
      <c r="H353" t="s">
        <v>17</v>
      </c>
      <c r="I353" t="s">
        <v>18</v>
      </c>
      <c r="J353" t="s">
        <v>19</v>
      </c>
      <c r="K353">
        <v>90</v>
      </c>
      <c r="L353">
        <v>0</v>
      </c>
      <c r="M353" t="s">
        <v>20</v>
      </c>
    </row>
    <row r="354" spans="1:13" x14ac:dyDescent="0.35">
      <c r="A354">
        <v>353</v>
      </c>
      <c r="B354">
        <v>583005488</v>
      </c>
      <c r="C354">
        <v>36350</v>
      </c>
      <c r="D354" t="s">
        <v>223</v>
      </c>
      <c r="E354" t="s">
        <v>266</v>
      </c>
      <c r="F354" t="s">
        <v>224</v>
      </c>
      <c r="G354" t="s">
        <v>225</v>
      </c>
      <c r="H354" t="s">
        <v>17</v>
      </c>
      <c r="I354" t="s">
        <v>63</v>
      </c>
      <c r="J354" t="s">
        <v>64</v>
      </c>
      <c r="K354">
        <v>33</v>
      </c>
      <c r="L354">
        <v>54.45</v>
      </c>
      <c r="M354" t="s">
        <v>20</v>
      </c>
    </row>
    <row r="355" spans="1:13" x14ac:dyDescent="0.35">
      <c r="A355">
        <v>354</v>
      </c>
      <c r="B355">
        <v>583005477</v>
      </c>
      <c r="C355">
        <v>36335</v>
      </c>
      <c r="D355" t="s">
        <v>129</v>
      </c>
      <c r="E355" t="s">
        <v>266</v>
      </c>
      <c r="F355" t="s">
        <v>130</v>
      </c>
      <c r="G355" t="s">
        <v>131</v>
      </c>
      <c r="H355" t="s">
        <v>17</v>
      </c>
      <c r="I355" t="s">
        <v>18</v>
      </c>
      <c r="J355" t="s">
        <v>19</v>
      </c>
      <c r="K355">
        <v>90</v>
      </c>
      <c r="L355">
        <v>0</v>
      </c>
      <c r="M355" t="s">
        <v>20</v>
      </c>
    </row>
    <row r="356" spans="1:13" x14ac:dyDescent="0.35">
      <c r="A356">
        <v>355</v>
      </c>
      <c r="B356">
        <v>583005494</v>
      </c>
      <c r="C356">
        <v>36361</v>
      </c>
      <c r="D356" t="s">
        <v>21</v>
      </c>
      <c r="E356" t="s">
        <v>266</v>
      </c>
      <c r="F356" t="s">
        <v>22</v>
      </c>
      <c r="G356" t="s">
        <v>23</v>
      </c>
      <c r="H356" t="s">
        <v>17</v>
      </c>
      <c r="I356" t="s">
        <v>18</v>
      </c>
      <c r="J356" t="s">
        <v>19</v>
      </c>
      <c r="K356">
        <v>2706</v>
      </c>
      <c r="L356">
        <v>0</v>
      </c>
      <c r="M356" t="s">
        <v>20</v>
      </c>
    </row>
    <row r="357" spans="1:13" x14ac:dyDescent="0.35">
      <c r="A357">
        <v>356</v>
      </c>
      <c r="B357">
        <v>583005506</v>
      </c>
      <c r="C357">
        <v>36381</v>
      </c>
      <c r="D357" t="s">
        <v>29</v>
      </c>
      <c r="E357" t="s">
        <v>266</v>
      </c>
      <c r="F357" t="s">
        <v>30</v>
      </c>
      <c r="G357" t="s">
        <v>31</v>
      </c>
      <c r="H357" t="s">
        <v>17</v>
      </c>
      <c r="I357" t="s">
        <v>18</v>
      </c>
      <c r="J357" t="s">
        <v>19</v>
      </c>
      <c r="K357">
        <v>2178</v>
      </c>
      <c r="L357">
        <v>0</v>
      </c>
      <c r="M357" t="s">
        <v>20</v>
      </c>
    </row>
    <row r="358" spans="1:13" x14ac:dyDescent="0.35">
      <c r="A358">
        <v>357</v>
      </c>
      <c r="B358">
        <v>583005506</v>
      </c>
      <c r="C358">
        <v>36381</v>
      </c>
      <c r="D358" t="s">
        <v>29</v>
      </c>
      <c r="E358" t="s">
        <v>266</v>
      </c>
      <c r="F358" t="s">
        <v>30</v>
      </c>
      <c r="G358" t="s">
        <v>31</v>
      </c>
      <c r="H358" t="s">
        <v>17</v>
      </c>
      <c r="I358" t="s">
        <v>18</v>
      </c>
      <c r="J358" t="s">
        <v>19</v>
      </c>
      <c r="K358">
        <v>231</v>
      </c>
      <c r="L358">
        <v>0</v>
      </c>
      <c r="M358" t="s">
        <v>20</v>
      </c>
    </row>
    <row r="359" spans="1:13" x14ac:dyDescent="0.35">
      <c r="A359">
        <v>358</v>
      </c>
      <c r="B359">
        <v>583005478</v>
      </c>
      <c r="C359">
        <v>36336</v>
      </c>
      <c r="D359" t="s">
        <v>267</v>
      </c>
      <c r="E359" t="s">
        <v>266</v>
      </c>
      <c r="F359" t="s">
        <v>268</v>
      </c>
      <c r="G359" t="s">
        <v>269</v>
      </c>
      <c r="H359" t="s">
        <v>17</v>
      </c>
      <c r="I359" t="s">
        <v>18</v>
      </c>
      <c r="J359" t="s">
        <v>19</v>
      </c>
      <c r="K359">
        <v>72</v>
      </c>
      <c r="L359">
        <v>0</v>
      </c>
      <c r="M359" t="s">
        <v>20</v>
      </c>
    </row>
    <row r="360" spans="1:13" x14ac:dyDescent="0.35">
      <c r="A360">
        <v>359</v>
      </c>
      <c r="B360">
        <v>583005509</v>
      </c>
      <c r="C360">
        <v>36384</v>
      </c>
      <c r="D360" t="s">
        <v>147</v>
      </c>
      <c r="E360" t="s">
        <v>266</v>
      </c>
      <c r="F360" t="s">
        <v>148</v>
      </c>
      <c r="G360" t="s">
        <v>149</v>
      </c>
      <c r="H360" t="s">
        <v>17</v>
      </c>
      <c r="I360" t="s">
        <v>18</v>
      </c>
      <c r="J360" t="s">
        <v>19</v>
      </c>
      <c r="K360">
        <v>45</v>
      </c>
      <c r="L360">
        <v>0</v>
      </c>
      <c r="M360" t="s">
        <v>20</v>
      </c>
    </row>
    <row r="361" spans="1:13" x14ac:dyDescent="0.35">
      <c r="A361">
        <v>360</v>
      </c>
      <c r="B361">
        <v>583005507</v>
      </c>
      <c r="C361">
        <v>36382</v>
      </c>
      <c r="D361" t="s">
        <v>29</v>
      </c>
      <c r="E361" t="s">
        <v>266</v>
      </c>
      <c r="F361" t="s">
        <v>30</v>
      </c>
      <c r="G361" t="s">
        <v>31</v>
      </c>
      <c r="H361" t="s">
        <v>17</v>
      </c>
      <c r="I361" t="s">
        <v>24</v>
      </c>
      <c r="J361" t="s">
        <v>25</v>
      </c>
      <c r="K361">
        <v>5</v>
      </c>
      <c r="L361">
        <v>0</v>
      </c>
      <c r="M361" t="s">
        <v>20</v>
      </c>
    </row>
    <row r="362" spans="1:13" x14ac:dyDescent="0.35">
      <c r="A362">
        <v>361</v>
      </c>
      <c r="B362">
        <v>583005484</v>
      </c>
      <c r="C362">
        <v>36346</v>
      </c>
      <c r="D362" t="s">
        <v>190</v>
      </c>
      <c r="E362" t="s">
        <v>266</v>
      </c>
      <c r="F362" t="s">
        <v>191</v>
      </c>
      <c r="G362" t="s">
        <v>192</v>
      </c>
      <c r="H362" t="s">
        <v>17</v>
      </c>
      <c r="I362" t="s">
        <v>18</v>
      </c>
      <c r="J362" t="s">
        <v>19</v>
      </c>
      <c r="K362">
        <v>240</v>
      </c>
      <c r="L362">
        <v>0</v>
      </c>
      <c r="M362" t="s">
        <v>20</v>
      </c>
    </row>
    <row r="363" spans="1:13" x14ac:dyDescent="0.35">
      <c r="A363">
        <v>362</v>
      </c>
      <c r="B363">
        <v>583005494</v>
      </c>
      <c r="C363">
        <v>36361</v>
      </c>
      <c r="D363" t="s">
        <v>21</v>
      </c>
      <c r="E363" t="s">
        <v>266</v>
      </c>
      <c r="F363" t="s">
        <v>22</v>
      </c>
      <c r="G363" t="s">
        <v>23</v>
      </c>
      <c r="H363" t="s">
        <v>17</v>
      </c>
      <c r="I363" t="s">
        <v>18</v>
      </c>
      <c r="J363" t="s">
        <v>19</v>
      </c>
      <c r="K363">
        <v>567</v>
      </c>
      <c r="L363">
        <v>0</v>
      </c>
      <c r="M363" t="s">
        <v>20</v>
      </c>
    </row>
    <row r="364" spans="1:13" x14ac:dyDescent="0.35">
      <c r="A364">
        <v>363</v>
      </c>
      <c r="B364">
        <v>583005482</v>
      </c>
      <c r="C364">
        <v>36344</v>
      </c>
      <c r="D364" t="s">
        <v>190</v>
      </c>
      <c r="E364" t="s">
        <v>266</v>
      </c>
      <c r="F364" t="s">
        <v>191</v>
      </c>
      <c r="G364" t="s">
        <v>192</v>
      </c>
      <c r="H364" t="s">
        <v>17</v>
      </c>
      <c r="I364" t="s">
        <v>18</v>
      </c>
      <c r="J364" t="s">
        <v>19</v>
      </c>
      <c r="K364">
        <v>240</v>
      </c>
      <c r="L364">
        <v>0</v>
      </c>
      <c r="M364" t="s">
        <v>20</v>
      </c>
    </row>
    <row r="365" spans="1:13" x14ac:dyDescent="0.35">
      <c r="A365">
        <v>364</v>
      </c>
      <c r="B365">
        <v>583005495</v>
      </c>
      <c r="C365">
        <v>36362</v>
      </c>
      <c r="D365" t="s">
        <v>21</v>
      </c>
      <c r="E365" t="s">
        <v>266</v>
      </c>
      <c r="F365" t="s">
        <v>22</v>
      </c>
      <c r="G365" t="s">
        <v>23</v>
      </c>
      <c r="H365" t="s">
        <v>17</v>
      </c>
      <c r="I365" t="s">
        <v>24</v>
      </c>
      <c r="J365" t="s">
        <v>25</v>
      </c>
      <c r="K365">
        <v>6</v>
      </c>
      <c r="L365">
        <v>0</v>
      </c>
      <c r="M365" t="s">
        <v>20</v>
      </c>
    </row>
    <row r="366" spans="1:13" x14ac:dyDescent="0.35">
      <c r="A366">
        <v>365</v>
      </c>
      <c r="B366">
        <v>583005487</v>
      </c>
      <c r="C366">
        <v>36349</v>
      </c>
      <c r="D366" t="s">
        <v>65</v>
      </c>
      <c r="E366" t="s">
        <v>266</v>
      </c>
      <c r="F366" t="s">
        <v>66</v>
      </c>
      <c r="G366" t="s">
        <v>67</v>
      </c>
      <c r="H366" t="s">
        <v>17</v>
      </c>
      <c r="I366" t="s">
        <v>63</v>
      </c>
      <c r="J366" t="s">
        <v>64</v>
      </c>
      <c r="K366">
        <v>29</v>
      </c>
      <c r="L366">
        <v>51.33</v>
      </c>
      <c r="M366" t="s">
        <v>20</v>
      </c>
    </row>
    <row r="367" spans="1:13" x14ac:dyDescent="0.35">
      <c r="A367">
        <v>366</v>
      </c>
      <c r="B367">
        <v>583005483</v>
      </c>
      <c r="C367">
        <v>36345</v>
      </c>
      <c r="D367" t="s">
        <v>190</v>
      </c>
      <c r="E367" t="s">
        <v>266</v>
      </c>
      <c r="F367" t="s">
        <v>191</v>
      </c>
      <c r="G367" t="s">
        <v>192</v>
      </c>
      <c r="H367" t="s">
        <v>17</v>
      </c>
      <c r="I367" t="s">
        <v>18</v>
      </c>
      <c r="J367" t="s">
        <v>19</v>
      </c>
      <c r="K367">
        <v>240</v>
      </c>
      <c r="L367">
        <v>0</v>
      </c>
      <c r="M367" t="s">
        <v>20</v>
      </c>
    </row>
    <row r="368" spans="1:13" x14ac:dyDescent="0.35">
      <c r="A368">
        <v>367</v>
      </c>
      <c r="B368">
        <v>583005508</v>
      </c>
      <c r="C368">
        <v>36383</v>
      </c>
      <c r="D368" t="s">
        <v>147</v>
      </c>
      <c r="E368" t="s">
        <v>266</v>
      </c>
      <c r="F368" t="s">
        <v>148</v>
      </c>
      <c r="G368" t="s">
        <v>149</v>
      </c>
      <c r="H368" t="s">
        <v>17</v>
      </c>
      <c r="I368" t="s">
        <v>18</v>
      </c>
      <c r="J368" t="s">
        <v>19</v>
      </c>
      <c r="K368">
        <v>12</v>
      </c>
      <c r="L368">
        <v>0</v>
      </c>
      <c r="M368" t="s">
        <v>20</v>
      </c>
    </row>
    <row r="369" spans="1:13" x14ac:dyDescent="0.35">
      <c r="A369">
        <v>368</v>
      </c>
      <c r="B369">
        <v>583005477</v>
      </c>
      <c r="C369">
        <v>36335</v>
      </c>
      <c r="D369" t="s">
        <v>129</v>
      </c>
      <c r="E369" t="s">
        <v>266</v>
      </c>
      <c r="F369" t="s">
        <v>130</v>
      </c>
      <c r="G369" t="s">
        <v>131</v>
      </c>
      <c r="H369" t="s">
        <v>17</v>
      </c>
      <c r="I369" t="s">
        <v>18</v>
      </c>
      <c r="J369" t="s">
        <v>19</v>
      </c>
      <c r="K369">
        <v>90</v>
      </c>
      <c r="L369">
        <v>0</v>
      </c>
      <c r="M369" t="s">
        <v>20</v>
      </c>
    </row>
    <row r="370" spans="1:13" x14ac:dyDescent="0.35">
      <c r="A370">
        <v>369</v>
      </c>
      <c r="B370">
        <v>583005494</v>
      </c>
      <c r="C370">
        <v>36361</v>
      </c>
      <c r="D370" t="s">
        <v>21</v>
      </c>
      <c r="E370" t="s">
        <v>266</v>
      </c>
      <c r="F370" t="s">
        <v>22</v>
      </c>
      <c r="G370" t="s">
        <v>23</v>
      </c>
      <c r="H370" t="s">
        <v>17</v>
      </c>
      <c r="I370" t="s">
        <v>18</v>
      </c>
      <c r="J370" t="s">
        <v>19</v>
      </c>
      <c r="K370">
        <v>675</v>
      </c>
      <c r="L370">
        <v>0</v>
      </c>
      <c r="M370" t="s">
        <v>20</v>
      </c>
    </row>
    <row r="371" spans="1:13" x14ac:dyDescent="0.35">
      <c r="A371">
        <v>370</v>
      </c>
      <c r="B371">
        <v>583005624</v>
      </c>
      <c r="C371">
        <v>36541</v>
      </c>
      <c r="D371" t="s">
        <v>247</v>
      </c>
      <c r="E371" t="s">
        <v>270</v>
      </c>
      <c r="F371" t="s">
        <v>248</v>
      </c>
      <c r="G371" t="s">
        <v>249</v>
      </c>
      <c r="H371" t="s">
        <v>17</v>
      </c>
      <c r="I371" t="s">
        <v>18</v>
      </c>
      <c r="J371" t="s">
        <v>19</v>
      </c>
      <c r="K371">
        <v>33</v>
      </c>
      <c r="L371">
        <v>0</v>
      </c>
      <c r="M371" t="s">
        <v>20</v>
      </c>
    </row>
    <row r="372" spans="1:13" x14ac:dyDescent="0.35">
      <c r="A372">
        <v>371</v>
      </c>
      <c r="B372">
        <v>583005598</v>
      </c>
      <c r="C372">
        <v>36510</v>
      </c>
      <c r="D372" t="s">
        <v>271</v>
      </c>
      <c r="E372" t="s">
        <v>270</v>
      </c>
      <c r="F372" t="s">
        <v>272</v>
      </c>
      <c r="G372" t="s">
        <v>273</v>
      </c>
      <c r="H372" t="s">
        <v>17</v>
      </c>
      <c r="I372" t="s">
        <v>18</v>
      </c>
      <c r="J372" t="s">
        <v>19</v>
      </c>
      <c r="K372">
        <v>216</v>
      </c>
      <c r="L372">
        <v>0</v>
      </c>
      <c r="M372" t="s">
        <v>20</v>
      </c>
    </row>
    <row r="373" spans="1:13" x14ac:dyDescent="0.35">
      <c r="A373">
        <v>372</v>
      </c>
      <c r="B373">
        <v>583005610</v>
      </c>
      <c r="C373">
        <v>36527</v>
      </c>
      <c r="D373" t="s">
        <v>56</v>
      </c>
      <c r="E373" t="s">
        <v>270</v>
      </c>
      <c r="F373" t="s">
        <v>57</v>
      </c>
      <c r="G373" t="s">
        <v>58</v>
      </c>
      <c r="H373" t="s">
        <v>17</v>
      </c>
      <c r="I373" t="s">
        <v>18</v>
      </c>
      <c r="J373" t="s">
        <v>19</v>
      </c>
      <c r="K373">
        <v>24</v>
      </c>
      <c r="L373">
        <v>0</v>
      </c>
      <c r="M373" t="s">
        <v>20</v>
      </c>
    </row>
    <row r="374" spans="1:13" x14ac:dyDescent="0.35">
      <c r="A374">
        <v>373</v>
      </c>
      <c r="B374">
        <v>583005606</v>
      </c>
      <c r="C374">
        <v>36520</v>
      </c>
      <c r="D374" t="s">
        <v>45</v>
      </c>
      <c r="E374" t="s">
        <v>270</v>
      </c>
      <c r="F374" t="s">
        <v>46</v>
      </c>
      <c r="G374" t="s">
        <v>47</v>
      </c>
      <c r="H374" t="s">
        <v>17</v>
      </c>
      <c r="I374" t="s">
        <v>18</v>
      </c>
      <c r="J374" t="s">
        <v>19</v>
      </c>
      <c r="K374">
        <v>135</v>
      </c>
      <c r="L374">
        <v>0</v>
      </c>
      <c r="M374" t="s">
        <v>20</v>
      </c>
    </row>
    <row r="375" spans="1:13" x14ac:dyDescent="0.35">
      <c r="A375">
        <v>374</v>
      </c>
      <c r="B375">
        <v>583005607</v>
      </c>
      <c r="C375">
        <v>36521</v>
      </c>
      <c r="D375" t="s">
        <v>45</v>
      </c>
      <c r="E375" t="s">
        <v>270</v>
      </c>
      <c r="F375" t="s">
        <v>46</v>
      </c>
      <c r="G375" t="s">
        <v>47</v>
      </c>
      <c r="H375" t="s">
        <v>17</v>
      </c>
      <c r="I375" t="s">
        <v>18</v>
      </c>
      <c r="J375" t="s">
        <v>19</v>
      </c>
      <c r="K375">
        <v>90</v>
      </c>
      <c r="L375">
        <v>0</v>
      </c>
      <c r="M375" t="s">
        <v>20</v>
      </c>
    </row>
    <row r="376" spans="1:13" x14ac:dyDescent="0.35">
      <c r="A376">
        <v>375</v>
      </c>
      <c r="B376">
        <v>583005598</v>
      </c>
      <c r="C376">
        <v>36510</v>
      </c>
      <c r="D376" t="s">
        <v>271</v>
      </c>
      <c r="E376" t="s">
        <v>270</v>
      </c>
      <c r="F376" t="s">
        <v>272</v>
      </c>
      <c r="G376" t="s">
        <v>273</v>
      </c>
      <c r="H376" t="s">
        <v>17</v>
      </c>
      <c r="I376" t="s">
        <v>18</v>
      </c>
      <c r="J376" t="s">
        <v>19</v>
      </c>
      <c r="K376">
        <v>1515</v>
      </c>
      <c r="L376">
        <v>0</v>
      </c>
      <c r="M376" t="s">
        <v>20</v>
      </c>
    </row>
    <row r="377" spans="1:13" x14ac:dyDescent="0.35">
      <c r="A377">
        <v>376</v>
      </c>
      <c r="B377">
        <v>583005608</v>
      </c>
      <c r="C377">
        <v>36522</v>
      </c>
      <c r="D377" t="s">
        <v>45</v>
      </c>
      <c r="E377" t="s">
        <v>270</v>
      </c>
      <c r="F377" t="s">
        <v>46</v>
      </c>
      <c r="G377" t="s">
        <v>47</v>
      </c>
      <c r="H377" t="s">
        <v>17</v>
      </c>
      <c r="I377" t="s">
        <v>18</v>
      </c>
      <c r="J377" t="s">
        <v>19</v>
      </c>
      <c r="K377">
        <v>135</v>
      </c>
      <c r="L377">
        <v>0</v>
      </c>
      <c r="M377" t="s">
        <v>20</v>
      </c>
    </row>
    <row r="378" spans="1:13" x14ac:dyDescent="0.35">
      <c r="A378">
        <v>377</v>
      </c>
      <c r="B378">
        <v>583005611</v>
      </c>
      <c r="C378">
        <v>36528</v>
      </c>
      <c r="D378" t="s">
        <v>36</v>
      </c>
      <c r="E378" t="s">
        <v>270</v>
      </c>
      <c r="F378" t="s">
        <v>37</v>
      </c>
      <c r="G378" t="s">
        <v>38</v>
      </c>
      <c r="H378" t="s">
        <v>17</v>
      </c>
      <c r="I378" t="s">
        <v>18</v>
      </c>
      <c r="J378" t="s">
        <v>19</v>
      </c>
      <c r="K378">
        <v>39</v>
      </c>
      <c r="L378">
        <v>0</v>
      </c>
      <c r="M378" t="s">
        <v>20</v>
      </c>
    </row>
    <row r="379" spans="1:13" x14ac:dyDescent="0.35">
      <c r="A379">
        <v>378</v>
      </c>
      <c r="B379">
        <v>583005613</v>
      </c>
      <c r="C379">
        <v>36530</v>
      </c>
      <c r="D379" t="s">
        <v>113</v>
      </c>
      <c r="E379" t="s">
        <v>270</v>
      </c>
      <c r="F379" t="s">
        <v>114</v>
      </c>
      <c r="G379" t="s">
        <v>115</v>
      </c>
      <c r="H379" t="s">
        <v>17</v>
      </c>
      <c r="I379" t="s">
        <v>18</v>
      </c>
      <c r="J379" t="s">
        <v>19</v>
      </c>
      <c r="K379">
        <v>45</v>
      </c>
      <c r="L379">
        <v>0</v>
      </c>
      <c r="M379" t="s">
        <v>20</v>
      </c>
    </row>
    <row r="380" spans="1:13" x14ac:dyDescent="0.35">
      <c r="A380">
        <v>379</v>
      </c>
      <c r="B380">
        <v>583005612</v>
      </c>
      <c r="C380">
        <v>36529</v>
      </c>
      <c r="D380" t="s">
        <v>36</v>
      </c>
      <c r="E380" t="s">
        <v>270</v>
      </c>
      <c r="F380" t="s">
        <v>37</v>
      </c>
      <c r="G380" t="s">
        <v>38</v>
      </c>
      <c r="H380" t="s">
        <v>17</v>
      </c>
      <c r="I380" t="s">
        <v>18</v>
      </c>
      <c r="J380" t="s">
        <v>19</v>
      </c>
      <c r="K380">
        <v>165</v>
      </c>
      <c r="L380">
        <v>0</v>
      </c>
      <c r="M380" t="s">
        <v>20</v>
      </c>
    </row>
    <row r="381" spans="1:13" x14ac:dyDescent="0.35">
      <c r="A381">
        <v>380</v>
      </c>
      <c r="B381">
        <v>583005615</v>
      </c>
      <c r="C381">
        <v>36532</v>
      </c>
      <c r="D381" t="s">
        <v>263</v>
      </c>
      <c r="E381" t="s">
        <v>270</v>
      </c>
      <c r="F381" t="s">
        <v>264</v>
      </c>
      <c r="G381" t="s">
        <v>265</v>
      </c>
      <c r="H381" t="s">
        <v>17</v>
      </c>
      <c r="I381" t="s">
        <v>18</v>
      </c>
      <c r="J381" t="s">
        <v>19</v>
      </c>
      <c r="K381">
        <v>45</v>
      </c>
      <c r="L381">
        <v>0</v>
      </c>
      <c r="M381" t="s">
        <v>20</v>
      </c>
    </row>
    <row r="382" spans="1:13" x14ac:dyDescent="0.35">
      <c r="A382">
        <v>381</v>
      </c>
      <c r="B382">
        <v>583005614</v>
      </c>
      <c r="C382">
        <v>36531</v>
      </c>
      <c r="D382" t="s">
        <v>174</v>
      </c>
      <c r="E382" t="s">
        <v>270</v>
      </c>
      <c r="F382" t="s">
        <v>175</v>
      </c>
      <c r="G382" t="s">
        <v>176</v>
      </c>
      <c r="H382" t="s">
        <v>17</v>
      </c>
      <c r="I382" t="s">
        <v>18</v>
      </c>
      <c r="J382" t="s">
        <v>19</v>
      </c>
      <c r="K382">
        <v>135</v>
      </c>
      <c r="L382">
        <v>0</v>
      </c>
      <c r="M382" t="s">
        <v>20</v>
      </c>
    </row>
    <row r="383" spans="1:13" x14ac:dyDescent="0.35">
      <c r="A383">
        <v>382</v>
      </c>
      <c r="B383">
        <v>583005616</v>
      </c>
      <c r="C383">
        <v>36533</v>
      </c>
      <c r="D383" t="s">
        <v>274</v>
      </c>
      <c r="E383" t="s">
        <v>270</v>
      </c>
      <c r="F383" t="s">
        <v>275</v>
      </c>
      <c r="G383" t="s">
        <v>276</v>
      </c>
      <c r="H383" t="s">
        <v>17</v>
      </c>
      <c r="I383" t="s">
        <v>18</v>
      </c>
      <c r="J383" t="s">
        <v>19</v>
      </c>
      <c r="K383">
        <v>12</v>
      </c>
      <c r="L383">
        <v>0</v>
      </c>
      <c r="M383" t="s">
        <v>20</v>
      </c>
    </row>
    <row r="384" spans="1:13" x14ac:dyDescent="0.35">
      <c r="A384">
        <v>383</v>
      </c>
      <c r="B384">
        <v>583005617</v>
      </c>
      <c r="C384">
        <v>36534</v>
      </c>
      <c r="D384" t="s">
        <v>68</v>
      </c>
      <c r="E384" t="s">
        <v>270</v>
      </c>
      <c r="F384" t="s">
        <v>69</v>
      </c>
      <c r="G384" t="s">
        <v>70</v>
      </c>
      <c r="H384" t="s">
        <v>17</v>
      </c>
      <c r="I384" t="s">
        <v>18</v>
      </c>
      <c r="J384" t="s">
        <v>19</v>
      </c>
      <c r="K384">
        <v>27</v>
      </c>
      <c r="L384">
        <v>0</v>
      </c>
      <c r="M384" t="s">
        <v>20</v>
      </c>
    </row>
    <row r="385" spans="1:13" x14ac:dyDescent="0.35">
      <c r="A385">
        <v>384</v>
      </c>
      <c r="B385">
        <v>583005620</v>
      </c>
      <c r="C385">
        <v>36537</v>
      </c>
      <c r="D385" t="s">
        <v>29</v>
      </c>
      <c r="E385" t="s">
        <v>270</v>
      </c>
      <c r="F385" t="s">
        <v>30</v>
      </c>
      <c r="G385" t="s">
        <v>31</v>
      </c>
      <c r="H385" t="s">
        <v>17</v>
      </c>
      <c r="I385" t="s">
        <v>18</v>
      </c>
      <c r="J385" t="s">
        <v>19</v>
      </c>
      <c r="K385">
        <v>135</v>
      </c>
      <c r="L385">
        <v>0</v>
      </c>
      <c r="M385" t="s">
        <v>20</v>
      </c>
    </row>
    <row r="386" spans="1:13" x14ac:dyDescent="0.35">
      <c r="A386">
        <v>385</v>
      </c>
      <c r="B386">
        <v>583005618</v>
      </c>
      <c r="C386">
        <v>36535</v>
      </c>
      <c r="D386" t="s">
        <v>29</v>
      </c>
      <c r="E386" t="s">
        <v>270</v>
      </c>
      <c r="F386" t="s">
        <v>30</v>
      </c>
      <c r="G386" t="s">
        <v>31</v>
      </c>
      <c r="H386" t="s">
        <v>17</v>
      </c>
      <c r="I386" t="s">
        <v>18</v>
      </c>
      <c r="J386" t="s">
        <v>19</v>
      </c>
      <c r="K386">
        <v>72</v>
      </c>
      <c r="L386">
        <v>0</v>
      </c>
      <c r="M386" t="s">
        <v>20</v>
      </c>
    </row>
    <row r="387" spans="1:13" x14ac:dyDescent="0.35">
      <c r="A387">
        <v>386</v>
      </c>
      <c r="B387">
        <v>583005619</v>
      </c>
      <c r="C387">
        <v>36536</v>
      </c>
      <c r="D387" t="s">
        <v>29</v>
      </c>
      <c r="E387" t="s">
        <v>270</v>
      </c>
      <c r="F387" t="s">
        <v>30</v>
      </c>
      <c r="G387" t="s">
        <v>31</v>
      </c>
      <c r="H387" t="s">
        <v>17</v>
      </c>
      <c r="I387" t="s">
        <v>18</v>
      </c>
      <c r="J387" t="s">
        <v>19</v>
      </c>
      <c r="K387">
        <v>72</v>
      </c>
      <c r="L387">
        <v>0</v>
      </c>
      <c r="M387" t="s">
        <v>20</v>
      </c>
    </row>
    <row r="388" spans="1:13" x14ac:dyDescent="0.35">
      <c r="A388">
        <v>387</v>
      </c>
      <c r="B388">
        <v>583005621</v>
      </c>
      <c r="C388">
        <v>36538</v>
      </c>
      <c r="D388" t="s">
        <v>29</v>
      </c>
      <c r="E388" t="s">
        <v>270</v>
      </c>
      <c r="F388" t="s">
        <v>30</v>
      </c>
      <c r="G388" t="s">
        <v>31</v>
      </c>
      <c r="H388" t="s">
        <v>17</v>
      </c>
      <c r="I388" t="s">
        <v>18</v>
      </c>
      <c r="J388" t="s">
        <v>19</v>
      </c>
      <c r="K388">
        <v>108</v>
      </c>
      <c r="L388">
        <v>0</v>
      </c>
      <c r="M388" t="s">
        <v>20</v>
      </c>
    </row>
    <row r="389" spans="1:13" x14ac:dyDescent="0.35">
      <c r="A389">
        <v>388</v>
      </c>
      <c r="B389">
        <v>583005558</v>
      </c>
      <c r="C389">
        <v>36452</v>
      </c>
      <c r="D389" t="s">
        <v>277</v>
      </c>
      <c r="E389" t="s">
        <v>270</v>
      </c>
      <c r="F389" t="s">
        <v>278</v>
      </c>
      <c r="G389" t="s">
        <v>279</v>
      </c>
      <c r="H389" t="s">
        <v>17</v>
      </c>
      <c r="I389" t="s">
        <v>18</v>
      </c>
      <c r="J389" t="s">
        <v>19</v>
      </c>
      <c r="K389">
        <v>12</v>
      </c>
      <c r="L389">
        <v>0</v>
      </c>
      <c r="M389" t="s">
        <v>20</v>
      </c>
    </row>
    <row r="390" spans="1:13" x14ac:dyDescent="0.35">
      <c r="A390">
        <v>389</v>
      </c>
      <c r="B390">
        <v>583005625</v>
      </c>
      <c r="C390">
        <v>36542</v>
      </c>
      <c r="D390" t="s">
        <v>21</v>
      </c>
      <c r="E390" t="s">
        <v>270</v>
      </c>
      <c r="F390" t="s">
        <v>22</v>
      </c>
      <c r="G390" t="s">
        <v>23</v>
      </c>
      <c r="H390" t="s">
        <v>17</v>
      </c>
      <c r="I390" t="s">
        <v>18</v>
      </c>
      <c r="J390" t="s">
        <v>19</v>
      </c>
      <c r="K390">
        <v>2310</v>
      </c>
      <c r="L390">
        <v>0</v>
      </c>
      <c r="M390" t="s">
        <v>20</v>
      </c>
    </row>
    <row r="391" spans="1:13" x14ac:dyDescent="0.35">
      <c r="A391">
        <v>390</v>
      </c>
      <c r="B391">
        <v>583005625</v>
      </c>
      <c r="C391">
        <v>36542</v>
      </c>
      <c r="D391" t="s">
        <v>21</v>
      </c>
      <c r="E391" t="s">
        <v>270</v>
      </c>
      <c r="F391" t="s">
        <v>22</v>
      </c>
      <c r="G391" t="s">
        <v>23</v>
      </c>
      <c r="H391" t="s">
        <v>17</v>
      </c>
      <c r="I391" t="s">
        <v>18</v>
      </c>
      <c r="J391" t="s">
        <v>19</v>
      </c>
      <c r="K391">
        <v>951</v>
      </c>
      <c r="L391">
        <v>0</v>
      </c>
      <c r="M391" t="s">
        <v>20</v>
      </c>
    </row>
    <row r="392" spans="1:13" x14ac:dyDescent="0.35">
      <c r="A392">
        <v>391</v>
      </c>
      <c r="B392">
        <v>583005625</v>
      </c>
      <c r="C392">
        <v>36542</v>
      </c>
      <c r="D392" t="s">
        <v>21</v>
      </c>
      <c r="E392" t="s">
        <v>270</v>
      </c>
      <c r="F392" t="s">
        <v>22</v>
      </c>
      <c r="G392" t="s">
        <v>23</v>
      </c>
      <c r="H392" t="s">
        <v>17</v>
      </c>
      <c r="I392" t="s">
        <v>18</v>
      </c>
      <c r="J392" t="s">
        <v>19</v>
      </c>
      <c r="K392">
        <v>366</v>
      </c>
      <c r="L392">
        <v>0</v>
      </c>
      <c r="M392" t="s">
        <v>20</v>
      </c>
    </row>
    <row r="393" spans="1:13" x14ac:dyDescent="0.35">
      <c r="A393">
        <v>392</v>
      </c>
      <c r="B393">
        <v>583005552</v>
      </c>
      <c r="C393">
        <v>36442</v>
      </c>
      <c r="D393" t="s">
        <v>250</v>
      </c>
      <c r="E393" t="s">
        <v>270</v>
      </c>
      <c r="F393" t="s">
        <v>251</v>
      </c>
      <c r="G393" t="s">
        <v>252</v>
      </c>
      <c r="H393" t="s">
        <v>17</v>
      </c>
      <c r="I393" t="s">
        <v>18</v>
      </c>
      <c r="J393" t="s">
        <v>19</v>
      </c>
      <c r="K393">
        <v>12</v>
      </c>
      <c r="L393">
        <v>0</v>
      </c>
      <c r="M393" t="s">
        <v>20</v>
      </c>
    </row>
    <row r="394" spans="1:13" x14ac:dyDescent="0.35">
      <c r="A394">
        <v>393</v>
      </c>
      <c r="B394">
        <v>583005551</v>
      </c>
      <c r="C394">
        <v>36441</v>
      </c>
      <c r="D394" t="s">
        <v>250</v>
      </c>
      <c r="E394" t="s">
        <v>270</v>
      </c>
      <c r="F394" t="s">
        <v>251</v>
      </c>
      <c r="G394" t="s">
        <v>252</v>
      </c>
      <c r="H394" t="s">
        <v>17</v>
      </c>
      <c r="I394" t="s">
        <v>18</v>
      </c>
      <c r="J394" t="s">
        <v>19</v>
      </c>
      <c r="K394">
        <v>24</v>
      </c>
      <c r="L394">
        <v>0</v>
      </c>
      <c r="M394" t="s">
        <v>20</v>
      </c>
    </row>
    <row r="395" spans="1:13" x14ac:dyDescent="0.35">
      <c r="A395">
        <v>394</v>
      </c>
      <c r="B395">
        <v>583005555</v>
      </c>
      <c r="C395">
        <v>36448</v>
      </c>
      <c r="D395" t="s">
        <v>250</v>
      </c>
      <c r="E395" t="s">
        <v>270</v>
      </c>
      <c r="F395" t="s">
        <v>251</v>
      </c>
      <c r="G395" t="s">
        <v>252</v>
      </c>
      <c r="H395" t="s">
        <v>17</v>
      </c>
      <c r="I395" t="s">
        <v>24</v>
      </c>
      <c r="J395" t="s">
        <v>25</v>
      </c>
      <c r="K395">
        <v>28</v>
      </c>
      <c r="L395">
        <v>0</v>
      </c>
      <c r="M395" t="s">
        <v>20</v>
      </c>
    </row>
    <row r="396" spans="1:13" x14ac:dyDescent="0.35">
      <c r="A396">
        <v>395</v>
      </c>
      <c r="B396">
        <v>583005560</v>
      </c>
      <c r="C396">
        <v>36454</v>
      </c>
      <c r="D396" t="s">
        <v>98</v>
      </c>
      <c r="E396" t="s">
        <v>270</v>
      </c>
      <c r="F396" t="s">
        <v>99</v>
      </c>
      <c r="G396" t="s">
        <v>100</v>
      </c>
      <c r="H396" t="s">
        <v>17</v>
      </c>
      <c r="I396" t="s">
        <v>18</v>
      </c>
      <c r="J396" t="s">
        <v>19</v>
      </c>
      <c r="K396">
        <v>45</v>
      </c>
      <c r="L396">
        <v>0</v>
      </c>
      <c r="M396" t="s">
        <v>20</v>
      </c>
    </row>
    <row r="397" spans="1:13" x14ac:dyDescent="0.35">
      <c r="A397">
        <v>396</v>
      </c>
      <c r="B397">
        <v>583005557</v>
      </c>
      <c r="C397">
        <v>36451</v>
      </c>
      <c r="D397" t="s">
        <v>280</v>
      </c>
      <c r="E397" t="s">
        <v>270</v>
      </c>
      <c r="F397" t="s">
        <v>281</v>
      </c>
      <c r="G397" t="s">
        <v>282</v>
      </c>
      <c r="H397" t="s">
        <v>17</v>
      </c>
      <c r="I397" t="s">
        <v>18</v>
      </c>
      <c r="J397" t="s">
        <v>19</v>
      </c>
      <c r="K397">
        <v>45</v>
      </c>
      <c r="L397">
        <v>0</v>
      </c>
      <c r="M397" t="s">
        <v>20</v>
      </c>
    </row>
    <row r="398" spans="1:13" x14ac:dyDescent="0.35">
      <c r="A398">
        <v>397</v>
      </c>
      <c r="B398">
        <v>583005562</v>
      </c>
      <c r="C398">
        <v>36456</v>
      </c>
      <c r="D398" t="s">
        <v>39</v>
      </c>
      <c r="E398" t="s">
        <v>270</v>
      </c>
      <c r="F398" t="s">
        <v>40</v>
      </c>
      <c r="G398" t="s">
        <v>41</v>
      </c>
      <c r="H398" t="s">
        <v>17</v>
      </c>
      <c r="I398" t="s">
        <v>135</v>
      </c>
      <c r="J398" t="s">
        <v>19</v>
      </c>
      <c r="K398">
        <v>150</v>
      </c>
      <c r="L398">
        <v>0</v>
      </c>
      <c r="M398" t="s">
        <v>20</v>
      </c>
    </row>
    <row r="399" spans="1:13" x14ac:dyDescent="0.35">
      <c r="A399">
        <v>398</v>
      </c>
      <c r="B399">
        <v>583005561</v>
      </c>
      <c r="C399">
        <v>36455</v>
      </c>
      <c r="D399" t="s">
        <v>98</v>
      </c>
      <c r="E399" t="s">
        <v>270</v>
      </c>
      <c r="F399" t="s">
        <v>99</v>
      </c>
      <c r="G399" t="s">
        <v>100</v>
      </c>
      <c r="H399" t="s">
        <v>17</v>
      </c>
      <c r="I399" t="s">
        <v>18</v>
      </c>
      <c r="J399" t="s">
        <v>19</v>
      </c>
      <c r="K399">
        <v>45</v>
      </c>
      <c r="L399">
        <v>0</v>
      </c>
      <c r="M399" t="s">
        <v>20</v>
      </c>
    </row>
    <row r="400" spans="1:13" x14ac:dyDescent="0.35">
      <c r="A400">
        <v>399</v>
      </c>
      <c r="B400">
        <v>583005565</v>
      </c>
      <c r="C400">
        <v>36465</v>
      </c>
      <c r="D400" t="s">
        <v>95</v>
      </c>
      <c r="E400" t="s">
        <v>270</v>
      </c>
      <c r="F400" t="s">
        <v>96</v>
      </c>
      <c r="G400" t="s">
        <v>97</v>
      </c>
      <c r="H400" t="s">
        <v>17</v>
      </c>
      <c r="I400" t="s">
        <v>18</v>
      </c>
      <c r="J400" t="s">
        <v>19</v>
      </c>
      <c r="K400">
        <v>45</v>
      </c>
      <c r="L400">
        <v>0</v>
      </c>
      <c r="M400" t="s">
        <v>20</v>
      </c>
    </row>
    <row r="401" spans="1:13" x14ac:dyDescent="0.35">
      <c r="A401">
        <v>400</v>
      </c>
      <c r="B401">
        <v>583005566</v>
      </c>
      <c r="C401">
        <v>36466</v>
      </c>
      <c r="D401" t="s">
        <v>95</v>
      </c>
      <c r="E401" t="s">
        <v>270</v>
      </c>
      <c r="F401" t="s">
        <v>96</v>
      </c>
      <c r="G401" t="s">
        <v>97</v>
      </c>
      <c r="H401" t="s">
        <v>17</v>
      </c>
      <c r="I401" t="s">
        <v>18</v>
      </c>
      <c r="J401" t="s">
        <v>19</v>
      </c>
      <c r="K401">
        <v>9</v>
      </c>
      <c r="L401">
        <v>0</v>
      </c>
      <c r="M401" t="s">
        <v>20</v>
      </c>
    </row>
    <row r="402" spans="1:13" x14ac:dyDescent="0.35">
      <c r="A402">
        <v>401</v>
      </c>
      <c r="B402">
        <v>583005622</v>
      </c>
      <c r="C402">
        <v>36539</v>
      </c>
      <c r="D402" t="s">
        <v>29</v>
      </c>
      <c r="E402" t="s">
        <v>270</v>
      </c>
      <c r="F402" t="s">
        <v>30</v>
      </c>
      <c r="G402" t="s">
        <v>31</v>
      </c>
      <c r="H402" t="s">
        <v>17</v>
      </c>
      <c r="I402" t="s">
        <v>18</v>
      </c>
      <c r="J402" t="s">
        <v>19</v>
      </c>
      <c r="K402">
        <v>135</v>
      </c>
      <c r="L402">
        <v>0</v>
      </c>
      <c r="M402" t="s">
        <v>20</v>
      </c>
    </row>
    <row r="403" spans="1:13" x14ac:dyDescent="0.35">
      <c r="A403">
        <v>402</v>
      </c>
      <c r="B403">
        <v>583005559</v>
      </c>
      <c r="C403">
        <v>36453</v>
      </c>
      <c r="D403" t="s">
        <v>21</v>
      </c>
      <c r="E403" t="s">
        <v>270</v>
      </c>
      <c r="F403" t="s">
        <v>22</v>
      </c>
      <c r="G403" t="s">
        <v>23</v>
      </c>
      <c r="H403" t="s">
        <v>17</v>
      </c>
      <c r="I403" t="s">
        <v>90</v>
      </c>
      <c r="J403" t="s">
        <v>74</v>
      </c>
      <c r="K403">
        <v>46</v>
      </c>
      <c r="L403">
        <v>0</v>
      </c>
      <c r="M403" t="s">
        <v>20</v>
      </c>
    </row>
    <row r="404" spans="1:13" x14ac:dyDescent="0.35">
      <c r="A404">
        <v>403</v>
      </c>
      <c r="B404">
        <v>583005567</v>
      </c>
      <c r="C404">
        <v>36467</v>
      </c>
      <c r="D404" t="s">
        <v>101</v>
      </c>
      <c r="E404" t="s">
        <v>270</v>
      </c>
      <c r="F404" t="s">
        <v>102</v>
      </c>
      <c r="G404" t="s">
        <v>103</v>
      </c>
      <c r="H404" t="s">
        <v>17</v>
      </c>
      <c r="I404" t="s">
        <v>135</v>
      </c>
      <c r="J404" t="s">
        <v>19</v>
      </c>
      <c r="K404">
        <v>517.5</v>
      </c>
      <c r="L404">
        <v>0</v>
      </c>
      <c r="M404" t="s">
        <v>20</v>
      </c>
    </row>
    <row r="405" spans="1:13" x14ac:dyDescent="0.35">
      <c r="A405">
        <v>404</v>
      </c>
      <c r="B405">
        <v>583005571</v>
      </c>
      <c r="C405">
        <v>36472</v>
      </c>
      <c r="D405" t="s">
        <v>101</v>
      </c>
      <c r="E405" t="s">
        <v>270</v>
      </c>
      <c r="F405" t="s">
        <v>102</v>
      </c>
      <c r="G405" t="s">
        <v>103</v>
      </c>
      <c r="H405" t="s">
        <v>17</v>
      </c>
      <c r="I405" t="s">
        <v>63</v>
      </c>
      <c r="J405" t="s">
        <v>64</v>
      </c>
      <c r="K405">
        <v>224</v>
      </c>
      <c r="L405">
        <v>396.48</v>
      </c>
      <c r="M405" t="s">
        <v>20</v>
      </c>
    </row>
    <row r="406" spans="1:13" x14ac:dyDescent="0.35">
      <c r="A406">
        <v>405</v>
      </c>
      <c r="B406">
        <v>583005577</v>
      </c>
      <c r="C406">
        <v>36478</v>
      </c>
      <c r="D406" t="s">
        <v>283</v>
      </c>
      <c r="E406" t="s">
        <v>270</v>
      </c>
      <c r="F406" t="s">
        <v>284</v>
      </c>
      <c r="G406" t="s">
        <v>285</v>
      </c>
      <c r="H406" t="s">
        <v>17</v>
      </c>
      <c r="I406" t="s">
        <v>18</v>
      </c>
      <c r="J406" t="s">
        <v>19</v>
      </c>
      <c r="K406">
        <v>57</v>
      </c>
      <c r="L406">
        <v>0</v>
      </c>
      <c r="M406" t="s">
        <v>20</v>
      </c>
    </row>
    <row r="407" spans="1:13" x14ac:dyDescent="0.35">
      <c r="A407">
        <v>406</v>
      </c>
      <c r="B407">
        <v>583005573</v>
      </c>
      <c r="C407">
        <v>36474</v>
      </c>
      <c r="D407" t="s">
        <v>253</v>
      </c>
      <c r="E407" t="s">
        <v>270</v>
      </c>
      <c r="F407" t="s">
        <v>255</v>
      </c>
      <c r="G407" t="s">
        <v>256</v>
      </c>
      <c r="H407" t="s">
        <v>17</v>
      </c>
      <c r="I407" t="s">
        <v>18</v>
      </c>
      <c r="J407" t="s">
        <v>19</v>
      </c>
      <c r="K407">
        <v>225</v>
      </c>
      <c r="L407">
        <v>0</v>
      </c>
      <c r="M407" t="s">
        <v>20</v>
      </c>
    </row>
    <row r="408" spans="1:13" x14ac:dyDescent="0.35">
      <c r="A408">
        <v>407</v>
      </c>
      <c r="B408">
        <v>583005598</v>
      </c>
      <c r="C408">
        <v>36510</v>
      </c>
      <c r="D408" t="s">
        <v>271</v>
      </c>
      <c r="E408" t="s">
        <v>270</v>
      </c>
      <c r="F408" t="s">
        <v>272</v>
      </c>
      <c r="G408" t="s">
        <v>273</v>
      </c>
      <c r="H408" t="s">
        <v>17</v>
      </c>
      <c r="I408" t="s">
        <v>18</v>
      </c>
      <c r="J408" t="s">
        <v>19</v>
      </c>
      <c r="K408">
        <v>39</v>
      </c>
      <c r="L408">
        <v>0</v>
      </c>
      <c r="M408" t="s">
        <v>20</v>
      </c>
    </row>
    <row r="409" spans="1:13" x14ac:dyDescent="0.35">
      <c r="A409">
        <v>408</v>
      </c>
      <c r="B409">
        <v>583005581</v>
      </c>
      <c r="C409">
        <v>36483</v>
      </c>
      <c r="D409" t="s">
        <v>286</v>
      </c>
      <c r="E409" t="s">
        <v>270</v>
      </c>
      <c r="F409" t="s">
        <v>287</v>
      </c>
      <c r="G409" t="s">
        <v>288</v>
      </c>
      <c r="H409" t="s">
        <v>17</v>
      </c>
      <c r="I409" t="s">
        <v>18</v>
      </c>
      <c r="J409" t="s">
        <v>19</v>
      </c>
      <c r="K409">
        <v>120</v>
      </c>
      <c r="L409">
        <v>0</v>
      </c>
      <c r="M409" t="s">
        <v>20</v>
      </c>
    </row>
    <row r="410" spans="1:13" x14ac:dyDescent="0.35">
      <c r="A410">
        <v>409</v>
      </c>
      <c r="B410">
        <v>583005578</v>
      </c>
      <c r="C410">
        <v>36480</v>
      </c>
      <c r="D410" t="s">
        <v>101</v>
      </c>
      <c r="E410" t="s">
        <v>270</v>
      </c>
      <c r="F410" t="s">
        <v>102</v>
      </c>
      <c r="G410" t="s">
        <v>103</v>
      </c>
      <c r="H410" t="s">
        <v>17</v>
      </c>
      <c r="I410" t="s">
        <v>24</v>
      </c>
      <c r="J410" t="s">
        <v>25</v>
      </c>
      <c r="K410">
        <v>2</v>
      </c>
      <c r="L410">
        <v>0</v>
      </c>
      <c r="M410" t="s">
        <v>20</v>
      </c>
    </row>
    <row r="411" spans="1:13" x14ac:dyDescent="0.35">
      <c r="A411">
        <v>410</v>
      </c>
      <c r="B411">
        <v>583005589</v>
      </c>
      <c r="C411">
        <v>36500</v>
      </c>
      <c r="D411" t="s">
        <v>289</v>
      </c>
      <c r="E411" t="s">
        <v>270</v>
      </c>
      <c r="F411" t="s">
        <v>290</v>
      </c>
      <c r="G411" t="s">
        <v>291</v>
      </c>
      <c r="H411" t="s">
        <v>17</v>
      </c>
      <c r="I411" t="s">
        <v>18</v>
      </c>
      <c r="J411" t="s">
        <v>19</v>
      </c>
      <c r="K411">
        <v>1026</v>
      </c>
      <c r="L411">
        <v>0</v>
      </c>
      <c r="M411" t="s">
        <v>20</v>
      </c>
    </row>
    <row r="412" spans="1:13" x14ac:dyDescent="0.35">
      <c r="A412">
        <v>411</v>
      </c>
      <c r="B412">
        <v>583005589</v>
      </c>
      <c r="C412">
        <v>36500</v>
      </c>
      <c r="D412" t="s">
        <v>289</v>
      </c>
      <c r="E412" t="s">
        <v>270</v>
      </c>
      <c r="F412" t="s">
        <v>290</v>
      </c>
      <c r="G412" t="s">
        <v>291</v>
      </c>
      <c r="H412" t="s">
        <v>17</v>
      </c>
      <c r="I412" t="s">
        <v>18</v>
      </c>
      <c r="J412" t="s">
        <v>19</v>
      </c>
      <c r="K412">
        <v>2727</v>
      </c>
      <c r="L412">
        <v>0</v>
      </c>
      <c r="M412" t="s">
        <v>20</v>
      </c>
    </row>
    <row r="413" spans="1:13" x14ac:dyDescent="0.35">
      <c r="A413">
        <v>412</v>
      </c>
      <c r="B413">
        <v>583005581</v>
      </c>
      <c r="C413">
        <v>36483</v>
      </c>
      <c r="D413" t="s">
        <v>286</v>
      </c>
      <c r="E413" t="s">
        <v>270</v>
      </c>
      <c r="F413" t="s">
        <v>287</v>
      </c>
      <c r="G413" t="s">
        <v>288</v>
      </c>
      <c r="H413" t="s">
        <v>17</v>
      </c>
      <c r="I413" t="s">
        <v>18</v>
      </c>
      <c r="J413" t="s">
        <v>19</v>
      </c>
      <c r="K413">
        <v>1398</v>
      </c>
      <c r="L413">
        <v>0</v>
      </c>
      <c r="M413" t="s">
        <v>20</v>
      </c>
    </row>
    <row r="414" spans="1:13" x14ac:dyDescent="0.35">
      <c r="A414">
        <v>413</v>
      </c>
      <c r="B414">
        <v>583005623</v>
      </c>
      <c r="C414">
        <v>36540</v>
      </c>
      <c r="D414" t="s">
        <v>65</v>
      </c>
      <c r="E414" t="s">
        <v>270</v>
      </c>
      <c r="F414" t="s">
        <v>66</v>
      </c>
      <c r="G414" t="s">
        <v>67</v>
      </c>
      <c r="H414" t="s">
        <v>17</v>
      </c>
      <c r="I414" t="s">
        <v>18</v>
      </c>
      <c r="J414" t="s">
        <v>19</v>
      </c>
      <c r="K414">
        <v>6</v>
      </c>
      <c r="L414">
        <v>0</v>
      </c>
      <c r="M414" t="s">
        <v>20</v>
      </c>
    </row>
    <row r="415" spans="1:13" x14ac:dyDescent="0.35">
      <c r="A415">
        <v>414</v>
      </c>
      <c r="B415">
        <v>583005575</v>
      </c>
      <c r="C415">
        <v>36476</v>
      </c>
      <c r="D415" t="s">
        <v>253</v>
      </c>
      <c r="E415" t="s">
        <v>270</v>
      </c>
      <c r="F415" t="s">
        <v>255</v>
      </c>
      <c r="G415" t="s">
        <v>256</v>
      </c>
      <c r="H415" t="s">
        <v>17</v>
      </c>
      <c r="I415" t="s">
        <v>18</v>
      </c>
      <c r="J415" t="s">
        <v>19</v>
      </c>
      <c r="K415">
        <v>225</v>
      </c>
      <c r="L415">
        <v>0</v>
      </c>
      <c r="M415" t="s">
        <v>20</v>
      </c>
    </row>
    <row r="416" spans="1:13" x14ac:dyDescent="0.35">
      <c r="A416">
        <v>415</v>
      </c>
      <c r="B416">
        <v>583005581</v>
      </c>
      <c r="C416">
        <v>36483</v>
      </c>
      <c r="D416" t="s">
        <v>286</v>
      </c>
      <c r="E416" t="s">
        <v>270</v>
      </c>
      <c r="F416" t="s">
        <v>287</v>
      </c>
      <c r="G416" t="s">
        <v>288</v>
      </c>
      <c r="H416" t="s">
        <v>17</v>
      </c>
      <c r="I416" t="s">
        <v>18</v>
      </c>
      <c r="J416" t="s">
        <v>19</v>
      </c>
      <c r="K416">
        <v>135</v>
      </c>
      <c r="L416">
        <v>0</v>
      </c>
      <c r="M416" t="s">
        <v>20</v>
      </c>
    </row>
    <row r="417" spans="1:13" x14ac:dyDescent="0.35">
      <c r="A417">
        <v>416</v>
      </c>
      <c r="B417">
        <v>583005579</v>
      </c>
      <c r="C417">
        <v>36481</v>
      </c>
      <c r="D417" t="s">
        <v>165</v>
      </c>
      <c r="E417" t="s">
        <v>270</v>
      </c>
      <c r="F417" t="s">
        <v>166</v>
      </c>
      <c r="G417" t="s">
        <v>167</v>
      </c>
      <c r="H417" t="s">
        <v>17</v>
      </c>
      <c r="I417" t="s">
        <v>18</v>
      </c>
      <c r="J417" t="s">
        <v>19</v>
      </c>
      <c r="K417">
        <v>45</v>
      </c>
      <c r="L417">
        <v>0</v>
      </c>
      <c r="M417" t="s">
        <v>20</v>
      </c>
    </row>
    <row r="418" spans="1:13" x14ac:dyDescent="0.35">
      <c r="A418">
        <v>417</v>
      </c>
      <c r="B418">
        <v>583005589</v>
      </c>
      <c r="C418">
        <v>36500</v>
      </c>
      <c r="D418" t="s">
        <v>289</v>
      </c>
      <c r="E418" t="s">
        <v>270</v>
      </c>
      <c r="F418" t="s">
        <v>290</v>
      </c>
      <c r="G418" t="s">
        <v>291</v>
      </c>
      <c r="H418" t="s">
        <v>17</v>
      </c>
      <c r="I418" t="s">
        <v>18</v>
      </c>
      <c r="J418" t="s">
        <v>19</v>
      </c>
      <c r="K418">
        <v>33</v>
      </c>
      <c r="L418">
        <v>0</v>
      </c>
      <c r="M418" t="s">
        <v>20</v>
      </c>
    </row>
    <row r="419" spans="1:13" x14ac:dyDescent="0.35">
      <c r="A419">
        <v>418</v>
      </c>
      <c r="B419">
        <v>583005582</v>
      </c>
      <c r="C419">
        <v>36484</v>
      </c>
      <c r="D419" t="s">
        <v>286</v>
      </c>
      <c r="E419" t="s">
        <v>270</v>
      </c>
      <c r="F419" t="s">
        <v>287</v>
      </c>
      <c r="G419" t="s">
        <v>288</v>
      </c>
      <c r="H419" t="s">
        <v>17</v>
      </c>
      <c r="I419" t="s">
        <v>35</v>
      </c>
      <c r="J419" t="s">
        <v>25</v>
      </c>
      <c r="K419">
        <v>5</v>
      </c>
      <c r="L419">
        <v>0</v>
      </c>
      <c r="M419" t="s">
        <v>20</v>
      </c>
    </row>
    <row r="420" spans="1:13" x14ac:dyDescent="0.35">
      <c r="A420">
        <v>419</v>
      </c>
      <c r="B420">
        <v>583005589</v>
      </c>
      <c r="C420">
        <v>36500</v>
      </c>
      <c r="D420" t="s">
        <v>289</v>
      </c>
      <c r="E420" t="s">
        <v>270</v>
      </c>
      <c r="F420" t="s">
        <v>290</v>
      </c>
      <c r="G420" t="s">
        <v>291</v>
      </c>
      <c r="H420" t="s">
        <v>17</v>
      </c>
      <c r="I420" t="s">
        <v>18</v>
      </c>
      <c r="J420" t="s">
        <v>19</v>
      </c>
      <c r="K420">
        <v>33</v>
      </c>
      <c r="L420">
        <v>0</v>
      </c>
      <c r="M420" t="s">
        <v>20</v>
      </c>
    </row>
    <row r="421" spans="1:13" x14ac:dyDescent="0.35">
      <c r="A421">
        <v>420</v>
      </c>
      <c r="B421">
        <v>583005656</v>
      </c>
      <c r="C421">
        <v>36592</v>
      </c>
      <c r="D421" t="s">
        <v>29</v>
      </c>
      <c r="E421" t="s">
        <v>292</v>
      </c>
      <c r="F421" t="s">
        <v>30</v>
      </c>
      <c r="G421" t="s">
        <v>31</v>
      </c>
      <c r="H421" t="s">
        <v>17</v>
      </c>
      <c r="I421" t="s">
        <v>18</v>
      </c>
      <c r="J421" t="s">
        <v>19</v>
      </c>
      <c r="K421">
        <v>3336</v>
      </c>
      <c r="L421">
        <v>0</v>
      </c>
      <c r="M421" t="s">
        <v>20</v>
      </c>
    </row>
    <row r="422" spans="1:13" x14ac:dyDescent="0.35">
      <c r="A422">
        <v>421</v>
      </c>
      <c r="B422">
        <v>583005656</v>
      </c>
      <c r="C422">
        <v>36592</v>
      </c>
      <c r="D422" t="s">
        <v>29</v>
      </c>
      <c r="E422" t="s">
        <v>292</v>
      </c>
      <c r="F422" t="s">
        <v>30</v>
      </c>
      <c r="G422" t="s">
        <v>31</v>
      </c>
      <c r="H422" t="s">
        <v>17</v>
      </c>
      <c r="I422" t="s">
        <v>18</v>
      </c>
      <c r="J422" t="s">
        <v>19</v>
      </c>
      <c r="K422">
        <v>228</v>
      </c>
      <c r="L422">
        <v>0</v>
      </c>
      <c r="M422" t="s">
        <v>20</v>
      </c>
    </row>
    <row r="423" spans="1:13" x14ac:dyDescent="0.35">
      <c r="A423">
        <v>422</v>
      </c>
      <c r="B423">
        <v>583005656</v>
      </c>
      <c r="C423">
        <v>36592</v>
      </c>
      <c r="D423" t="s">
        <v>29</v>
      </c>
      <c r="E423" t="s">
        <v>292</v>
      </c>
      <c r="F423" t="s">
        <v>30</v>
      </c>
      <c r="G423" t="s">
        <v>31</v>
      </c>
      <c r="H423" t="s">
        <v>17</v>
      </c>
      <c r="I423" t="s">
        <v>18</v>
      </c>
      <c r="J423" t="s">
        <v>19</v>
      </c>
      <c r="K423">
        <v>435</v>
      </c>
      <c r="L423">
        <v>0</v>
      </c>
      <c r="M423" t="s">
        <v>20</v>
      </c>
    </row>
    <row r="424" spans="1:13" x14ac:dyDescent="0.35">
      <c r="A424">
        <v>423</v>
      </c>
      <c r="B424">
        <v>583005666</v>
      </c>
      <c r="C424">
        <v>36605</v>
      </c>
      <c r="D424" t="s">
        <v>223</v>
      </c>
      <c r="E424" t="s">
        <v>292</v>
      </c>
      <c r="F424" t="s">
        <v>224</v>
      </c>
      <c r="G424" t="s">
        <v>225</v>
      </c>
      <c r="H424" t="s">
        <v>17</v>
      </c>
      <c r="I424" t="s">
        <v>18</v>
      </c>
      <c r="J424" t="s">
        <v>19</v>
      </c>
      <c r="K424">
        <v>186</v>
      </c>
      <c r="L424">
        <v>0</v>
      </c>
      <c r="M424" t="s">
        <v>20</v>
      </c>
    </row>
    <row r="425" spans="1:13" x14ac:dyDescent="0.35">
      <c r="A425">
        <v>424</v>
      </c>
      <c r="B425">
        <v>583005670</v>
      </c>
      <c r="C425">
        <v>36609</v>
      </c>
      <c r="D425" t="s">
        <v>231</v>
      </c>
      <c r="E425" t="s">
        <v>292</v>
      </c>
      <c r="F425" t="s">
        <v>232</v>
      </c>
      <c r="G425" t="s">
        <v>233</v>
      </c>
      <c r="H425" t="s">
        <v>17</v>
      </c>
      <c r="I425" t="s">
        <v>18</v>
      </c>
      <c r="J425" t="s">
        <v>19</v>
      </c>
      <c r="K425">
        <v>3</v>
      </c>
      <c r="L425">
        <v>0</v>
      </c>
      <c r="M425" t="s">
        <v>20</v>
      </c>
    </row>
    <row r="426" spans="1:13" x14ac:dyDescent="0.35">
      <c r="A426">
        <v>425</v>
      </c>
      <c r="B426">
        <v>583005666</v>
      </c>
      <c r="C426">
        <v>36605</v>
      </c>
      <c r="D426" t="s">
        <v>223</v>
      </c>
      <c r="E426" t="s">
        <v>292</v>
      </c>
      <c r="F426" t="s">
        <v>224</v>
      </c>
      <c r="G426" t="s">
        <v>225</v>
      </c>
      <c r="H426" t="s">
        <v>17</v>
      </c>
      <c r="I426" t="s">
        <v>18</v>
      </c>
      <c r="J426" t="s">
        <v>19</v>
      </c>
      <c r="K426">
        <v>2688</v>
      </c>
      <c r="L426">
        <v>0</v>
      </c>
      <c r="M426" t="s">
        <v>20</v>
      </c>
    </row>
    <row r="427" spans="1:13" x14ac:dyDescent="0.35">
      <c r="A427">
        <v>426</v>
      </c>
      <c r="B427">
        <v>583005666</v>
      </c>
      <c r="C427">
        <v>36605</v>
      </c>
      <c r="D427" t="s">
        <v>223</v>
      </c>
      <c r="E427" t="s">
        <v>292</v>
      </c>
      <c r="F427" t="s">
        <v>224</v>
      </c>
      <c r="G427" t="s">
        <v>225</v>
      </c>
      <c r="H427" t="s">
        <v>17</v>
      </c>
      <c r="I427" t="s">
        <v>18</v>
      </c>
      <c r="J427" t="s">
        <v>19</v>
      </c>
      <c r="K427">
        <v>870</v>
      </c>
      <c r="L427">
        <v>0</v>
      </c>
      <c r="M427" t="s">
        <v>20</v>
      </c>
    </row>
    <row r="428" spans="1:13" x14ac:dyDescent="0.35">
      <c r="A428">
        <v>427</v>
      </c>
      <c r="B428">
        <v>583005668</v>
      </c>
      <c r="C428">
        <v>36607</v>
      </c>
      <c r="D428" t="s">
        <v>231</v>
      </c>
      <c r="E428" t="s">
        <v>292</v>
      </c>
      <c r="F428" t="s">
        <v>232</v>
      </c>
      <c r="G428" t="s">
        <v>233</v>
      </c>
      <c r="H428" t="s">
        <v>17</v>
      </c>
      <c r="I428" t="s">
        <v>18</v>
      </c>
      <c r="J428" t="s">
        <v>19</v>
      </c>
      <c r="K428">
        <v>45</v>
      </c>
      <c r="L428">
        <v>0</v>
      </c>
      <c r="M428" t="s">
        <v>20</v>
      </c>
    </row>
    <row r="429" spans="1:13" x14ac:dyDescent="0.35">
      <c r="A429">
        <v>428</v>
      </c>
      <c r="B429">
        <v>583005668</v>
      </c>
      <c r="C429">
        <v>36607</v>
      </c>
      <c r="D429" t="s">
        <v>231</v>
      </c>
      <c r="E429" t="s">
        <v>292</v>
      </c>
      <c r="F429" t="s">
        <v>232</v>
      </c>
      <c r="G429" t="s">
        <v>233</v>
      </c>
      <c r="H429" t="s">
        <v>17</v>
      </c>
      <c r="I429" t="s">
        <v>18</v>
      </c>
      <c r="J429" t="s">
        <v>19</v>
      </c>
      <c r="K429">
        <v>864</v>
      </c>
      <c r="L429">
        <v>0</v>
      </c>
      <c r="M429" t="s">
        <v>20</v>
      </c>
    </row>
    <row r="430" spans="1:13" x14ac:dyDescent="0.35">
      <c r="A430">
        <v>429</v>
      </c>
      <c r="B430">
        <v>583005665</v>
      </c>
      <c r="C430">
        <v>36604</v>
      </c>
      <c r="D430" t="s">
        <v>92</v>
      </c>
      <c r="E430" t="s">
        <v>292</v>
      </c>
      <c r="F430" t="s">
        <v>93</v>
      </c>
      <c r="G430" t="s">
        <v>94</v>
      </c>
      <c r="H430" t="s">
        <v>17</v>
      </c>
      <c r="I430" t="s">
        <v>135</v>
      </c>
      <c r="J430" t="s">
        <v>19</v>
      </c>
      <c r="K430">
        <v>780</v>
      </c>
      <c r="L430">
        <v>0</v>
      </c>
      <c r="M430" t="s">
        <v>20</v>
      </c>
    </row>
    <row r="431" spans="1:13" x14ac:dyDescent="0.35">
      <c r="A431">
        <v>430</v>
      </c>
      <c r="B431">
        <v>583005664</v>
      </c>
      <c r="C431">
        <v>36603</v>
      </c>
      <c r="D431" t="s">
        <v>92</v>
      </c>
      <c r="E431" t="s">
        <v>292</v>
      </c>
      <c r="F431" t="s">
        <v>93</v>
      </c>
      <c r="G431" t="s">
        <v>94</v>
      </c>
      <c r="H431" t="s">
        <v>17</v>
      </c>
      <c r="I431" t="s">
        <v>18</v>
      </c>
      <c r="J431" t="s">
        <v>19</v>
      </c>
      <c r="K431">
        <v>564</v>
      </c>
      <c r="L431">
        <v>0</v>
      </c>
      <c r="M431" t="s">
        <v>20</v>
      </c>
    </row>
    <row r="432" spans="1:13" x14ac:dyDescent="0.35">
      <c r="A432">
        <v>431</v>
      </c>
      <c r="B432">
        <v>583005664</v>
      </c>
      <c r="C432">
        <v>36603</v>
      </c>
      <c r="D432" t="s">
        <v>92</v>
      </c>
      <c r="E432" t="s">
        <v>292</v>
      </c>
      <c r="F432" t="s">
        <v>93</v>
      </c>
      <c r="G432" t="s">
        <v>94</v>
      </c>
      <c r="H432" t="s">
        <v>17</v>
      </c>
      <c r="I432" t="s">
        <v>18</v>
      </c>
      <c r="J432" t="s">
        <v>19</v>
      </c>
      <c r="K432">
        <v>135</v>
      </c>
      <c r="L432">
        <v>0</v>
      </c>
      <c r="M432" t="s">
        <v>20</v>
      </c>
    </row>
    <row r="433" spans="1:13" x14ac:dyDescent="0.35">
      <c r="A433">
        <v>432</v>
      </c>
      <c r="B433">
        <v>583005664</v>
      </c>
      <c r="C433">
        <v>36603</v>
      </c>
      <c r="D433" t="s">
        <v>92</v>
      </c>
      <c r="E433" t="s">
        <v>292</v>
      </c>
      <c r="F433" t="s">
        <v>93</v>
      </c>
      <c r="G433" t="s">
        <v>94</v>
      </c>
      <c r="H433" t="s">
        <v>17</v>
      </c>
      <c r="I433" t="s">
        <v>18</v>
      </c>
      <c r="J433" t="s">
        <v>19</v>
      </c>
      <c r="K433">
        <v>333</v>
      </c>
      <c r="L433">
        <v>0</v>
      </c>
      <c r="M433" t="s">
        <v>20</v>
      </c>
    </row>
    <row r="434" spans="1:13" x14ac:dyDescent="0.35">
      <c r="A434">
        <v>433</v>
      </c>
      <c r="B434">
        <v>583005643</v>
      </c>
      <c r="C434">
        <v>36573</v>
      </c>
      <c r="D434" t="s">
        <v>125</v>
      </c>
      <c r="E434" t="s">
        <v>292</v>
      </c>
      <c r="F434" t="s">
        <v>127</v>
      </c>
      <c r="G434" t="s">
        <v>128</v>
      </c>
      <c r="H434" t="s">
        <v>17</v>
      </c>
      <c r="I434" t="s">
        <v>18</v>
      </c>
      <c r="J434" t="s">
        <v>19</v>
      </c>
      <c r="K434">
        <v>801</v>
      </c>
      <c r="L434">
        <v>0</v>
      </c>
      <c r="M434" t="s">
        <v>20</v>
      </c>
    </row>
    <row r="435" spans="1:13" x14ac:dyDescent="0.35">
      <c r="A435">
        <v>434</v>
      </c>
      <c r="B435">
        <v>583005669</v>
      </c>
      <c r="C435">
        <v>36608</v>
      </c>
      <c r="D435" t="s">
        <v>231</v>
      </c>
      <c r="E435" t="s">
        <v>292</v>
      </c>
      <c r="F435" t="s">
        <v>232</v>
      </c>
      <c r="G435" t="s">
        <v>233</v>
      </c>
      <c r="H435" t="s">
        <v>17</v>
      </c>
      <c r="I435" t="s">
        <v>18</v>
      </c>
      <c r="J435" t="s">
        <v>19</v>
      </c>
      <c r="K435">
        <v>42</v>
      </c>
      <c r="L435">
        <v>0</v>
      </c>
      <c r="M435" t="s">
        <v>20</v>
      </c>
    </row>
    <row r="436" spans="1:13" x14ac:dyDescent="0.35">
      <c r="A436">
        <v>435</v>
      </c>
      <c r="B436">
        <v>583005667</v>
      </c>
      <c r="C436">
        <v>36606</v>
      </c>
      <c r="D436" t="s">
        <v>223</v>
      </c>
      <c r="E436" t="s">
        <v>292</v>
      </c>
      <c r="F436" t="s">
        <v>224</v>
      </c>
      <c r="G436" t="s">
        <v>225</v>
      </c>
      <c r="H436" t="s">
        <v>17</v>
      </c>
      <c r="I436" t="s">
        <v>51</v>
      </c>
      <c r="J436" t="s">
        <v>52</v>
      </c>
      <c r="K436">
        <v>108.8</v>
      </c>
      <c r="L436">
        <v>0</v>
      </c>
      <c r="M436" t="s">
        <v>20</v>
      </c>
    </row>
    <row r="437" spans="1:13" x14ac:dyDescent="0.35">
      <c r="A437">
        <v>436</v>
      </c>
      <c r="B437">
        <v>583005643</v>
      </c>
      <c r="C437">
        <v>36573</v>
      </c>
      <c r="D437" t="s">
        <v>125</v>
      </c>
      <c r="E437" t="s">
        <v>292</v>
      </c>
      <c r="F437" t="s">
        <v>127</v>
      </c>
      <c r="G437" t="s">
        <v>128</v>
      </c>
      <c r="H437" t="s">
        <v>17</v>
      </c>
      <c r="I437" t="s">
        <v>18</v>
      </c>
      <c r="J437" t="s">
        <v>19</v>
      </c>
      <c r="K437">
        <v>3204</v>
      </c>
      <c r="L437">
        <v>0</v>
      </c>
      <c r="M437" t="s">
        <v>20</v>
      </c>
    </row>
    <row r="438" spans="1:13" x14ac:dyDescent="0.35">
      <c r="A438">
        <v>437</v>
      </c>
      <c r="B438">
        <v>583005632</v>
      </c>
      <c r="C438">
        <v>36551</v>
      </c>
      <c r="D438" t="s">
        <v>98</v>
      </c>
      <c r="E438" t="s">
        <v>292</v>
      </c>
      <c r="F438" t="s">
        <v>99</v>
      </c>
      <c r="G438" t="s">
        <v>100</v>
      </c>
      <c r="H438" t="s">
        <v>17</v>
      </c>
      <c r="I438" t="s">
        <v>18</v>
      </c>
      <c r="J438" t="s">
        <v>19</v>
      </c>
      <c r="K438">
        <v>9</v>
      </c>
      <c r="L438">
        <v>0</v>
      </c>
      <c r="M438" t="s">
        <v>20</v>
      </c>
    </row>
    <row r="439" spans="1:13" x14ac:dyDescent="0.35">
      <c r="A439">
        <v>438</v>
      </c>
      <c r="B439">
        <v>583005630</v>
      </c>
      <c r="C439">
        <v>36548</v>
      </c>
      <c r="D439" t="s">
        <v>21</v>
      </c>
      <c r="E439" t="s">
        <v>292</v>
      </c>
      <c r="F439" t="s">
        <v>22</v>
      </c>
      <c r="G439" t="s">
        <v>23</v>
      </c>
      <c r="H439" t="s">
        <v>17</v>
      </c>
      <c r="I439" t="s">
        <v>24</v>
      </c>
      <c r="J439" t="s">
        <v>25</v>
      </c>
      <c r="K439">
        <v>50</v>
      </c>
      <c r="L439">
        <v>0</v>
      </c>
      <c r="M439" t="s">
        <v>20</v>
      </c>
    </row>
    <row r="440" spans="1:13" x14ac:dyDescent="0.35">
      <c r="A440">
        <v>439</v>
      </c>
      <c r="B440">
        <v>583005636</v>
      </c>
      <c r="C440">
        <v>36559</v>
      </c>
      <c r="D440" t="s">
        <v>65</v>
      </c>
      <c r="E440" t="s">
        <v>292</v>
      </c>
      <c r="F440" t="s">
        <v>66</v>
      </c>
      <c r="G440" t="s">
        <v>67</v>
      </c>
      <c r="H440" t="s">
        <v>17</v>
      </c>
      <c r="I440" t="s">
        <v>88</v>
      </c>
      <c r="J440" t="s">
        <v>19</v>
      </c>
      <c r="K440">
        <v>13.2</v>
      </c>
      <c r="L440">
        <v>0</v>
      </c>
      <c r="M440" t="s">
        <v>20</v>
      </c>
    </row>
    <row r="441" spans="1:13" x14ac:dyDescent="0.35">
      <c r="A441">
        <v>440</v>
      </c>
      <c r="B441">
        <v>583005635</v>
      </c>
      <c r="C441">
        <v>36556</v>
      </c>
      <c r="D441" t="s">
        <v>39</v>
      </c>
      <c r="E441" t="s">
        <v>292</v>
      </c>
      <c r="F441" t="s">
        <v>40</v>
      </c>
      <c r="G441" t="s">
        <v>41</v>
      </c>
      <c r="H441" t="s">
        <v>17</v>
      </c>
      <c r="I441" t="s">
        <v>63</v>
      </c>
      <c r="J441" t="s">
        <v>64</v>
      </c>
      <c r="K441">
        <v>29</v>
      </c>
      <c r="L441">
        <v>51.33</v>
      </c>
      <c r="M441" t="s">
        <v>20</v>
      </c>
    </row>
    <row r="442" spans="1:13" x14ac:dyDescent="0.35">
      <c r="A442">
        <v>441</v>
      </c>
      <c r="B442">
        <v>583005639</v>
      </c>
      <c r="C442">
        <v>36565</v>
      </c>
      <c r="D442" t="s">
        <v>39</v>
      </c>
      <c r="E442" t="s">
        <v>292</v>
      </c>
      <c r="F442" t="s">
        <v>40</v>
      </c>
      <c r="G442" t="s">
        <v>41</v>
      </c>
      <c r="H442" t="s">
        <v>17</v>
      </c>
      <c r="I442" t="s">
        <v>63</v>
      </c>
      <c r="J442" t="s">
        <v>64</v>
      </c>
      <c r="K442">
        <v>48</v>
      </c>
      <c r="L442">
        <v>79.2</v>
      </c>
      <c r="M442" t="s">
        <v>20</v>
      </c>
    </row>
    <row r="443" spans="1:13" x14ac:dyDescent="0.35">
      <c r="A443">
        <v>442</v>
      </c>
      <c r="B443">
        <v>583005640</v>
      </c>
      <c r="C443">
        <v>36566</v>
      </c>
      <c r="D443" t="s">
        <v>39</v>
      </c>
      <c r="E443" t="s">
        <v>292</v>
      </c>
      <c r="F443" t="s">
        <v>40</v>
      </c>
      <c r="G443" t="s">
        <v>41</v>
      </c>
      <c r="H443" t="s">
        <v>17</v>
      </c>
      <c r="I443" t="s">
        <v>63</v>
      </c>
      <c r="J443" t="s">
        <v>64</v>
      </c>
      <c r="K443">
        <v>27</v>
      </c>
      <c r="L443">
        <v>47.79</v>
      </c>
      <c r="M443" t="s">
        <v>20</v>
      </c>
    </row>
    <row r="444" spans="1:13" x14ac:dyDescent="0.35">
      <c r="A444">
        <v>443</v>
      </c>
      <c r="B444">
        <v>583005629</v>
      </c>
      <c r="C444">
        <v>36547</v>
      </c>
      <c r="D444" t="s">
        <v>21</v>
      </c>
      <c r="E444" t="s">
        <v>292</v>
      </c>
      <c r="F444" t="s">
        <v>22</v>
      </c>
      <c r="G444" t="s">
        <v>23</v>
      </c>
      <c r="H444" t="s">
        <v>17</v>
      </c>
      <c r="I444" t="s">
        <v>135</v>
      </c>
      <c r="J444" t="s">
        <v>19</v>
      </c>
      <c r="K444">
        <v>300</v>
      </c>
      <c r="L444">
        <v>0</v>
      </c>
      <c r="M444" t="s">
        <v>20</v>
      </c>
    </row>
    <row r="445" spans="1:13" x14ac:dyDescent="0.35">
      <c r="A445">
        <v>444</v>
      </c>
      <c r="B445">
        <v>583005628</v>
      </c>
      <c r="C445">
        <v>36546</v>
      </c>
      <c r="D445" t="s">
        <v>21</v>
      </c>
      <c r="E445" t="s">
        <v>292</v>
      </c>
      <c r="F445" t="s">
        <v>22</v>
      </c>
      <c r="G445" t="s">
        <v>23</v>
      </c>
      <c r="H445" t="s">
        <v>17</v>
      </c>
      <c r="I445" t="s">
        <v>18</v>
      </c>
      <c r="J445" t="s">
        <v>19</v>
      </c>
      <c r="K445">
        <v>525</v>
      </c>
      <c r="L445">
        <v>0</v>
      </c>
      <c r="M445" t="s">
        <v>20</v>
      </c>
    </row>
    <row r="446" spans="1:13" x14ac:dyDescent="0.35">
      <c r="A446">
        <v>445</v>
      </c>
      <c r="B446">
        <v>583005628</v>
      </c>
      <c r="C446">
        <v>36546</v>
      </c>
      <c r="D446" t="s">
        <v>21</v>
      </c>
      <c r="E446" t="s">
        <v>292</v>
      </c>
      <c r="F446" t="s">
        <v>22</v>
      </c>
      <c r="G446" t="s">
        <v>23</v>
      </c>
      <c r="H446" t="s">
        <v>17</v>
      </c>
      <c r="I446" t="s">
        <v>18</v>
      </c>
      <c r="J446" t="s">
        <v>19</v>
      </c>
      <c r="K446">
        <v>504</v>
      </c>
      <c r="L446">
        <v>0</v>
      </c>
      <c r="M446" t="s">
        <v>20</v>
      </c>
    </row>
    <row r="447" spans="1:13" x14ac:dyDescent="0.35">
      <c r="A447">
        <v>446</v>
      </c>
      <c r="B447">
        <v>583005628</v>
      </c>
      <c r="C447">
        <v>36546</v>
      </c>
      <c r="D447" t="s">
        <v>21</v>
      </c>
      <c r="E447" t="s">
        <v>292</v>
      </c>
      <c r="F447" t="s">
        <v>22</v>
      </c>
      <c r="G447" t="s">
        <v>23</v>
      </c>
      <c r="H447" t="s">
        <v>17</v>
      </c>
      <c r="I447" t="s">
        <v>18</v>
      </c>
      <c r="J447" t="s">
        <v>19</v>
      </c>
      <c r="K447">
        <v>2430</v>
      </c>
      <c r="L447">
        <v>0</v>
      </c>
      <c r="M447" t="s">
        <v>20</v>
      </c>
    </row>
    <row r="448" spans="1:13" x14ac:dyDescent="0.35">
      <c r="A448">
        <v>447</v>
      </c>
      <c r="B448">
        <v>583005648</v>
      </c>
      <c r="C448">
        <v>36579</v>
      </c>
      <c r="D448" t="s">
        <v>21</v>
      </c>
      <c r="E448" t="s">
        <v>292</v>
      </c>
      <c r="F448" t="s">
        <v>22</v>
      </c>
      <c r="G448" t="s">
        <v>23</v>
      </c>
      <c r="H448" t="s">
        <v>17</v>
      </c>
      <c r="I448" t="s">
        <v>24</v>
      </c>
      <c r="J448" t="s">
        <v>25</v>
      </c>
      <c r="K448">
        <v>50</v>
      </c>
      <c r="L448">
        <v>0</v>
      </c>
      <c r="M448" t="s">
        <v>20</v>
      </c>
    </row>
    <row r="449" spans="1:13" x14ac:dyDescent="0.35">
      <c r="A449">
        <v>448</v>
      </c>
      <c r="B449">
        <v>583005646</v>
      </c>
      <c r="C449">
        <v>36577</v>
      </c>
      <c r="D449" t="s">
        <v>21</v>
      </c>
      <c r="E449" t="s">
        <v>292</v>
      </c>
      <c r="F449" t="s">
        <v>22</v>
      </c>
      <c r="G449" t="s">
        <v>23</v>
      </c>
      <c r="H449" t="s">
        <v>17</v>
      </c>
      <c r="I449" t="s">
        <v>18</v>
      </c>
      <c r="J449" t="s">
        <v>19</v>
      </c>
      <c r="K449">
        <v>3087</v>
      </c>
      <c r="L449">
        <v>0</v>
      </c>
      <c r="M449" t="s">
        <v>20</v>
      </c>
    </row>
    <row r="450" spans="1:13" x14ac:dyDescent="0.35">
      <c r="A450">
        <v>449</v>
      </c>
      <c r="B450">
        <v>583005646</v>
      </c>
      <c r="C450">
        <v>36577</v>
      </c>
      <c r="D450" t="s">
        <v>21</v>
      </c>
      <c r="E450" t="s">
        <v>292</v>
      </c>
      <c r="F450" t="s">
        <v>22</v>
      </c>
      <c r="G450" t="s">
        <v>23</v>
      </c>
      <c r="H450" t="s">
        <v>17</v>
      </c>
      <c r="I450" t="s">
        <v>18</v>
      </c>
      <c r="J450" t="s">
        <v>19</v>
      </c>
      <c r="K450">
        <v>591</v>
      </c>
      <c r="L450">
        <v>0</v>
      </c>
      <c r="M450" t="s">
        <v>20</v>
      </c>
    </row>
    <row r="451" spans="1:13" x14ac:dyDescent="0.35">
      <c r="A451">
        <v>450</v>
      </c>
      <c r="B451">
        <v>583005646</v>
      </c>
      <c r="C451">
        <v>36577</v>
      </c>
      <c r="D451" t="s">
        <v>21</v>
      </c>
      <c r="E451" t="s">
        <v>292</v>
      </c>
      <c r="F451" t="s">
        <v>22</v>
      </c>
      <c r="G451" t="s">
        <v>23</v>
      </c>
      <c r="H451" t="s">
        <v>17</v>
      </c>
      <c r="I451" t="s">
        <v>18</v>
      </c>
      <c r="J451" t="s">
        <v>19</v>
      </c>
      <c r="K451">
        <v>387</v>
      </c>
      <c r="L451">
        <v>0</v>
      </c>
      <c r="M451" t="s">
        <v>20</v>
      </c>
    </row>
    <row r="452" spans="1:13" x14ac:dyDescent="0.35">
      <c r="A452">
        <v>451</v>
      </c>
      <c r="B452">
        <v>583005645</v>
      </c>
      <c r="C452">
        <v>36575</v>
      </c>
      <c r="D452" t="s">
        <v>82</v>
      </c>
      <c r="E452" t="s">
        <v>292</v>
      </c>
      <c r="F452" t="s">
        <v>83</v>
      </c>
      <c r="G452" t="s">
        <v>84</v>
      </c>
      <c r="H452" t="s">
        <v>17</v>
      </c>
      <c r="I452" t="s">
        <v>91</v>
      </c>
      <c r="J452" t="s">
        <v>25</v>
      </c>
      <c r="K452">
        <v>480</v>
      </c>
      <c r="L452">
        <v>0</v>
      </c>
      <c r="M452" t="s">
        <v>20</v>
      </c>
    </row>
    <row r="453" spans="1:13" x14ac:dyDescent="0.35">
      <c r="A453">
        <v>452</v>
      </c>
      <c r="B453">
        <v>583005653</v>
      </c>
      <c r="C453">
        <v>36588</v>
      </c>
      <c r="D453" t="s">
        <v>293</v>
      </c>
      <c r="E453" t="s">
        <v>292</v>
      </c>
      <c r="F453" t="s">
        <v>294</v>
      </c>
      <c r="G453" t="s">
        <v>295</v>
      </c>
      <c r="H453" t="s">
        <v>17</v>
      </c>
      <c r="I453" t="s">
        <v>18</v>
      </c>
      <c r="J453" t="s">
        <v>19</v>
      </c>
      <c r="K453">
        <v>45</v>
      </c>
      <c r="L453">
        <v>0</v>
      </c>
      <c r="M453" t="s">
        <v>20</v>
      </c>
    </row>
    <row r="454" spans="1:13" x14ac:dyDescent="0.35">
      <c r="A454">
        <v>453</v>
      </c>
      <c r="B454">
        <v>583005653</v>
      </c>
      <c r="C454">
        <v>36588</v>
      </c>
      <c r="D454" t="s">
        <v>293</v>
      </c>
      <c r="E454" t="s">
        <v>292</v>
      </c>
      <c r="F454" t="s">
        <v>294</v>
      </c>
      <c r="G454" t="s">
        <v>295</v>
      </c>
      <c r="H454" t="s">
        <v>17</v>
      </c>
      <c r="I454" t="s">
        <v>18</v>
      </c>
      <c r="J454" t="s">
        <v>19</v>
      </c>
      <c r="K454">
        <v>45</v>
      </c>
      <c r="L454">
        <v>0</v>
      </c>
      <c r="M454" t="s">
        <v>20</v>
      </c>
    </row>
    <row r="455" spans="1:13" x14ac:dyDescent="0.35">
      <c r="A455">
        <v>454</v>
      </c>
      <c r="B455">
        <v>583005662</v>
      </c>
      <c r="C455">
        <v>36599</v>
      </c>
      <c r="D455" t="s">
        <v>21</v>
      </c>
      <c r="E455" t="s">
        <v>292</v>
      </c>
      <c r="F455" t="s">
        <v>22</v>
      </c>
      <c r="G455" t="s">
        <v>23</v>
      </c>
      <c r="H455" t="s">
        <v>17</v>
      </c>
      <c r="I455" t="s">
        <v>18</v>
      </c>
      <c r="J455" t="s">
        <v>19</v>
      </c>
      <c r="K455">
        <v>804</v>
      </c>
      <c r="L455">
        <v>0</v>
      </c>
      <c r="M455" t="s">
        <v>20</v>
      </c>
    </row>
    <row r="456" spans="1:13" x14ac:dyDescent="0.35">
      <c r="A456">
        <v>455</v>
      </c>
      <c r="B456">
        <v>583005662</v>
      </c>
      <c r="C456">
        <v>36599</v>
      </c>
      <c r="D456" t="s">
        <v>21</v>
      </c>
      <c r="E456" t="s">
        <v>292</v>
      </c>
      <c r="F456" t="s">
        <v>22</v>
      </c>
      <c r="G456" t="s">
        <v>23</v>
      </c>
      <c r="H456" t="s">
        <v>17</v>
      </c>
      <c r="I456" t="s">
        <v>18</v>
      </c>
      <c r="J456" t="s">
        <v>19</v>
      </c>
      <c r="K456">
        <v>669</v>
      </c>
      <c r="L456">
        <v>0</v>
      </c>
      <c r="M456" t="s">
        <v>20</v>
      </c>
    </row>
    <row r="457" spans="1:13" x14ac:dyDescent="0.35">
      <c r="A457">
        <v>456</v>
      </c>
      <c r="B457">
        <v>583005662</v>
      </c>
      <c r="C457">
        <v>36599</v>
      </c>
      <c r="D457" t="s">
        <v>21</v>
      </c>
      <c r="E457" t="s">
        <v>292</v>
      </c>
      <c r="F457" t="s">
        <v>22</v>
      </c>
      <c r="G457" t="s">
        <v>23</v>
      </c>
      <c r="H457" t="s">
        <v>17</v>
      </c>
      <c r="I457" t="s">
        <v>18</v>
      </c>
      <c r="J457" t="s">
        <v>19</v>
      </c>
      <c r="K457">
        <v>1872</v>
      </c>
      <c r="L457">
        <v>0</v>
      </c>
      <c r="M457" t="s">
        <v>20</v>
      </c>
    </row>
    <row r="458" spans="1:13" x14ac:dyDescent="0.35">
      <c r="A458">
        <v>457</v>
      </c>
      <c r="B458">
        <v>583005662</v>
      </c>
      <c r="C458">
        <v>36599</v>
      </c>
      <c r="D458" t="s">
        <v>21</v>
      </c>
      <c r="E458" t="s">
        <v>292</v>
      </c>
      <c r="F458" t="s">
        <v>22</v>
      </c>
      <c r="G458" t="s">
        <v>23</v>
      </c>
      <c r="H458" t="s">
        <v>17</v>
      </c>
      <c r="I458" t="s">
        <v>18</v>
      </c>
      <c r="J458" t="s">
        <v>19</v>
      </c>
      <c r="K458">
        <v>63</v>
      </c>
      <c r="L458">
        <v>0</v>
      </c>
      <c r="M458" t="s">
        <v>20</v>
      </c>
    </row>
    <row r="459" spans="1:13" x14ac:dyDescent="0.35">
      <c r="A459">
        <v>458</v>
      </c>
      <c r="B459">
        <v>583005675</v>
      </c>
      <c r="C459">
        <v>36617</v>
      </c>
      <c r="D459" t="s">
        <v>296</v>
      </c>
      <c r="E459" t="s">
        <v>297</v>
      </c>
      <c r="F459" t="s">
        <v>298</v>
      </c>
      <c r="G459" t="s">
        <v>299</v>
      </c>
      <c r="H459" t="s">
        <v>17</v>
      </c>
      <c r="I459" t="s">
        <v>18</v>
      </c>
      <c r="J459" t="s">
        <v>19</v>
      </c>
      <c r="K459">
        <v>963</v>
      </c>
      <c r="L459">
        <v>0</v>
      </c>
      <c r="M459" t="s">
        <v>20</v>
      </c>
    </row>
    <row r="460" spans="1:13" x14ac:dyDescent="0.35">
      <c r="A460">
        <v>459</v>
      </c>
      <c r="B460">
        <v>583005675</v>
      </c>
      <c r="C460">
        <v>36617</v>
      </c>
      <c r="D460" t="s">
        <v>296</v>
      </c>
      <c r="E460" t="s">
        <v>297</v>
      </c>
      <c r="F460" t="s">
        <v>298</v>
      </c>
      <c r="G460" t="s">
        <v>299</v>
      </c>
      <c r="H460" t="s">
        <v>17</v>
      </c>
      <c r="I460" t="s">
        <v>18</v>
      </c>
      <c r="J460" t="s">
        <v>19</v>
      </c>
      <c r="K460">
        <v>144</v>
      </c>
      <c r="L460">
        <v>0</v>
      </c>
      <c r="M460" t="s">
        <v>20</v>
      </c>
    </row>
    <row r="461" spans="1:13" x14ac:dyDescent="0.35">
      <c r="A461">
        <v>460</v>
      </c>
      <c r="B461">
        <v>583005676</v>
      </c>
      <c r="C461">
        <v>36618</v>
      </c>
      <c r="D461" t="s">
        <v>296</v>
      </c>
      <c r="E461" t="s">
        <v>297</v>
      </c>
      <c r="F461" t="s">
        <v>298</v>
      </c>
      <c r="G461" t="s">
        <v>299</v>
      </c>
      <c r="H461" t="s">
        <v>17</v>
      </c>
      <c r="I461" t="s">
        <v>135</v>
      </c>
      <c r="J461" t="s">
        <v>19</v>
      </c>
      <c r="K461">
        <v>780</v>
      </c>
      <c r="L461">
        <v>0</v>
      </c>
      <c r="M461" t="s">
        <v>20</v>
      </c>
    </row>
    <row r="462" spans="1:13" x14ac:dyDescent="0.35">
      <c r="A462">
        <v>461</v>
      </c>
      <c r="B462">
        <v>583005673</v>
      </c>
      <c r="C462">
        <v>36613</v>
      </c>
      <c r="D462" t="s">
        <v>82</v>
      </c>
      <c r="E462" t="s">
        <v>297</v>
      </c>
      <c r="F462" t="s">
        <v>83</v>
      </c>
      <c r="G462" t="s">
        <v>84</v>
      </c>
      <c r="H462" t="s">
        <v>17</v>
      </c>
      <c r="I462" t="s">
        <v>51</v>
      </c>
      <c r="J462" t="s">
        <v>52</v>
      </c>
      <c r="K462">
        <v>34</v>
      </c>
      <c r="L462">
        <v>0</v>
      </c>
      <c r="M462" t="s">
        <v>20</v>
      </c>
    </row>
    <row r="463" spans="1:13" x14ac:dyDescent="0.35">
      <c r="A463">
        <v>462</v>
      </c>
      <c r="B463">
        <v>583005721</v>
      </c>
      <c r="C463">
        <v>36677</v>
      </c>
      <c r="D463" t="s">
        <v>209</v>
      </c>
      <c r="E463" t="s">
        <v>300</v>
      </c>
      <c r="F463" t="s">
        <v>210</v>
      </c>
      <c r="G463" t="s">
        <v>211</v>
      </c>
      <c r="H463" t="s">
        <v>17</v>
      </c>
      <c r="I463" t="s">
        <v>18</v>
      </c>
      <c r="J463" t="s">
        <v>19</v>
      </c>
      <c r="K463">
        <v>39</v>
      </c>
      <c r="L463">
        <v>0</v>
      </c>
      <c r="M463" t="s">
        <v>20</v>
      </c>
    </row>
    <row r="464" spans="1:13" x14ac:dyDescent="0.35">
      <c r="A464">
        <v>463</v>
      </c>
      <c r="B464">
        <v>583005677</v>
      </c>
      <c r="C464">
        <v>36620</v>
      </c>
      <c r="D464" t="s">
        <v>82</v>
      </c>
      <c r="E464" t="s">
        <v>300</v>
      </c>
      <c r="F464" t="s">
        <v>83</v>
      </c>
      <c r="G464" t="s">
        <v>84</v>
      </c>
      <c r="H464" t="s">
        <v>17</v>
      </c>
      <c r="I464" t="s">
        <v>18</v>
      </c>
      <c r="J464" t="s">
        <v>19</v>
      </c>
      <c r="K464">
        <v>1140</v>
      </c>
      <c r="L464">
        <v>0</v>
      </c>
      <c r="M464" t="s">
        <v>20</v>
      </c>
    </row>
    <row r="465" spans="1:13" x14ac:dyDescent="0.35">
      <c r="A465">
        <v>464</v>
      </c>
      <c r="B465">
        <v>583005758</v>
      </c>
      <c r="C465">
        <v>36723</v>
      </c>
      <c r="D465" t="s">
        <v>301</v>
      </c>
      <c r="E465" t="s">
        <v>300</v>
      </c>
      <c r="F465" t="s">
        <v>302</v>
      </c>
      <c r="G465" t="s">
        <v>303</v>
      </c>
      <c r="H465" t="s">
        <v>17</v>
      </c>
      <c r="I465" t="s">
        <v>24</v>
      </c>
      <c r="J465" t="s">
        <v>25</v>
      </c>
      <c r="K465">
        <v>16</v>
      </c>
      <c r="L465">
        <v>0</v>
      </c>
      <c r="M465" t="s">
        <v>20</v>
      </c>
    </row>
    <row r="466" spans="1:13" x14ac:dyDescent="0.35">
      <c r="A466">
        <v>465</v>
      </c>
      <c r="B466">
        <v>583005735</v>
      </c>
      <c r="C466">
        <v>36693</v>
      </c>
      <c r="D466" t="s">
        <v>250</v>
      </c>
      <c r="E466" t="s">
        <v>300</v>
      </c>
      <c r="F466" t="s">
        <v>251</v>
      </c>
      <c r="G466" t="s">
        <v>252</v>
      </c>
      <c r="H466" t="s">
        <v>17</v>
      </c>
      <c r="I466" t="s">
        <v>18</v>
      </c>
      <c r="J466" t="s">
        <v>19</v>
      </c>
      <c r="K466">
        <v>15</v>
      </c>
      <c r="L466">
        <v>0</v>
      </c>
      <c r="M466" t="s">
        <v>20</v>
      </c>
    </row>
    <row r="467" spans="1:13" x14ac:dyDescent="0.35">
      <c r="A467">
        <v>466</v>
      </c>
      <c r="B467">
        <v>583005711</v>
      </c>
      <c r="C467">
        <v>36667</v>
      </c>
      <c r="D467" t="s">
        <v>304</v>
      </c>
      <c r="E467" t="s">
        <v>300</v>
      </c>
      <c r="F467" t="s">
        <v>305</v>
      </c>
      <c r="G467" t="s">
        <v>306</v>
      </c>
      <c r="H467" t="s">
        <v>17</v>
      </c>
      <c r="I467" t="s">
        <v>18</v>
      </c>
      <c r="J467" t="s">
        <v>19</v>
      </c>
      <c r="K467">
        <v>99</v>
      </c>
      <c r="L467">
        <v>0</v>
      </c>
      <c r="M467" t="s">
        <v>20</v>
      </c>
    </row>
    <row r="468" spans="1:13" x14ac:dyDescent="0.35">
      <c r="A468">
        <v>467</v>
      </c>
      <c r="B468">
        <v>583005687</v>
      </c>
      <c r="C468">
        <v>36640</v>
      </c>
      <c r="D468" t="s">
        <v>32</v>
      </c>
      <c r="E468" t="s">
        <v>300</v>
      </c>
      <c r="F468" t="s">
        <v>33</v>
      </c>
      <c r="G468" t="s">
        <v>34</v>
      </c>
      <c r="H468" t="s">
        <v>17</v>
      </c>
      <c r="I468" t="s">
        <v>35</v>
      </c>
      <c r="J468" t="s">
        <v>25</v>
      </c>
      <c r="K468">
        <v>62</v>
      </c>
      <c r="L468">
        <v>0</v>
      </c>
      <c r="M468" t="s">
        <v>20</v>
      </c>
    </row>
    <row r="469" spans="1:13" x14ac:dyDescent="0.35">
      <c r="A469">
        <v>468</v>
      </c>
      <c r="B469">
        <v>583005687</v>
      </c>
      <c r="C469">
        <v>36640</v>
      </c>
      <c r="D469" t="s">
        <v>32</v>
      </c>
      <c r="E469" t="s">
        <v>300</v>
      </c>
      <c r="F469" t="s">
        <v>33</v>
      </c>
      <c r="G469" t="s">
        <v>34</v>
      </c>
      <c r="H469" t="s">
        <v>17</v>
      </c>
      <c r="I469" t="s">
        <v>35</v>
      </c>
      <c r="J469" t="s">
        <v>59</v>
      </c>
      <c r="K469">
        <v>10</v>
      </c>
      <c r="L469">
        <v>0</v>
      </c>
      <c r="M469" t="s">
        <v>20</v>
      </c>
    </row>
    <row r="470" spans="1:13" x14ac:dyDescent="0.35">
      <c r="A470">
        <v>469</v>
      </c>
      <c r="B470">
        <v>583005723</v>
      </c>
      <c r="C470">
        <v>36679</v>
      </c>
      <c r="D470" t="s">
        <v>53</v>
      </c>
      <c r="E470" t="s">
        <v>300</v>
      </c>
      <c r="F470" t="s">
        <v>54</v>
      </c>
      <c r="G470" t="s">
        <v>55</v>
      </c>
      <c r="H470" t="s">
        <v>17</v>
      </c>
      <c r="I470" t="s">
        <v>18</v>
      </c>
      <c r="J470" t="s">
        <v>19</v>
      </c>
      <c r="K470">
        <v>45</v>
      </c>
      <c r="L470">
        <v>0</v>
      </c>
      <c r="M470" t="s">
        <v>20</v>
      </c>
    </row>
    <row r="471" spans="1:13" x14ac:dyDescent="0.35">
      <c r="A471">
        <v>470</v>
      </c>
      <c r="B471">
        <v>583005746</v>
      </c>
      <c r="C471">
        <v>36709</v>
      </c>
      <c r="D471" t="s">
        <v>307</v>
      </c>
      <c r="E471" t="s">
        <v>300</v>
      </c>
      <c r="F471" t="s">
        <v>308</v>
      </c>
      <c r="G471" t="s">
        <v>309</v>
      </c>
      <c r="H471" t="s">
        <v>17</v>
      </c>
      <c r="I471" t="s">
        <v>35</v>
      </c>
      <c r="J471" t="s">
        <v>25</v>
      </c>
      <c r="K471">
        <v>100</v>
      </c>
      <c r="L471">
        <v>0</v>
      </c>
      <c r="M471" t="s">
        <v>20</v>
      </c>
    </row>
    <row r="472" spans="1:13" x14ac:dyDescent="0.35">
      <c r="A472">
        <v>471</v>
      </c>
      <c r="B472">
        <v>583005722</v>
      </c>
      <c r="C472">
        <v>36678</v>
      </c>
      <c r="D472" t="s">
        <v>129</v>
      </c>
      <c r="E472" t="s">
        <v>300</v>
      </c>
      <c r="F472" t="s">
        <v>130</v>
      </c>
      <c r="G472" t="s">
        <v>131</v>
      </c>
      <c r="H472" t="s">
        <v>17</v>
      </c>
      <c r="I472" t="s">
        <v>18</v>
      </c>
      <c r="J472" t="s">
        <v>19</v>
      </c>
      <c r="K472">
        <v>45</v>
      </c>
      <c r="L472">
        <v>0</v>
      </c>
      <c r="M472" t="s">
        <v>20</v>
      </c>
    </row>
    <row r="473" spans="1:13" x14ac:dyDescent="0.35">
      <c r="A473">
        <v>472</v>
      </c>
      <c r="B473">
        <v>583005740</v>
      </c>
      <c r="C473">
        <v>36698</v>
      </c>
      <c r="D473" t="s">
        <v>165</v>
      </c>
      <c r="E473" t="s">
        <v>300</v>
      </c>
      <c r="F473" t="s">
        <v>166</v>
      </c>
      <c r="G473" t="s">
        <v>167</v>
      </c>
      <c r="H473" t="s">
        <v>17</v>
      </c>
      <c r="I473" t="s">
        <v>35</v>
      </c>
      <c r="J473" t="s">
        <v>25</v>
      </c>
      <c r="K473">
        <v>6</v>
      </c>
      <c r="L473">
        <v>0</v>
      </c>
      <c r="M473" t="s">
        <v>20</v>
      </c>
    </row>
    <row r="474" spans="1:13" x14ac:dyDescent="0.35">
      <c r="A474">
        <v>473</v>
      </c>
      <c r="B474">
        <v>583005680</v>
      </c>
      <c r="C474">
        <v>36631</v>
      </c>
      <c r="D474" t="s">
        <v>82</v>
      </c>
      <c r="E474" t="s">
        <v>300</v>
      </c>
      <c r="F474" t="s">
        <v>83</v>
      </c>
      <c r="G474" t="s">
        <v>84</v>
      </c>
      <c r="H474" t="s">
        <v>17</v>
      </c>
      <c r="I474" t="s">
        <v>63</v>
      </c>
      <c r="J474" t="s">
        <v>64</v>
      </c>
      <c r="K474">
        <v>224</v>
      </c>
      <c r="L474">
        <v>396.48</v>
      </c>
      <c r="M474" t="s">
        <v>20</v>
      </c>
    </row>
    <row r="475" spans="1:13" x14ac:dyDescent="0.35">
      <c r="A475">
        <v>474</v>
      </c>
      <c r="B475">
        <v>583005755</v>
      </c>
      <c r="C475">
        <v>36720</v>
      </c>
      <c r="D475" t="s">
        <v>82</v>
      </c>
      <c r="E475" t="s">
        <v>300</v>
      </c>
      <c r="F475" t="s">
        <v>83</v>
      </c>
      <c r="G475" t="s">
        <v>84</v>
      </c>
      <c r="H475" t="s">
        <v>17</v>
      </c>
      <c r="I475" t="s">
        <v>18</v>
      </c>
      <c r="J475" t="s">
        <v>19</v>
      </c>
      <c r="K475">
        <v>621</v>
      </c>
      <c r="L475">
        <v>0</v>
      </c>
      <c r="M475" t="s">
        <v>20</v>
      </c>
    </row>
    <row r="476" spans="1:13" x14ac:dyDescent="0.35">
      <c r="A476">
        <v>475</v>
      </c>
      <c r="B476">
        <v>583005755</v>
      </c>
      <c r="C476">
        <v>36720</v>
      </c>
      <c r="D476" t="s">
        <v>82</v>
      </c>
      <c r="E476" t="s">
        <v>300</v>
      </c>
      <c r="F476" t="s">
        <v>83</v>
      </c>
      <c r="G476" t="s">
        <v>84</v>
      </c>
      <c r="H476" t="s">
        <v>17</v>
      </c>
      <c r="I476" t="s">
        <v>18</v>
      </c>
      <c r="J476" t="s">
        <v>19</v>
      </c>
      <c r="K476">
        <v>1854</v>
      </c>
      <c r="L476">
        <v>0</v>
      </c>
      <c r="M476" t="s">
        <v>20</v>
      </c>
    </row>
    <row r="477" spans="1:13" x14ac:dyDescent="0.35">
      <c r="A477">
        <v>476</v>
      </c>
      <c r="B477">
        <v>583005755</v>
      </c>
      <c r="C477">
        <v>36720</v>
      </c>
      <c r="D477" t="s">
        <v>82</v>
      </c>
      <c r="E477" t="s">
        <v>300</v>
      </c>
      <c r="F477" t="s">
        <v>83</v>
      </c>
      <c r="G477" t="s">
        <v>84</v>
      </c>
      <c r="H477" t="s">
        <v>17</v>
      </c>
      <c r="I477" t="s">
        <v>18</v>
      </c>
      <c r="J477" t="s">
        <v>19</v>
      </c>
      <c r="K477">
        <v>1170</v>
      </c>
      <c r="L477">
        <v>0</v>
      </c>
      <c r="M477" t="s">
        <v>20</v>
      </c>
    </row>
    <row r="478" spans="1:13" x14ac:dyDescent="0.35">
      <c r="A478">
        <v>477</v>
      </c>
      <c r="B478">
        <v>583005755</v>
      </c>
      <c r="C478">
        <v>36720</v>
      </c>
      <c r="D478" t="s">
        <v>82</v>
      </c>
      <c r="E478" t="s">
        <v>300</v>
      </c>
      <c r="F478" t="s">
        <v>83</v>
      </c>
      <c r="G478" t="s">
        <v>84</v>
      </c>
      <c r="H478" t="s">
        <v>17</v>
      </c>
      <c r="I478" t="s">
        <v>18</v>
      </c>
      <c r="J478" t="s">
        <v>19</v>
      </c>
      <c r="K478">
        <v>288</v>
      </c>
      <c r="L478">
        <v>0</v>
      </c>
      <c r="M478" t="s">
        <v>20</v>
      </c>
    </row>
    <row r="479" spans="1:13" x14ac:dyDescent="0.35">
      <c r="A479">
        <v>478</v>
      </c>
      <c r="B479">
        <v>583005696</v>
      </c>
      <c r="C479">
        <v>36652</v>
      </c>
      <c r="D479" t="s">
        <v>184</v>
      </c>
      <c r="E479" t="s">
        <v>300</v>
      </c>
      <c r="F479" t="s">
        <v>185</v>
      </c>
      <c r="G479" t="s">
        <v>186</v>
      </c>
      <c r="H479" t="s">
        <v>17</v>
      </c>
      <c r="I479" t="s">
        <v>18</v>
      </c>
      <c r="J479" t="s">
        <v>19</v>
      </c>
      <c r="K479">
        <v>300</v>
      </c>
      <c r="L479">
        <v>0</v>
      </c>
      <c r="M479" t="s">
        <v>20</v>
      </c>
    </row>
    <row r="480" spans="1:13" x14ac:dyDescent="0.35">
      <c r="A480">
        <v>479</v>
      </c>
      <c r="B480">
        <v>583005765</v>
      </c>
      <c r="C480">
        <v>36731</v>
      </c>
      <c r="D480" t="s">
        <v>101</v>
      </c>
      <c r="E480" t="s">
        <v>300</v>
      </c>
      <c r="F480" t="s">
        <v>229</v>
      </c>
      <c r="G480" t="s">
        <v>230</v>
      </c>
      <c r="H480" t="s">
        <v>17</v>
      </c>
      <c r="I480" t="s">
        <v>18</v>
      </c>
      <c r="J480" t="s">
        <v>19</v>
      </c>
      <c r="K480">
        <v>1812</v>
      </c>
      <c r="L480">
        <v>0</v>
      </c>
      <c r="M480" t="s">
        <v>20</v>
      </c>
    </row>
    <row r="481" spans="1:13" x14ac:dyDescent="0.35">
      <c r="A481">
        <v>480</v>
      </c>
      <c r="B481">
        <v>583005757</v>
      </c>
      <c r="C481">
        <v>36722</v>
      </c>
      <c r="D481" t="s">
        <v>301</v>
      </c>
      <c r="E481" t="s">
        <v>300</v>
      </c>
      <c r="F481" t="s">
        <v>302</v>
      </c>
      <c r="G481" t="s">
        <v>303</v>
      </c>
      <c r="H481" t="s">
        <v>17</v>
      </c>
      <c r="I481" t="s">
        <v>18</v>
      </c>
      <c r="J481" t="s">
        <v>19</v>
      </c>
      <c r="K481">
        <v>2115</v>
      </c>
      <c r="L481">
        <v>0</v>
      </c>
      <c r="M481" t="s">
        <v>20</v>
      </c>
    </row>
    <row r="482" spans="1:13" x14ac:dyDescent="0.35">
      <c r="A482">
        <v>481</v>
      </c>
      <c r="B482">
        <v>583005757</v>
      </c>
      <c r="C482">
        <v>36722</v>
      </c>
      <c r="D482" t="s">
        <v>301</v>
      </c>
      <c r="E482" t="s">
        <v>300</v>
      </c>
      <c r="F482" t="s">
        <v>302</v>
      </c>
      <c r="G482" t="s">
        <v>303</v>
      </c>
      <c r="H482" t="s">
        <v>17</v>
      </c>
      <c r="I482" t="s">
        <v>18</v>
      </c>
      <c r="J482" t="s">
        <v>19</v>
      </c>
      <c r="K482">
        <v>318</v>
      </c>
      <c r="L482">
        <v>0</v>
      </c>
      <c r="M482" t="s">
        <v>20</v>
      </c>
    </row>
    <row r="483" spans="1:13" x14ac:dyDescent="0.35">
      <c r="A483">
        <v>482</v>
      </c>
      <c r="B483">
        <v>583005757</v>
      </c>
      <c r="C483">
        <v>36722</v>
      </c>
      <c r="D483" t="s">
        <v>301</v>
      </c>
      <c r="E483" t="s">
        <v>300</v>
      </c>
      <c r="F483" t="s">
        <v>302</v>
      </c>
      <c r="G483" t="s">
        <v>303</v>
      </c>
      <c r="H483" t="s">
        <v>17</v>
      </c>
      <c r="I483" t="s">
        <v>18</v>
      </c>
      <c r="J483" t="s">
        <v>19</v>
      </c>
      <c r="K483">
        <v>144</v>
      </c>
      <c r="L483">
        <v>0</v>
      </c>
      <c r="M483" t="s">
        <v>20</v>
      </c>
    </row>
    <row r="484" spans="1:13" x14ac:dyDescent="0.35">
      <c r="A484">
        <v>483</v>
      </c>
      <c r="B484">
        <v>583005757</v>
      </c>
      <c r="C484">
        <v>36722</v>
      </c>
      <c r="D484" t="s">
        <v>301</v>
      </c>
      <c r="E484" t="s">
        <v>300</v>
      </c>
      <c r="F484" t="s">
        <v>302</v>
      </c>
      <c r="G484" t="s">
        <v>303</v>
      </c>
      <c r="H484" t="s">
        <v>17</v>
      </c>
      <c r="I484" t="s">
        <v>18</v>
      </c>
      <c r="J484" t="s">
        <v>19</v>
      </c>
      <c r="K484">
        <v>900</v>
      </c>
      <c r="L484">
        <v>0</v>
      </c>
      <c r="M484" t="s">
        <v>20</v>
      </c>
    </row>
    <row r="485" spans="1:13" x14ac:dyDescent="0.35">
      <c r="A485">
        <v>484</v>
      </c>
      <c r="B485">
        <v>583005681</v>
      </c>
      <c r="C485">
        <v>36634</v>
      </c>
      <c r="D485" t="s">
        <v>95</v>
      </c>
      <c r="E485" t="s">
        <v>300</v>
      </c>
      <c r="F485" t="s">
        <v>96</v>
      </c>
      <c r="G485" t="s">
        <v>97</v>
      </c>
      <c r="H485" t="s">
        <v>17</v>
      </c>
      <c r="I485" t="s">
        <v>18</v>
      </c>
      <c r="J485" t="s">
        <v>19</v>
      </c>
      <c r="K485">
        <v>4050</v>
      </c>
      <c r="L485">
        <v>0</v>
      </c>
      <c r="M485" t="s">
        <v>20</v>
      </c>
    </row>
    <row r="486" spans="1:13" x14ac:dyDescent="0.35">
      <c r="A486">
        <v>485</v>
      </c>
      <c r="B486">
        <v>583005720</v>
      </c>
      <c r="C486">
        <v>36676</v>
      </c>
      <c r="D486" t="s">
        <v>223</v>
      </c>
      <c r="E486" t="s">
        <v>300</v>
      </c>
      <c r="F486" t="s">
        <v>224</v>
      </c>
      <c r="G486" t="s">
        <v>225</v>
      </c>
      <c r="H486" t="s">
        <v>17</v>
      </c>
      <c r="I486" t="s">
        <v>135</v>
      </c>
      <c r="J486" t="s">
        <v>19</v>
      </c>
      <c r="K486">
        <v>75</v>
      </c>
      <c r="L486">
        <v>0</v>
      </c>
      <c r="M486" t="s">
        <v>20</v>
      </c>
    </row>
    <row r="487" spans="1:13" x14ac:dyDescent="0.35">
      <c r="A487">
        <v>486</v>
      </c>
      <c r="B487">
        <v>583005719</v>
      </c>
      <c r="C487">
        <v>36675</v>
      </c>
      <c r="D487" t="s">
        <v>65</v>
      </c>
      <c r="E487" t="s">
        <v>300</v>
      </c>
      <c r="F487" t="s">
        <v>66</v>
      </c>
      <c r="G487" t="s">
        <v>67</v>
      </c>
      <c r="H487" t="s">
        <v>17</v>
      </c>
      <c r="I487" t="s">
        <v>135</v>
      </c>
      <c r="J487" t="s">
        <v>19</v>
      </c>
      <c r="K487">
        <v>42</v>
      </c>
      <c r="L487">
        <v>0</v>
      </c>
      <c r="M487" t="s">
        <v>20</v>
      </c>
    </row>
    <row r="488" spans="1:13" x14ac:dyDescent="0.35">
      <c r="A488">
        <v>487</v>
      </c>
      <c r="B488">
        <v>583005737</v>
      </c>
      <c r="C488">
        <v>36695</v>
      </c>
      <c r="D488" t="s">
        <v>45</v>
      </c>
      <c r="E488" t="s">
        <v>300</v>
      </c>
      <c r="F488" t="s">
        <v>46</v>
      </c>
      <c r="G488" t="s">
        <v>47</v>
      </c>
      <c r="H488" t="s">
        <v>17</v>
      </c>
      <c r="I488" t="s">
        <v>24</v>
      </c>
      <c r="J488" t="s">
        <v>25</v>
      </c>
      <c r="K488">
        <v>55</v>
      </c>
      <c r="L488">
        <v>0</v>
      </c>
      <c r="M488" t="s">
        <v>20</v>
      </c>
    </row>
    <row r="489" spans="1:13" x14ac:dyDescent="0.35">
      <c r="A489">
        <v>488</v>
      </c>
      <c r="B489">
        <v>583005718</v>
      </c>
      <c r="C489">
        <v>36674</v>
      </c>
      <c r="D489" t="s">
        <v>65</v>
      </c>
      <c r="E489" t="s">
        <v>300</v>
      </c>
      <c r="F489" t="s">
        <v>66</v>
      </c>
      <c r="G489" t="s">
        <v>67</v>
      </c>
      <c r="H489" t="s">
        <v>17</v>
      </c>
      <c r="I489" t="s">
        <v>18</v>
      </c>
      <c r="J489" t="s">
        <v>19</v>
      </c>
      <c r="K489">
        <v>12</v>
      </c>
      <c r="L489">
        <v>0</v>
      </c>
      <c r="M489" t="s">
        <v>20</v>
      </c>
    </row>
    <row r="490" spans="1:13" x14ac:dyDescent="0.35">
      <c r="A490">
        <v>489</v>
      </c>
      <c r="B490">
        <v>583005682</v>
      </c>
      <c r="C490">
        <v>36635</v>
      </c>
      <c r="D490" t="s">
        <v>21</v>
      </c>
      <c r="E490" t="s">
        <v>300</v>
      </c>
      <c r="F490" t="s">
        <v>22</v>
      </c>
      <c r="G490" t="s">
        <v>23</v>
      </c>
      <c r="H490" t="s">
        <v>17</v>
      </c>
      <c r="I490" t="s">
        <v>18</v>
      </c>
      <c r="J490" t="s">
        <v>19</v>
      </c>
      <c r="K490">
        <v>3834</v>
      </c>
      <c r="L490">
        <v>0</v>
      </c>
      <c r="M490" t="s">
        <v>20</v>
      </c>
    </row>
    <row r="491" spans="1:13" x14ac:dyDescent="0.35">
      <c r="A491">
        <v>490</v>
      </c>
      <c r="B491">
        <v>583005682</v>
      </c>
      <c r="C491">
        <v>36635</v>
      </c>
      <c r="D491" t="s">
        <v>21</v>
      </c>
      <c r="E491" t="s">
        <v>300</v>
      </c>
      <c r="F491" t="s">
        <v>22</v>
      </c>
      <c r="G491" t="s">
        <v>23</v>
      </c>
      <c r="H491" t="s">
        <v>17</v>
      </c>
      <c r="I491" t="s">
        <v>18</v>
      </c>
      <c r="J491" t="s">
        <v>19</v>
      </c>
      <c r="K491">
        <v>180</v>
      </c>
      <c r="L491">
        <v>0</v>
      </c>
      <c r="M491" t="s">
        <v>20</v>
      </c>
    </row>
    <row r="492" spans="1:13" x14ac:dyDescent="0.35">
      <c r="A492">
        <v>491</v>
      </c>
      <c r="B492">
        <v>583005715</v>
      </c>
      <c r="C492">
        <v>36671</v>
      </c>
      <c r="D492" t="s">
        <v>92</v>
      </c>
      <c r="E492" t="s">
        <v>300</v>
      </c>
      <c r="F492" t="s">
        <v>93</v>
      </c>
      <c r="G492" t="s">
        <v>94</v>
      </c>
      <c r="H492" t="s">
        <v>17</v>
      </c>
      <c r="I492" t="s">
        <v>18</v>
      </c>
      <c r="J492" t="s">
        <v>19</v>
      </c>
      <c r="K492">
        <v>90</v>
      </c>
      <c r="L492">
        <v>0</v>
      </c>
      <c r="M492" t="s">
        <v>20</v>
      </c>
    </row>
    <row r="493" spans="1:13" x14ac:dyDescent="0.35">
      <c r="A493">
        <v>492</v>
      </c>
      <c r="B493">
        <v>583005712</v>
      </c>
      <c r="C493">
        <v>36668</v>
      </c>
      <c r="D493" t="s">
        <v>92</v>
      </c>
      <c r="E493" t="s">
        <v>300</v>
      </c>
      <c r="F493" t="s">
        <v>93</v>
      </c>
      <c r="G493" t="s">
        <v>94</v>
      </c>
      <c r="H493" t="s">
        <v>17</v>
      </c>
      <c r="I493" t="s">
        <v>18</v>
      </c>
      <c r="J493" t="s">
        <v>19</v>
      </c>
      <c r="K493">
        <v>90</v>
      </c>
      <c r="L493">
        <v>0</v>
      </c>
      <c r="M493" t="s">
        <v>20</v>
      </c>
    </row>
    <row r="494" spans="1:13" x14ac:dyDescent="0.35">
      <c r="A494">
        <v>493</v>
      </c>
      <c r="B494">
        <v>583005713</v>
      </c>
      <c r="C494">
        <v>36669</v>
      </c>
      <c r="D494" t="s">
        <v>92</v>
      </c>
      <c r="E494" t="s">
        <v>300</v>
      </c>
      <c r="F494" t="s">
        <v>93</v>
      </c>
      <c r="G494" t="s">
        <v>94</v>
      </c>
      <c r="H494" t="s">
        <v>17</v>
      </c>
      <c r="I494" t="s">
        <v>18</v>
      </c>
      <c r="J494" t="s">
        <v>19</v>
      </c>
      <c r="K494">
        <v>90</v>
      </c>
      <c r="L494">
        <v>0</v>
      </c>
      <c r="M494" t="s">
        <v>20</v>
      </c>
    </row>
    <row r="495" spans="1:13" x14ac:dyDescent="0.35">
      <c r="A495">
        <v>494</v>
      </c>
      <c r="B495">
        <v>583005716</v>
      </c>
      <c r="C495">
        <v>36672</v>
      </c>
      <c r="D495" t="s">
        <v>98</v>
      </c>
      <c r="E495" t="s">
        <v>300</v>
      </c>
      <c r="F495" t="s">
        <v>99</v>
      </c>
      <c r="G495" t="s">
        <v>100</v>
      </c>
      <c r="H495" t="s">
        <v>17</v>
      </c>
      <c r="I495" t="s">
        <v>18</v>
      </c>
      <c r="J495" t="s">
        <v>19</v>
      </c>
      <c r="K495">
        <v>90</v>
      </c>
      <c r="L495">
        <v>0</v>
      </c>
      <c r="M495" t="s">
        <v>20</v>
      </c>
    </row>
    <row r="496" spans="1:13" x14ac:dyDescent="0.35">
      <c r="A496">
        <v>495</v>
      </c>
      <c r="B496">
        <v>583005717</v>
      </c>
      <c r="C496">
        <v>36673</v>
      </c>
      <c r="D496" t="s">
        <v>203</v>
      </c>
      <c r="E496" t="s">
        <v>300</v>
      </c>
      <c r="F496" t="s">
        <v>204</v>
      </c>
      <c r="G496" t="s">
        <v>205</v>
      </c>
      <c r="H496" t="s">
        <v>17</v>
      </c>
      <c r="I496" t="s">
        <v>18</v>
      </c>
      <c r="J496" t="s">
        <v>19</v>
      </c>
      <c r="K496">
        <v>51</v>
      </c>
      <c r="L496">
        <v>0</v>
      </c>
      <c r="M496" t="s">
        <v>20</v>
      </c>
    </row>
    <row r="497" spans="1:13" x14ac:dyDescent="0.35">
      <c r="A497">
        <v>496</v>
      </c>
      <c r="B497">
        <v>583005708</v>
      </c>
      <c r="C497">
        <v>36664</v>
      </c>
      <c r="D497" t="s">
        <v>36</v>
      </c>
      <c r="E497" t="s">
        <v>300</v>
      </c>
      <c r="F497" t="s">
        <v>37</v>
      </c>
      <c r="G497" t="s">
        <v>38</v>
      </c>
      <c r="H497" t="s">
        <v>17</v>
      </c>
      <c r="I497" t="s">
        <v>18</v>
      </c>
      <c r="J497" t="s">
        <v>19</v>
      </c>
      <c r="K497">
        <v>135</v>
      </c>
      <c r="L497">
        <v>0</v>
      </c>
      <c r="M497" t="s">
        <v>20</v>
      </c>
    </row>
    <row r="498" spans="1:13" x14ac:dyDescent="0.35">
      <c r="A498">
        <v>497</v>
      </c>
      <c r="B498">
        <v>583005707</v>
      </c>
      <c r="C498">
        <v>36663</v>
      </c>
      <c r="D498" t="s">
        <v>36</v>
      </c>
      <c r="E498" t="s">
        <v>300</v>
      </c>
      <c r="F498" t="s">
        <v>37</v>
      </c>
      <c r="G498" t="s">
        <v>38</v>
      </c>
      <c r="H498" t="s">
        <v>17</v>
      </c>
      <c r="I498" t="s">
        <v>18</v>
      </c>
      <c r="J498" t="s">
        <v>19</v>
      </c>
      <c r="K498">
        <v>120</v>
      </c>
      <c r="L498">
        <v>0</v>
      </c>
      <c r="M498" t="s">
        <v>20</v>
      </c>
    </row>
    <row r="499" spans="1:13" x14ac:dyDescent="0.35">
      <c r="A499">
        <v>498</v>
      </c>
      <c r="B499">
        <v>583005702</v>
      </c>
      <c r="C499">
        <v>36658</v>
      </c>
      <c r="D499" t="s">
        <v>36</v>
      </c>
      <c r="E499" t="s">
        <v>300</v>
      </c>
      <c r="F499" t="s">
        <v>37</v>
      </c>
      <c r="G499" t="s">
        <v>38</v>
      </c>
      <c r="H499" t="s">
        <v>17</v>
      </c>
      <c r="I499" t="s">
        <v>18</v>
      </c>
      <c r="J499" t="s">
        <v>19</v>
      </c>
      <c r="K499">
        <v>135</v>
      </c>
      <c r="L499">
        <v>0</v>
      </c>
      <c r="M499" t="s">
        <v>20</v>
      </c>
    </row>
    <row r="500" spans="1:13" x14ac:dyDescent="0.35">
      <c r="A500">
        <v>499</v>
      </c>
      <c r="B500">
        <v>583005703</v>
      </c>
      <c r="C500">
        <v>36659</v>
      </c>
      <c r="D500" t="s">
        <v>36</v>
      </c>
      <c r="E500" t="s">
        <v>300</v>
      </c>
      <c r="F500" t="s">
        <v>37</v>
      </c>
      <c r="G500" t="s">
        <v>38</v>
      </c>
      <c r="H500" t="s">
        <v>17</v>
      </c>
      <c r="I500" t="s">
        <v>18</v>
      </c>
      <c r="J500" t="s">
        <v>19</v>
      </c>
      <c r="K500">
        <v>180</v>
      </c>
      <c r="L500">
        <v>0</v>
      </c>
      <c r="M500" t="s">
        <v>20</v>
      </c>
    </row>
    <row r="501" spans="1:13" x14ac:dyDescent="0.35">
      <c r="A501">
        <v>500</v>
      </c>
      <c r="B501">
        <v>583005704</v>
      </c>
      <c r="C501">
        <v>36660</v>
      </c>
      <c r="D501" t="s">
        <v>36</v>
      </c>
      <c r="E501" t="s">
        <v>300</v>
      </c>
      <c r="F501" t="s">
        <v>37</v>
      </c>
      <c r="G501" t="s">
        <v>38</v>
      </c>
      <c r="H501" t="s">
        <v>17</v>
      </c>
      <c r="I501" t="s">
        <v>18</v>
      </c>
      <c r="J501" t="s">
        <v>19</v>
      </c>
      <c r="K501">
        <v>180</v>
      </c>
      <c r="L501">
        <v>0</v>
      </c>
      <c r="M501" t="s">
        <v>20</v>
      </c>
    </row>
    <row r="502" spans="1:13" x14ac:dyDescent="0.35">
      <c r="A502">
        <v>501</v>
      </c>
      <c r="B502">
        <v>583005709</v>
      </c>
      <c r="C502">
        <v>36665</v>
      </c>
      <c r="D502" t="s">
        <v>21</v>
      </c>
      <c r="E502" t="s">
        <v>300</v>
      </c>
      <c r="F502" t="s">
        <v>22</v>
      </c>
      <c r="G502" t="s">
        <v>23</v>
      </c>
      <c r="H502" t="s">
        <v>17</v>
      </c>
      <c r="I502" t="s">
        <v>90</v>
      </c>
      <c r="J502" t="s">
        <v>74</v>
      </c>
      <c r="K502">
        <v>37</v>
      </c>
      <c r="L502">
        <v>0</v>
      </c>
      <c r="M502" t="s">
        <v>20</v>
      </c>
    </row>
    <row r="503" spans="1:13" x14ac:dyDescent="0.35">
      <c r="A503">
        <v>502</v>
      </c>
      <c r="B503">
        <v>583005734</v>
      </c>
      <c r="C503">
        <v>36692</v>
      </c>
      <c r="D503" t="s">
        <v>199</v>
      </c>
      <c r="E503" t="s">
        <v>300</v>
      </c>
      <c r="F503" t="s">
        <v>201</v>
      </c>
      <c r="G503" t="s">
        <v>202</v>
      </c>
      <c r="H503" t="s">
        <v>17</v>
      </c>
      <c r="I503" t="s">
        <v>18</v>
      </c>
      <c r="J503" t="s">
        <v>19</v>
      </c>
      <c r="K503">
        <v>189</v>
      </c>
      <c r="L503">
        <v>0</v>
      </c>
      <c r="M503" t="s">
        <v>20</v>
      </c>
    </row>
    <row r="504" spans="1:13" x14ac:dyDescent="0.35">
      <c r="A504">
        <v>503</v>
      </c>
      <c r="B504">
        <v>583005736</v>
      </c>
      <c r="C504">
        <v>36694</v>
      </c>
      <c r="D504" t="s">
        <v>45</v>
      </c>
      <c r="E504" t="s">
        <v>300</v>
      </c>
      <c r="F504" t="s">
        <v>46</v>
      </c>
      <c r="G504" t="s">
        <v>47</v>
      </c>
      <c r="H504" t="s">
        <v>17</v>
      </c>
      <c r="I504" t="s">
        <v>18</v>
      </c>
      <c r="J504" t="s">
        <v>19</v>
      </c>
      <c r="K504">
        <v>3759</v>
      </c>
      <c r="L504">
        <v>0</v>
      </c>
      <c r="M504" t="s">
        <v>20</v>
      </c>
    </row>
    <row r="505" spans="1:13" x14ac:dyDescent="0.35">
      <c r="A505">
        <v>504</v>
      </c>
      <c r="B505">
        <v>583005736</v>
      </c>
      <c r="C505">
        <v>36694</v>
      </c>
      <c r="D505" t="s">
        <v>45</v>
      </c>
      <c r="E505" t="s">
        <v>300</v>
      </c>
      <c r="F505" t="s">
        <v>46</v>
      </c>
      <c r="G505" t="s">
        <v>47</v>
      </c>
      <c r="H505" t="s">
        <v>17</v>
      </c>
      <c r="I505" t="s">
        <v>18</v>
      </c>
      <c r="J505" t="s">
        <v>19</v>
      </c>
      <c r="K505">
        <v>75</v>
      </c>
      <c r="L505">
        <v>0</v>
      </c>
      <c r="M505" t="s">
        <v>20</v>
      </c>
    </row>
    <row r="506" spans="1:13" x14ac:dyDescent="0.35">
      <c r="A506">
        <v>505</v>
      </c>
      <c r="B506">
        <v>583005736</v>
      </c>
      <c r="C506">
        <v>36694</v>
      </c>
      <c r="D506" t="s">
        <v>45</v>
      </c>
      <c r="E506" t="s">
        <v>300</v>
      </c>
      <c r="F506" t="s">
        <v>46</v>
      </c>
      <c r="G506" t="s">
        <v>47</v>
      </c>
      <c r="H506" t="s">
        <v>17</v>
      </c>
      <c r="I506" t="s">
        <v>18</v>
      </c>
      <c r="J506" t="s">
        <v>19</v>
      </c>
      <c r="K506">
        <v>180</v>
      </c>
      <c r="L506">
        <v>0</v>
      </c>
      <c r="M506" t="s">
        <v>20</v>
      </c>
    </row>
    <row r="507" spans="1:13" x14ac:dyDescent="0.35">
      <c r="A507">
        <v>506</v>
      </c>
      <c r="B507">
        <v>583005678</v>
      </c>
      <c r="C507">
        <v>36621</v>
      </c>
      <c r="D507" t="s">
        <v>82</v>
      </c>
      <c r="E507" t="s">
        <v>300</v>
      </c>
      <c r="F507" t="s">
        <v>83</v>
      </c>
      <c r="G507" t="s">
        <v>84</v>
      </c>
      <c r="H507" t="s">
        <v>17</v>
      </c>
      <c r="I507" t="s">
        <v>18</v>
      </c>
      <c r="J507" t="s">
        <v>19</v>
      </c>
      <c r="K507">
        <v>1206</v>
      </c>
      <c r="L507">
        <v>0</v>
      </c>
      <c r="M507" t="s">
        <v>20</v>
      </c>
    </row>
    <row r="508" spans="1:13" x14ac:dyDescent="0.35">
      <c r="A508">
        <v>507</v>
      </c>
      <c r="B508">
        <v>583005678</v>
      </c>
      <c r="C508">
        <v>36621</v>
      </c>
      <c r="D508" t="s">
        <v>82</v>
      </c>
      <c r="E508" t="s">
        <v>300</v>
      </c>
      <c r="F508" t="s">
        <v>83</v>
      </c>
      <c r="G508" t="s">
        <v>84</v>
      </c>
      <c r="H508" t="s">
        <v>17</v>
      </c>
      <c r="I508" t="s">
        <v>18</v>
      </c>
      <c r="J508" t="s">
        <v>19</v>
      </c>
      <c r="K508">
        <v>108</v>
      </c>
      <c r="L508">
        <v>0</v>
      </c>
      <c r="M508" t="s">
        <v>20</v>
      </c>
    </row>
    <row r="509" spans="1:13" x14ac:dyDescent="0.35">
      <c r="A509">
        <v>508</v>
      </c>
      <c r="B509">
        <v>583005678</v>
      </c>
      <c r="C509">
        <v>36621</v>
      </c>
      <c r="D509" t="s">
        <v>82</v>
      </c>
      <c r="E509" t="s">
        <v>300</v>
      </c>
      <c r="F509" t="s">
        <v>83</v>
      </c>
      <c r="G509" t="s">
        <v>84</v>
      </c>
      <c r="H509" t="s">
        <v>17</v>
      </c>
      <c r="I509" t="s">
        <v>18</v>
      </c>
      <c r="J509" t="s">
        <v>19</v>
      </c>
      <c r="K509">
        <v>576</v>
      </c>
      <c r="L509">
        <v>0</v>
      </c>
      <c r="M509" t="s">
        <v>20</v>
      </c>
    </row>
    <row r="510" spans="1:13" x14ac:dyDescent="0.35">
      <c r="A510">
        <v>509</v>
      </c>
      <c r="B510">
        <v>583005678</v>
      </c>
      <c r="C510">
        <v>36621</v>
      </c>
      <c r="D510" t="s">
        <v>82</v>
      </c>
      <c r="E510" t="s">
        <v>300</v>
      </c>
      <c r="F510" t="s">
        <v>83</v>
      </c>
      <c r="G510" t="s">
        <v>84</v>
      </c>
      <c r="H510" t="s">
        <v>17</v>
      </c>
      <c r="I510" t="s">
        <v>18</v>
      </c>
      <c r="J510" t="s">
        <v>19</v>
      </c>
      <c r="K510">
        <v>645</v>
      </c>
      <c r="L510">
        <v>0</v>
      </c>
      <c r="M510" t="s">
        <v>20</v>
      </c>
    </row>
    <row r="511" spans="1:13" x14ac:dyDescent="0.35">
      <c r="A511">
        <v>510</v>
      </c>
      <c r="B511">
        <v>583005678</v>
      </c>
      <c r="C511">
        <v>36621</v>
      </c>
      <c r="D511" t="s">
        <v>82</v>
      </c>
      <c r="E511" t="s">
        <v>300</v>
      </c>
      <c r="F511" t="s">
        <v>83</v>
      </c>
      <c r="G511" t="s">
        <v>84</v>
      </c>
      <c r="H511" t="s">
        <v>17</v>
      </c>
      <c r="I511" t="s">
        <v>18</v>
      </c>
      <c r="J511" t="s">
        <v>19</v>
      </c>
      <c r="K511">
        <v>33</v>
      </c>
      <c r="L511">
        <v>0</v>
      </c>
      <c r="M511" t="s">
        <v>20</v>
      </c>
    </row>
    <row r="512" spans="1:13" x14ac:dyDescent="0.35">
      <c r="A512">
        <v>511</v>
      </c>
      <c r="B512">
        <v>583005743</v>
      </c>
      <c r="C512">
        <v>36703</v>
      </c>
      <c r="D512" t="s">
        <v>82</v>
      </c>
      <c r="E512" t="s">
        <v>300</v>
      </c>
      <c r="F512" t="s">
        <v>83</v>
      </c>
      <c r="G512" t="s">
        <v>84</v>
      </c>
      <c r="H512" t="s">
        <v>17</v>
      </c>
      <c r="I512" t="s">
        <v>91</v>
      </c>
      <c r="J512" t="s">
        <v>25</v>
      </c>
      <c r="K512">
        <v>375</v>
      </c>
      <c r="L512">
        <v>0</v>
      </c>
      <c r="M512" t="s">
        <v>20</v>
      </c>
    </row>
    <row r="513" spans="1:13" x14ac:dyDescent="0.35">
      <c r="A513">
        <v>512</v>
      </c>
      <c r="B513">
        <v>583005705</v>
      </c>
      <c r="C513">
        <v>36661</v>
      </c>
      <c r="D513" t="s">
        <v>36</v>
      </c>
      <c r="E513" t="s">
        <v>300</v>
      </c>
      <c r="F513" t="s">
        <v>37</v>
      </c>
      <c r="G513" t="s">
        <v>38</v>
      </c>
      <c r="H513" t="s">
        <v>17</v>
      </c>
      <c r="I513" t="s">
        <v>18</v>
      </c>
      <c r="J513" t="s">
        <v>19</v>
      </c>
      <c r="K513">
        <v>90</v>
      </c>
      <c r="L513">
        <v>0</v>
      </c>
      <c r="M513" t="s">
        <v>20</v>
      </c>
    </row>
    <row r="514" spans="1:13" x14ac:dyDescent="0.35">
      <c r="A514">
        <v>513</v>
      </c>
      <c r="B514">
        <v>583005701</v>
      </c>
      <c r="C514">
        <v>36657</v>
      </c>
      <c r="D514" t="s">
        <v>110</v>
      </c>
      <c r="E514" t="s">
        <v>300</v>
      </c>
      <c r="F514" t="s">
        <v>111</v>
      </c>
      <c r="G514" t="s">
        <v>112</v>
      </c>
      <c r="H514" t="s">
        <v>17</v>
      </c>
      <c r="I514" t="s">
        <v>18</v>
      </c>
      <c r="J514" t="s">
        <v>19</v>
      </c>
      <c r="K514">
        <v>45</v>
      </c>
      <c r="L514">
        <v>0</v>
      </c>
      <c r="M514" t="s">
        <v>20</v>
      </c>
    </row>
    <row r="515" spans="1:13" x14ac:dyDescent="0.35">
      <c r="A515">
        <v>514</v>
      </c>
      <c r="B515">
        <v>583005739</v>
      </c>
      <c r="C515">
        <v>36697</v>
      </c>
      <c r="D515" t="s">
        <v>165</v>
      </c>
      <c r="E515" t="s">
        <v>300</v>
      </c>
      <c r="F515" t="s">
        <v>166</v>
      </c>
      <c r="G515" t="s">
        <v>167</v>
      </c>
      <c r="H515" t="s">
        <v>17</v>
      </c>
      <c r="I515" t="s">
        <v>18</v>
      </c>
      <c r="J515" t="s">
        <v>19</v>
      </c>
      <c r="K515">
        <v>3585</v>
      </c>
      <c r="L515">
        <v>0</v>
      </c>
      <c r="M515" t="s">
        <v>20</v>
      </c>
    </row>
    <row r="516" spans="1:13" x14ac:dyDescent="0.35">
      <c r="A516">
        <v>515</v>
      </c>
      <c r="B516">
        <v>583005739</v>
      </c>
      <c r="C516">
        <v>36697</v>
      </c>
      <c r="D516" t="s">
        <v>165</v>
      </c>
      <c r="E516" t="s">
        <v>300</v>
      </c>
      <c r="F516" t="s">
        <v>166</v>
      </c>
      <c r="G516" t="s">
        <v>167</v>
      </c>
      <c r="H516" t="s">
        <v>17</v>
      </c>
      <c r="I516" t="s">
        <v>18</v>
      </c>
      <c r="J516" t="s">
        <v>19</v>
      </c>
      <c r="K516">
        <v>288</v>
      </c>
      <c r="L516">
        <v>0</v>
      </c>
      <c r="M516" t="s">
        <v>20</v>
      </c>
    </row>
    <row r="517" spans="1:13" x14ac:dyDescent="0.35">
      <c r="A517">
        <v>516</v>
      </c>
      <c r="B517">
        <v>583005733</v>
      </c>
      <c r="C517">
        <v>36691</v>
      </c>
      <c r="D517" t="s">
        <v>147</v>
      </c>
      <c r="E517" t="s">
        <v>300</v>
      </c>
      <c r="F517" t="s">
        <v>148</v>
      </c>
      <c r="G517" t="s">
        <v>149</v>
      </c>
      <c r="H517" t="s">
        <v>17</v>
      </c>
      <c r="I517" t="s">
        <v>18</v>
      </c>
      <c r="J517" t="s">
        <v>19</v>
      </c>
      <c r="K517">
        <v>36</v>
      </c>
      <c r="L517">
        <v>0</v>
      </c>
      <c r="M517" t="s">
        <v>20</v>
      </c>
    </row>
    <row r="518" spans="1:13" x14ac:dyDescent="0.35">
      <c r="A518">
        <v>517</v>
      </c>
      <c r="B518">
        <v>583005697</v>
      </c>
      <c r="C518">
        <v>36653</v>
      </c>
      <c r="D518" t="s">
        <v>184</v>
      </c>
      <c r="E518" t="s">
        <v>300</v>
      </c>
      <c r="F518" t="s">
        <v>185</v>
      </c>
      <c r="G518" t="s">
        <v>186</v>
      </c>
      <c r="H518" t="s">
        <v>17</v>
      </c>
      <c r="I518" t="s">
        <v>18</v>
      </c>
      <c r="J518" t="s">
        <v>19</v>
      </c>
      <c r="K518">
        <v>36</v>
      </c>
      <c r="L518">
        <v>0</v>
      </c>
      <c r="M518" t="s">
        <v>20</v>
      </c>
    </row>
    <row r="519" spans="1:13" x14ac:dyDescent="0.35">
      <c r="A519">
        <v>518</v>
      </c>
      <c r="B519">
        <v>583005815</v>
      </c>
      <c r="C519">
        <v>36804</v>
      </c>
      <c r="D519" t="s">
        <v>116</v>
      </c>
      <c r="E519" t="s">
        <v>310</v>
      </c>
      <c r="F519" t="s">
        <v>117</v>
      </c>
      <c r="G519" t="s">
        <v>118</v>
      </c>
      <c r="H519" t="s">
        <v>17</v>
      </c>
      <c r="I519" t="s">
        <v>18</v>
      </c>
      <c r="J519" t="s">
        <v>19</v>
      </c>
      <c r="K519">
        <v>4020</v>
      </c>
      <c r="L519">
        <v>0</v>
      </c>
      <c r="M519" t="s">
        <v>20</v>
      </c>
    </row>
    <row r="520" spans="1:13" x14ac:dyDescent="0.35">
      <c r="A520">
        <v>519</v>
      </c>
      <c r="B520">
        <v>583005773</v>
      </c>
      <c r="C520">
        <v>36757</v>
      </c>
      <c r="D520" t="s">
        <v>283</v>
      </c>
      <c r="E520" t="s">
        <v>310</v>
      </c>
      <c r="F520" t="s">
        <v>284</v>
      </c>
      <c r="G520" t="s">
        <v>285</v>
      </c>
      <c r="H520" t="s">
        <v>17</v>
      </c>
      <c r="I520" t="s">
        <v>18</v>
      </c>
      <c r="J520" t="s">
        <v>19</v>
      </c>
      <c r="K520">
        <v>54</v>
      </c>
      <c r="L520">
        <v>0</v>
      </c>
      <c r="M520" t="s">
        <v>20</v>
      </c>
    </row>
    <row r="521" spans="1:13" x14ac:dyDescent="0.35">
      <c r="A521">
        <v>520</v>
      </c>
      <c r="B521">
        <v>583005822</v>
      </c>
      <c r="C521">
        <v>36817</v>
      </c>
      <c r="D521" t="s">
        <v>311</v>
      </c>
      <c r="E521" t="s">
        <v>310</v>
      </c>
      <c r="F521" t="s">
        <v>312</v>
      </c>
      <c r="G521" t="s">
        <v>313</v>
      </c>
      <c r="H521" t="s">
        <v>17</v>
      </c>
      <c r="I521" t="s">
        <v>18</v>
      </c>
      <c r="J521" t="s">
        <v>19</v>
      </c>
      <c r="K521">
        <v>3186</v>
      </c>
      <c r="L521">
        <v>0</v>
      </c>
      <c r="M521" t="s">
        <v>20</v>
      </c>
    </row>
    <row r="522" spans="1:13" x14ac:dyDescent="0.35">
      <c r="A522">
        <v>521</v>
      </c>
      <c r="B522">
        <v>583005822</v>
      </c>
      <c r="C522">
        <v>36817</v>
      </c>
      <c r="D522" t="s">
        <v>311</v>
      </c>
      <c r="E522" t="s">
        <v>310</v>
      </c>
      <c r="F522" t="s">
        <v>312</v>
      </c>
      <c r="G522" t="s">
        <v>313</v>
      </c>
      <c r="H522" t="s">
        <v>17</v>
      </c>
      <c r="I522" t="s">
        <v>18</v>
      </c>
      <c r="J522" t="s">
        <v>19</v>
      </c>
      <c r="K522">
        <v>684</v>
      </c>
      <c r="L522">
        <v>0</v>
      </c>
      <c r="M522" t="s">
        <v>20</v>
      </c>
    </row>
    <row r="523" spans="1:13" x14ac:dyDescent="0.35">
      <c r="A523">
        <v>522</v>
      </c>
      <c r="B523">
        <v>583005786</v>
      </c>
      <c r="C523">
        <v>36771</v>
      </c>
      <c r="D523" t="s">
        <v>125</v>
      </c>
      <c r="E523" t="s">
        <v>310</v>
      </c>
      <c r="F523" t="s">
        <v>127</v>
      </c>
      <c r="G523" t="s">
        <v>128</v>
      </c>
      <c r="H523" t="s">
        <v>17</v>
      </c>
      <c r="I523" t="s">
        <v>18</v>
      </c>
      <c r="J523" t="s">
        <v>19</v>
      </c>
      <c r="K523">
        <v>2250</v>
      </c>
      <c r="L523">
        <v>0</v>
      </c>
      <c r="M523" t="s">
        <v>20</v>
      </c>
    </row>
    <row r="524" spans="1:13" x14ac:dyDescent="0.35">
      <c r="A524">
        <v>523</v>
      </c>
      <c r="B524">
        <v>583005786</v>
      </c>
      <c r="C524">
        <v>36771</v>
      </c>
      <c r="D524" t="s">
        <v>125</v>
      </c>
      <c r="E524" t="s">
        <v>310</v>
      </c>
      <c r="F524" t="s">
        <v>127</v>
      </c>
      <c r="G524" t="s">
        <v>128</v>
      </c>
      <c r="H524" t="s">
        <v>17</v>
      </c>
      <c r="I524" t="s">
        <v>18</v>
      </c>
      <c r="J524" t="s">
        <v>19</v>
      </c>
      <c r="K524">
        <v>1206</v>
      </c>
      <c r="L524">
        <v>0</v>
      </c>
      <c r="M524" t="s">
        <v>20</v>
      </c>
    </row>
    <row r="525" spans="1:13" x14ac:dyDescent="0.35">
      <c r="A525">
        <v>524</v>
      </c>
      <c r="B525">
        <v>583005786</v>
      </c>
      <c r="C525">
        <v>36771</v>
      </c>
      <c r="D525" t="s">
        <v>125</v>
      </c>
      <c r="E525" t="s">
        <v>310</v>
      </c>
      <c r="F525" t="s">
        <v>127</v>
      </c>
      <c r="G525" t="s">
        <v>128</v>
      </c>
      <c r="H525" t="s">
        <v>17</v>
      </c>
      <c r="I525" t="s">
        <v>18</v>
      </c>
      <c r="J525" t="s">
        <v>19</v>
      </c>
      <c r="K525">
        <v>837</v>
      </c>
      <c r="L525">
        <v>0</v>
      </c>
      <c r="M525" t="s">
        <v>20</v>
      </c>
    </row>
    <row r="526" spans="1:13" x14ac:dyDescent="0.35">
      <c r="A526">
        <v>525</v>
      </c>
      <c r="B526">
        <v>583005795</v>
      </c>
      <c r="C526">
        <v>36781</v>
      </c>
      <c r="D526" t="s">
        <v>280</v>
      </c>
      <c r="E526" t="s">
        <v>310</v>
      </c>
      <c r="F526" t="s">
        <v>281</v>
      </c>
      <c r="G526" t="s">
        <v>282</v>
      </c>
      <c r="H526" t="s">
        <v>17</v>
      </c>
      <c r="I526" t="s">
        <v>18</v>
      </c>
      <c r="J526" t="s">
        <v>19</v>
      </c>
      <c r="K526">
        <v>360</v>
      </c>
      <c r="L526">
        <v>0</v>
      </c>
      <c r="M526" t="s">
        <v>20</v>
      </c>
    </row>
    <row r="527" spans="1:13" x14ac:dyDescent="0.35">
      <c r="A527">
        <v>526</v>
      </c>
      <c r="B527">
        <v>583005822</v>
      </c>
      <c r="C527">
        <v>36817</v>
      </c>
      <c r="D527" t="s">
        <v>311</v>
      </c>
      <c r="E527" t="s">
        <v>310</v>
      </c>
      <c r="F527" t="s">
        <v>312</v>
      </c>
      <c r="G527" t="s">
        <v>313</v>
      </c>
      <c r="H527" t="s">
        <v>17</v>
      </c>
      <c r="I527" t="s">
        <v>18</v>
      </c>
      <c r="J527" t="s">
        <v>19</v>
      </c>
      <c r="K527">
        <v>147</v>
      </c>
      <c r="L527">
        <v>0</v>
      </c>
      <c r="M527" t="s">
        <v>20</v>
      </c>
    </row>
    <row r="528" spans="1:13" x14ac:dyDescent="0.35">
      <c r="A528">
        <v>527</v>
      </c>
      <c r="B528">
        <v>583005823</v>
      </c>
      <c r="C528">
        <v>36818</v>
      </c>
      <c r="D528" t="s">
        <v>314</v>
      </c>
      <c r="E528" t="s">
        <v>310</v>
      </c>
      <c r="F528" t="s">
        <v>315</v>
      </c>
      <c r="G528" t="s">
        <v>316</v>
      </c>
      <c r="H528" t="s">
        <v>17</v>
      </c>
      <c r="I528" t="s">
        <v>18</v>
      </c>
      <c r="J528" t="s">
        <v>19</v>
      </c>
      <c r="K528">
        <v>3600</v>
      </c>
      <c r="L528">
        <v>0</v>
      </c>
      <c r="M528" t="s">
        <v>20</v>
      </c>
    </row>
    <row r="529" spans="1:13" x14ac:dyDescent="0.35">
      <c r="A529">
        <v>528</v>
      </c>
      <c r="B529">
        <v>583005823</v>
      </c>
      <c r="C529">
        <v>36818</v>
      </c>
      <c r="D529" t="s">
        <v>314</v>
      </c>
      <c r="E529" t="s">
        <v>310</v>
      </c>
      <c r="F529" t="s">
        <v>315</v>
      </c>
      <c r="G529" t="s">
        <v>316</v>
      </c>
      <c r="H529" t="s">
        <v>17</v>
      </c>
      <c r="I529" t="s">
        <v>18</v>
      </c>
      <c r="J529" t="s">
        <v>19</v>
      </c>
      <c r="K529">
        <v>405</v>
      </c>
      <c r="L529">
        <v>0</v>
      </c>
      <c r="M529" t="s">
        <v>20</v>
      </c>
    </row>
    <row r="530" spans="1:13" x14ac:dyDescent="0.35">
      <c r="A530">
        <v>529</v>
      </c>
      <c r="B530">
        <v>583005824</v>
      </c>
      <c r="C530">
        <v>36819</v>
      </c>
      <c r="D530" t="s">
        <v>314</v>
      </c>
      <c r="E530" t="s">
        <v>310</v>
      </c>
      <c r="F530" t="s">
        <v>315</v>
      </c>
      <c r="G530" t="s">
        <v>316</v>
      </c>
      <c r="H530" t="s">
        <v>17</v>
      </c>
      <c r="I530" t="s">
        <v>24</v>
      </c>
      <c r="J530" t="s">
        <v>25</v>
      </c>
      <c r="K530">
        <v>12</v>
      </c>
      <c r="L530">
        <v>0</v>
      </c>
      <c r="M530" t="s">
        <v>20</v>
      </c>
    </row>
    <row r="531" spans="1:13" x14ac:dyDescent="0.35">
      <c r="A531">
        <v>530</v>
      </c>
      <c r="B531">
        <v>583005825</v>
      </c>
      <c r="C531">
        <v>36820</v>
      </c>
      <c r="D531" t="s">
        <v>116</v>
      </c>
      <c r="E531" t="s">
        <v>310</v>
      </c>
      <c r="F531" t="s">
        <v>117</v>
      </c>
      <c r="G531" t="s">
        <v>118</v>
      </c>
      <c r="H531" t="s">
        <v>17</v>
      </c>
      <c r="I531" t="s">
        <v>18</v>
      </c>
      <c r="J531" t="s">
        <v>19</v>
      </c>
      <c r="K531">
        <v>1710</v>
      </c>
      <c r="L531">
        <v>0</v>
      </c>
      <c r="M531" t="s">
        <v>20</v>
      </c>
    </row>
    <row r="532" spans="1:13" x14ac:dyDescent="0.35">
      <c r="A532">
        <v>531</v>
      </c>
      <c r="B532">
        <v>583005819</v>
      </c>
      <c r="C532">
        <v>36812</v>
      </c>
      <c r="D532" t="s">
        <v>56</v>
      </c>
      <c r="E532" t="s">
        <v>310</v>
      </c>
      <c r="F532" t="s">
        <v>57</v>
      </c>
      <c r="G532" t="s">
        <v>58</v>
      </c>
      <c r="H532" t="s">
        <v>17</v>
      </c>
      <c r="I532" t="s">
        <v>18</v>
      </c>
      <c r="J532" t="s">
        <v>19</v>
      </c>
      <c r="K532">
        <v>630</v>
      </c>
      <c r="L532">
        <v>0</v>
      </c>
      <c r="M532" t="s">
        <v>20</v>
      </c>
    </row>
    <row r="533" spans="1:13" x14ac:dyDescent="0.35">
      <c r="A533">
        <v>532</v>
      </c>
      <c r="B533">
        <v>583005819</v>
      </c>
      <c r="C533">
        <v>36812</v>
      </c>
      <c r="D533" t="s">
        <v>56</v>
      </c>
      <c r="E533" t="s">
        <v>310</v>
      </c>
      <c r="F533" t="s">
        <v>57</v>
      </c>
      <c r="G533" t="s">
        <v>58</v>
      </c>
      <c r="H533" t="s">
        <v>17</v>
      </c>
      <c r="I533" t="s">
        <v>18</v>
      </c>
      <c r="J533" t="s">
        <v>19</v>
      </c>
      <c r="K533">
        <v>264</v>
      </c>
      <c r="L533">
        <v>0</v>
      </c>
      <c r="M533" t="s">
        <v>20</v>
      </c>
    </row>
    <row r="534" spans="1:13" x14ac:dyDescent="0.35">
      <c r="A534">
        <v>533</v>
      </c>
      <c r="B534">
        <v>583005819</v>
      </c>
      <c r="C534">
        <v>36812</v>
      </c>
      <c r="D534" t="s">
        <v>56</v>
      </c>
      <c r="E534" t="s">
        <v>310</v>
      </c>
      <c r="F534" t="s">
        <v>57</v>
      </c>
      <c r="G534" t="s">
        <v>58</v>
      </c>
      <c r="H534" t="s">
        <v>17</v>
      </c>
      <c r="I534" t="s">
        <v>18</v>
      </c>
      <c r="J534" t="s">
        <v>19</v>
      </c>
      <c r="K534">
        <v>120</v>
      </c>
      <c r="L534">
        <v>0</v>
      </c>
      <c r="M534" t="s">
        <v>20</v>
      </c>
    </row>
    <row r="535" spans="1:13" x14ac:dyDescent="0.35">
      <c r="A535">
        <v>534</v>
      </c>
      <c r="B535">
        <v>583005820</v>
      </c>
      <c r="C535">
        <v>36813</v>
      </c>
      <c r="D535" t="s">
        <v>56</v>
      </c>
      <c r="E535" t="s">
        <v>310</v>
      </c>
      <c r="F535" t="s">
        <v>57</v>
      </c>
      <c r="G535" t="s">
        <v>58</v>
      </c>
      <c r="H535" t="s">
        <v>17</v>
      </c>
      <c r="I535" t="s">
        <v>135</v>
      </c>
      <c r="J535" t="s">
        <v>19</v>
      </c>
      <c r="K535">
        <v>150</v>
      </c>
      <c r="L535">
        <v>0</v>
      </c>
      <c r="M535" t="s">
        <v>20</v>
      </c>
    </row>
    <row r="536" spans="1:13" x14ac:dyDescent="0.35">
      <c r="A536">
        <v>535</v>
      </c>
      <c r="B536">
        <v>583005821</v>
      </c>
      <c r="C536">
        <v>36814</v>
      </c>
      <c r="D536" t="s">
        <v>56</v>
      </c>
      <c r="E536" t="s">
        <v>310</v>
      </c>
      <c r="F536" t="s">
        <v>57</v>
      </c>
      <c r="G536" t="s">
        <v>58</v>
      </c>
      <c r="H536" t="s">
        <v>17</v>
      </c>
      <c r="I536" t="s">
        <v>24</v>
      </c>
      <c r="J536" t="s">
        <v>25</v>
      </c>
      <c r="K536">
        <v>10</v>
      </c>
      <c r="L536">
        <v>0</v>
      </c>
      <c r="M536" t="s">
        <v>20</v>
      </c>
    </row>
    <row r="537" spans="1:13" x14ac:dyDescent="0.35">
      <c r="A537">
        <v>536</v>
      </c>
      <c r="B537">
        <v>583005775</v>
      </c>
      <c r="C537">
        <v>36759</v>
      </c>
      <c r="D537" t="s">
        <v>174</v>
      </c>
      <c r="E537" t="s">
        <v>310</v>
      </c>
      <c r="F537" t="s">
        <v>175</v>
      </c>
      <c r="G537" t="s">
        <v>176</v>
      </c>
      <c r="H537" t="s">
        <v>17</v>
      </c>
      <c r="I537" t="s">
        <v>18</v>
      </c>
      <c r="J537" t="s">
        <v>19</v>
      </c>
      <c r="K537">
        <v>96</v>
      </c>
      <c r="L537">
        <v>0</v>
      </c>
      <c r="M537" t="s">
        <v>20</v>
      </c>
    </row>
    <row r="538" spans="1:13" x14ac:dyDescent="0.35">
      <c r="A538">
        <v>537</v>
      </c>
      <c r="B538">
        <v>583005774</v>
      </c>
      <c r="C538">
        <v>36758</v>
      </c>
      <c r="D538" t="s">
        <v>174</v>
      </c>
      <c r="E538" t="s">
        <v>310</v>
      </c>
      <c r="F538" t="s">
        <v>175</v>
      </c>
      <c r="G538" t="s">
        <v>176</v>
      </c>
      <c r="H538" t="s">
        <v>17</v>
      </c>
      <c r="I538" t="s">
        <v>18</v>
      </c>
      <c r="J538" t="s">
        <v>19</v>
      </c>
      <c r="K538">
        <v>135</v>
      </c>
      <c r="L538">
        <v>0</v>
      </c>
      <c r="M538" t="s">
        <v>20</v>
      </c>
    </row>
    <row r="539" spans="1:13" x14ac:dyDescent="0.35">
      <c r="A539">
        <v>538</v>
      </c>
      <c r="B539">
        <v>583005777</v>
      </c>
      <c r="C539">
        <v>36761</v>
      </c>
      <c r="D539" t="s">
        <v>174</v>
      </c>
      <c r="E539" t="s">
        <v>310</v>
      </c>
      <c r="F539" t="s">
        <v>175</v>
      </c>
      <c r="G539" t="s">
        <v>176</v>
      </c>
      <c r="H539" t="s">
        <v>17</v>
      </c>
      <c r="I539" t="s">
        <v>18</v>
      </c>
      <c r="J539" t="s">
        <v>19</v>
      </c>
      <c r="K539">
        <v>90</v>
      </c>
      <c r="L539">
        <v>0</v>
      </c>
      <c r="M539" t="s">
        <v>20</v>
      </c>
    </row>
    <row r="540" spans="1:13" x14ac:dyDescent="0.35">
      <c r="A540">
        <v>539</v>
      </c>
      <c r="B540">
        <v>583005783</v>
      </c>
      <c r="C540">
        <v>36767</v>
      </c>
      <c r="D540" t="s">
        <v>147</v>
      </c>
      <c r="E540" t="s">
        <v>310</v>
      </c>
      <c r="F540" t="s">
        <v>148</v>
      </c>
      <c r="G540" t="s">
        <v>149</v>
      </c>
      <c r="H540" t="s">
        <v>17</v>
      </c>
      <c r="I540" t="s">
        <v>18</v>
      </c>
      <c r="J540" t="s">
        <v>19</v>
      </c>
      <c r="K540">
        <v>54</v>
      </c>
      <c r="L540">
        <v>0</v>
      </c>
      <c r="M540" t="s">
        <v>20</v>
      </c>
    </row>
    <row r="541" spans="1:13" x14ac:dyDescent="0.35">
      <c r="A541">
        <v>540</v>
      </c>
      <c r="B541">
        <v>583005787</v>
      </c>
      <c r="C541">
        <v>36773</v>
      </c>
      <c r="D541" t="s">
        <v>144</v>
      </c>
      <c r="E541" t="s">
        <v>310</v>
      </c>
      <c r="F541" t="s">
        <v>145</v>
      </c>
      <c r="G541" t="s">
        <v>146</v>
      </c>
      <c r="H541" t="s">
        <v>17</v>
      </c>
      <c r="I541" t="s">
        <v>18</v>
      </c>
      <c r="J541" t="s">
        <v>19</v>
      </c>
      <c r="K541">
        <v>33</v>
      </c>
      <c r="L541">
        <v>0</v>
      </c>
      <c r="M541" t="s">
        <v>20</v>
      </c>
    </row>
    <row r="542" spans="1:13" x14ac:dyDescent="0.35">
      <c r="A542">
        <v>541</v>
      </c>
      <c r="B542">
        <v>583005779</v>
      </c>
      <c r="C542">
        <v>36763</v>
      </c>
      <c r="D542" t="s">
        <v>174</v>
      </c>
      <c r="E542" t="s">
        <v>310</v>
      </c>
      <c r="F542" t="s">
        <v>175</v>
      </c>
      <c r="G542" t="s">
        <v>176</v>
      </c>
      <c r="H542" t="s">
        <v>17</v>
      </c>
      <c r="I542" t="s">
        <v>18</v>
      </c>
      <c r="J542" t="s">
        <v>19</v>
      </c>
      <c r="K542">
        <v>45</v>
      </c>
      <c r="L542">
        <v>0</v>
      </c>
      <c r="M542" t="s">
        <v>20</v>
      </c>
    </row>
    <row r="543" spans="1:13" x14ac:dyDescent="0.35">
      <c r="A543">
        <v>542</v>
      </c>
      <c r="B543">
        <v>583005776</v>
      </c>
      <c r="C543">
        <v>36760</v>
      </c>
      <c r="D543" t="s">
        <v>174</v>
      </c>
      <c r="E543" t="s">
        <v>310</v>
      </c>
      <c r="F543" t="s">
        <v>175</v>
      </c>
      <c r="G543" t="s">
        <v>176</v>
      </c>
      <c r="H543" t="s">
        <v>17</v>
      </c>
      <c r="I543" t="s">
        <v>18</v>
      </c>
      <c r="J543" t="s">
        <v>19</v>
      </c>
      <c r="K543">
        <v>45</v>
      </c>
      <c r="L543">
        <v>0</v>
      </c>
      <c r="M543" t="s">
        <v>20</v>
      </c>
    </row>
    <row r="544" spans="1:13" x14ac:dyDescent="0.35">
      <c r="A544">
        <v>543</v>
      </c>
      <c r="B544">
        <v>583005788</v>
      </c>
      <c r="C544">
        <v>36774</v>
      </c>
      <c r="D544" t="s">
        <v>110</v>
      </c>
      <c r="E544" t="s">
        <v>310</v>
      </c>
      <c r="F544" t="s">
        <v>111</v>
      </c>
      <c r="G544" t="s">
        <v>112</v>
      </c>
      <c r="H544" t="s">
        <v>17</v>
      </c>
      <c r="I544" t="s">
        <v>18</v>
      </c>
      <c r="J544" t="s">
        <v>19</v>
      </c>
      <c r="K544">
        <v>45</v>
      </c>
      <c r="L544">
        <v>0</v>
      </c>
      <c r="M544" t="s">
        <v>20</v>
      </c>
    </row>
    <row r="545" spans="1:13" x14ac:dyDescent="0.35">
      <c r="A545">
        <v>544</v>
      </c>
      <c r="B545">
        <v>583005784</v>
      </c>
      <c r="C545">
        <v>36769</v>
      </c>
      <c r="D545" t="s">
        <v>174</v>
      </c>
      <c r="E545" t="s">
        <v>310</v>
      </c>
      <c r="F545" t="s">
        <v>175</v>
      </c>
      <c r="G545" t="s">
        <v>176</v>
      </c>
      <c r="H545" t="s">
        <v>17</v>
      </c>
      <c r="I545" t="s">
        <v>18</v>
      </c>
      <c r="J545" t="s">
        <v>19</v>
      </c>
      <c r="K545">
        <v>9</v>
      </c>
      <c r="L545">
        <v>0</v>
      </c>
      <c r="M545" t="s">
        <v>20</v>
      </c>
    </row>
    <row r="546" spans="1:13" x14ac:dyDescent="0.35">
      <c r="A546">
        <v>545</v>
      </c>
      <c r="B546">
        <v>583005778</v>
      </c>
      <c r="C546">
        <v>36762</v>
      </c>
      <c r="D546" t="s">
        <v>174</v>
      </c>
      <c r="E546" t="s">
        <v>310</v>
      </c>
      <c r="F546" t="s">
        <v>175</v>
      </c>
      <c r="G546" t="s">
        <v>176</v>
      </c>
      <c r="H546" t="s">
        <v>17</v>
      </c>
      <c r="I546" t="s">
        <v>18</v>
      </c>
      <c r="J546" t="s">
        <v>19</v>
      </c>
      <c r="K546">
        <v>9</v>
      </c>
      <c r="L546">
        <v>0</v>
      </c>
      <c r="M546" t="s">
        <v>20</v>
      </c>
    </row>
    <row r="547" spans="1:13" x14ac:dyDescent="0.35">
      <c r="A547">
        <v>546</v>
      </c>
      <c r="B547">
        <v>583005789</v>
      </c>
      <c r="C547">
        <v>36775</v>
      </c>
      <c r="D547" t="s">
        <v>110</v>
      </c>
      <c r="E547" t="s">
        <v>310</v>
      </c>
      <c r="F547" t="s">
        <v>111</v>
      </c>
      <c r="G547" t="s">
        <v>112</v>
      </c>
      <c r="H547" t="s">
        <v>17</v>
      </c>
      <c r="I547" t="s">
        <v>18</v>
      </c>
      <c r="J547" t="s">
        <v>19</v>
      </c>
      <c r="K547">
        <v>51</v>
      </c>
      <c r="L547">
        <v>0</v>
      </c>
      <c r="M547" t="s">
        <v>20</v>
      </c>
    </row>
    <row r="548" spans="1:13" x14ac:dyDescent="0.35">
      <c r="A548">
        <v>547</v>
      </c>
      <c r="B548">
        <v>583005791</v>
      </c>
      <c r="C548">
        <v>36777</v>
      </c>
      <c r="D548" t="s">
        <v>280</v>
      </c>
      <c r="E548" t="s">
        <v>310</v>
      </c>
      <c r="F548" t="s">
        <v>281</v>
      </c>
      <c r="G548" t="s">
        <v>282</v>
      </c>
      <c r="H548" t="s">
        <v>17</v>
      </c>
      <c r="I548" t="s">
        <v>88</v>
      </c>
      <c r="J548" t="s">
        <v>19</v>
      </c>
      <c r="K548">
        <v>24</v>
      </c>
      <c r="L548">
        <v>0</v>
      </c>
      <c r="M548" t="s">
        <v>20</v>
      </c>
    </row>
    <row r="549" spans="1:13" x14ac:dyDescent="0.35">
      <c r="A549">
        <v>548</v>
      </c>
      <c r="B549">
        <v>583005792</v>
      </c>
      <c r="C549">
        <v>36778</v>
      </c>
      <c r="D549" t="s">
        <v>280</v>
      </c>
      <c r="E549" t="s">
        <v>310</v>
      </c>
      <c r="F549" t="s">
        <v>281</v>
      </c>
      <c r="G549" t="s">
        <v>282</v>
      </c>
      <c r="H549" t="s">
        <v>17</v>
      </c>
      <c r="I549" t="s">
        <v>18</v>
      </c>
      <c r="J549" t="s">
        <v>19</v>
      </c>
      <c r="K549">
        <v>45</v>
      </c>
      <c r="L549">
        <v>0</v>
      </c>
      <c r="M549" t="s">
        <v>20</v>
      </c>
    </row>
    <row r="550" spans="1:13" x14ac:dyDescent="0.35">
      <c r="A550">
        <v>549</v>
      </c>
      <c r="B550">
        <v>583005790</v>
      </c>
      <c r="C550">
        <v>36776</v>
      </c>
      <c r="D550" t="s">
        <v>280</v>
      </c>
      <c r="E550" t="s">
        <v>310</v>
      </c>
      <c r="F550" t="s">
        <v>281</v>
      </c>
      <c r="G550" t="s">
        <v>282</v>
      </c>
      <c r="H550" t="s">
        <v>17</v>
      </c>
      <c r="I550" t="s">
        <v>135</v>
      </c>
      <c r="J550" t="s">
        <v>19</v>
      </c>
      <c r="K550">
        <v>111</v>
      </c>
      <c r="L550">
        <v>0</v>
      </c>
      <c r="M550" t="s">
        <v>20</v>
      </c>
    </row>
    <row r="551" spans="1:13" x14ac:dyDescent="0.35">
      <c r="A551">
        <v>550</v>
      </c>
      <c r="B551">
        <v>583005796</v>
      </c>
      <c r="C551">
        <v>36782</v>
      </c>
      <c r="D551" t="s">
        <v>280</v>
      </c>
      <c r="E551" t="s">
        <v>310</v>
      </c>
      <c r="F551" t="s">
        <v>281</v>
      </c>
      <c r="G551" t="s">
        <v>282</v>
      </c>
      <c r="H551" t="s">
        <v>17</v>
      </c>
      <c r="I551" t="s">
        <v>18</v>
      </c>
      <c r="J551" t="s">
        <v>19</v>
      </c>
      <c r="K551">
        <v>135</v>
      </c>
      <c r="L551">
        <v>0</v>
      </c>
      <c r="M551" t="s">
        <v>20</v>
      </c>
    </row>
    <row r="552" spans="1:13" x14ac:dyDescent="0.35">
      <c r="A552">
        <v>551</v>
      </c>
      <c r="B552">
        <v>583005793</v>
      </c>
      <c r="C552">
        <v>36779</v>
      </c>
      <c r="D552" t="s">
        <v>280</v>
      </c>
      <c r="E552" t="s">
        <v>310</v>
      </c>
      <c r="F552" t="s">
        <v>281</v>
      </c>
      <c r="G552" t="s">
        <v>282</v>
      </c>
      <c r="H552" t="s">
        <v>17</v>
      </c>
      <c r="I552" t="s">
        <v>18</v>
      </c>
      <c r="J552" t="s">
        <v>19</v>
      </c>
      <c r="K552">
        <v>135</v>
      </c>
      <c r="L552">
        <v>0</v>
      </c>
      <c r="M552" t="s">
        <v>20</v>
      </c>
    </row>
    <row r="553" spans="1:13" x14ac:dyDescent="0.35">
      <c r="A553">
        <v>552</v>
      </c>
      <c r="B553">
        <v>583005794</v>
      </c>
      <c r="C553">
        <v>36780</v>
      </c>
      <c r="D553" t="s">
        <v>280</v>
      </c>
      <c r="E553" t="s">
        <v>310</v>
      </c>
      <c r="F553" t="s">
        <v>281</v>
      </c>
      <c r="G553" t="s">
        <v>282</v>
      </c>
      <c r="H553" t="s">
        <v>17</v>
      </c>
      <c r="I553" t="s">
        <v>18</v>
      </c>
      <c r="J553" t="s">
        <v>19</v>
      </c>
      <c r="K553">
        <v>90</v>
      </c>
      <c r="L553">
        <v>0</v>
      </c>
      <c r="M553" t="s">
        <v>20</v>
      </c>
    </row>
    <row r="554" spans="1:13" x14ac:dyDescent="0.35">
      <c r="A554">
        <v>553</v>
      </c>
      <c r="B554">
        <v>583005794</v>
      </c>
      <c r="C554">
        <v>36780</v>
      </c>
      <c r="D554" t="s">
        <v>280</v>
      </c>
      <c r="E554" t="s">
        <v>310</v>
      </c>
      <c r="F554" t="s">
        <v>281</v>
      </c>
      <c r="G554" t="s">
        <v>282</v>
      </c>
      <c r="H554" t="s">
        <v>17</v>
      </c>
      <c r="I554" t="s">
        <v>18</v>
      </c>
      <c r="J554" t="s">
        <v>19</v>
      </c>
      <c r="K554">
        <v>135</v>
      </c>
      <c r="L554">
        <v>0</v>
      </c>
      <c r="M554" t="s">
        <v>20</v>
      </c>
    </row>
    <row r="555" spans="1:13" x14ac:dyDescent="0.35">
      <c r="A555">
        <v>554</v>
      </c>
      <c r="B555">
        <v>583005782</v>
      </c>
      <c r="C555">
        <v>36766</v>
      </c>
      <c r="D555" t="s">
        <v>147</v>
      </c>
      <c r="E555" t="s">
        <v>310</v>
      </c>
      <c r="F555" t="s">
        <v>148</v>
      </c>
      <c r="G555" t="s">
        <v>149</v>
      </c>
      <c r="H555" t="s">
        <v>17</v>
      </c>
      <c r="I555" t="s">
        <v>18</v>
      </c>
      <c r="J555" t="s">
        <v>19</v>
      </c>
      <c r="K555">
        <v>120</v>
      </c>
      <c r="L555">
        <v>0</v>
      </c>
      <c r="M555" t="s">
        <v>20</v>
      </c>
    </row>
    <row r="556" spans="1:13" x14ac:dyDescent="0.35">
      <c r="A556">
        <v>555</v>
      </c>
      <c r="B556">
        <v>583005842</v>
      </c>
      <c r="C556">
        <v>36851</v>
      </c>
      <c r="D556" t="s">
        <v>317</v>
      </c>
      <c r="E556" t="s">
        <v>318</v>
      </c>
      <c r="F556" t="s">
        <v>319</v>
      </c>
      <c r="G556" t="s">
        <v>320</v>
      </c>
      <c r="H556" t="s">
        <v>17</v>
      </c>
      <c r="I556" t="s">
        <v>18</v>
      </c>
      <c r="J556" t="s">
        <v>19</v>
      </c>
      <c r="K556">
        <v>90</v>
      </c>
      <c r="L556">
        <v>0</v>
      </c>
      <c r="M556" t="s">
        <v>20</v>
      </c>
    </row>
    <row r="557" spans="1:13" x14ac:dyDescent="0.35">
      <c r="A557">
        <v>556</v>
      </c>
      <c r="B557">
        <v>583005838</v>
      </c>
      <c r="C557">
        <v>36845</v>
      </c>
      <c r="D557" t="s">
        <v>321</v>
      </c>
      <c r="E557" t="s">
        <v>318</v>
      </c>
      <c r="F557" t="s">
        <v>322</v>
      </c>
      <c r="G557" t="s">
        <v>323</v>
      </c>
      <c r="H557" t="s">
        <v>17</v>
      </c>
      <c r="I557" t="s">
        <v>18</v>
      </c>
      <c r="J557" t="s">
        <v>19</v>
      </c>
      <c r="K557">
        <v>123</v>
      </c>
      <c r="L557">
        <v>0</v>
      </c>
      <c r="M557" t="s">
        <v>20</v>
      </c>
    </row>
    <row r="558" spans="1:13" x14ac:dyDescent="0.35">
      <c r="A558">
        <v>557</v>
      </c>
      <c r="B558">
        <v>583005877</v>
      </c>
      <c r="C558">
        <v>36907</v>
      </c>
      <c r="D558" t="s">
        <v>199</v>
      </c>
      <c r="E558" t="s">
        <v>318</v>
      </c>
      <c r="F558" t="s">
        <v>201</v>
      </c>
      <c r="G558" t="s">
        <v>202</v>
      </c>
      <c r="H558" t="s">
        <v>17</v>
      </c>
      <c r="I558" t="s">
        <v>24</v>
      </c>
      <c r="J558" t="s">
        <v>25</v>
      </c>
      <c r="K558">
        <v>20</v>
      </c>
      <c r="L558">
        <v>0</v>
      </c>
      <c r="M558" t="s">
        <v>20</v>
      </c>
    </row>
    <row r="559" spans="1:13" x14ac:dyDescent="0.35">
      <c r="A559">
        <v>558</v>
      </c>
      <c r="B559">
        <v>583005876</v>
      </c>
      <c r="C559">
        <v>36906</v>
      </c>
      <c r="D559" t="s">
        <v>199</v>
      </c>
      <c r="E559" t="s">
        <v>318</v>
      </c>
      <c r="F559" t="s">
        <v>201</v>
      </c>
      <c r="G559" t="s">
        <v>202</v>
      </c>
      <c r="H559" t="s">
        <v>17</v>
      </c>
      <c r="I559" t="s">
        <v>18</v>
      </c>
      <c r="J559" t="s">
        <v>19</v>
      </c>
      <c r="K559">
        <v>2898</v>
      </c>
      <c r="L559">
        <v>0</v>
      </c>
      <c r="M559" t="s">
        <v>20</v>
      </c>
    </row>
    <row r="560" spans="1:13" x14ac:dyDescent="0.35">
      <c r="A560">
        <v>559</v>
      </c>
      <c r="B560">
        <v>583005843</v>
      </c>
      <c r="C560">
        <v>36852</v>
      </c>
      <c r="D560" t="s">
        <v>29</v>
      </c>
      <c r="E560" t="s">
        <v>318</v>
      </c>
      <c r="F560" t="s">
        <v>30</v>
      </c>
      <c r="G560" t="s">
        <v>31</v>
      </c>
      <c r="H560" t="s">
        <v>17</v>
      </c>
      <c r="I560" t="s">
        <v>18</v>
      </c>
      <c r="J560" t="s">
        <v>19</v>
      </c>
      <c r="K560">
        <v>444</v>
      </c>
      <c r="L560">
        <v>0</v>
      </c>
      <c r="M560" t="s">
        <v>20</v>
      </c>
    </row>
    <row r="561" spans="1:13" x14ac:dyDescent="0.35">
      <c r="A561">
        <v>560</v>
      </c>
      <c r="B561">
        <v>583005843</v>
      </c>
      <c r="C561">
        <v>36852</v>
      </c>
      <c r="D561" t="s">
        <v>29</v>
      </c>
      <c r="E561" t="s">
        <v>318</v>
      </c>
      <c r="F561" t="s">
        <v>30</v>
      </c>
      <c r="G561" t="s">
        <v>31</v>
      </c>
      <c r="H561" t="s">
        <v>17</v>
      </c>
      <c r="I561" t="s">
        <v>18</v>
      </c>
      <c r="J561" t="s">
        <v>19</v>
      </c>
      <c r="K561">
        <v>1455</v>
      </c>
      <c r="L561">
        <v>0</v>
      </c>
      <c r="M561" t="s">
        <v>20</v>
      </c>
    </row>
    <row r="562" spans="1:13" x14ac:dyDescent="0.35">
      <c r="A562">
        <v>561</v>
      </c>
      <c r="B562">
        <v>583005843</v>
      </c>
      <c r="C562">
        <v>36852</v>
      </c>
      <c r="D562" t="s">
        <v>29</v>
      </c>
      <c r="E562" t="s">
        <v>318</v>
      </c>
      <c r="F562" t="s">
        <v>30</v>
      </c>
      <c r="G562" t="s">
        <v>31</v>
      </c>
      <c r="H562" t="s">
        <v>17</v>
      </c>
      <c r="I562" t="s">
        <v>18</v>
      </c>
      <c r="J562" t="s">
        <v>19</v>
      </c>
      <c r="K562">
        <v>2112</v>
      </c>
      <c r="L562">
        <v>0</v>
      </c>
      <c r="M562" t="s">
        <v>20</v>
      </c>
    </row>
    <row r="563" spans="1:13" x14ac:dyDescent="0.35">
      <c r="A563">
        <v>562</v>
      </c>
      <c r="B563">
        <v>583005854</v>
      </c>
      <c r="C563">
        <v>36865</v>
      </c>
      <c r="D563" t="s">
        <v>110</v>
      </c>
      <c r="E563" t="s">
        <v>318</v>
      </c>
      <c r="F563" t="s">
        <v>111</v>
      </c>
      <c r="G563" t="s">
        <v>112</v>
      </c>
      <c r="H563" t="s">
        <v>17</v>
      </c>
      <c r="I563" t="s">
        <v>18</v>
      </c>
      <c r="J563" t="s">
        <v>19</v>
      </c>
      <c r="K563">
        <v>36</v>
      </c>
      <c r="L563">
        <v>0</v>
      </c>
      <c r="M563" t="s">
        <v>20</v>
      </c>
    </row>
    <row r="564" spans="1:13" x14ac:dyDescent="0.35">
      <c r="A564">
        <v>563</v>
      </c>
      <c r="B564">
        <v>583005836</v>
      </c>
      <c r="C564">
        <v>36843</v>
      </c>
      <c r="D564" t="s">
        <v>92</v>
      </c>
      <c r="E564" t="s">
        <v>318</v>
      </c>
      <c r="F564" t="s">
        <v>93</v>
      </c>
      <c r="G564" t="s">
        <v>94</v>
      </c>
      <c r="H564" t="s">
        <v>17</v>
      </c>
      <c r="I564" t="s">
        <v>18</v>
      </c>
      <c r="J564" t="s">
        <v>19</v>
      </c>
      <c r="K564">
        <v>45</v>
      </c>
      <c r="L564">
        <v>0</v>
      </c>
      <c r="M564" t="s">
        <v>20</v>
      </c>
    </row>
    <row r="565" spans="1:13" x14ac:dyDescent="0.35">
      <c r="A565">
        <v>564</v>
      </c>
      <c r="B565">
        <v>583005864</v>
      </c>
      <c r="C565">
        <v>36886</v>
      </c>
      <c r="D565" t="s">
        <v>125</v>
      </c>
      <c r="E565" t="s">
        <v>318</v>
      </c>
      <c r="F565" t="s">
        <v>127</v>
      </c>
      <c r="G565" t="s">
        <v>128</v>
      </c>
      <c r="H565" t="s">
        <v>17</v>
      </c>
      <c r="I565" t="s">
        <v>18</v>
      </c>
      <c r="J565" t="s">
        <v>19</v>
      </c>
      <c r="K565">
        <v>1299</v>
      </c>
      <c r="L565">
        <v>0</v>
      </c>
      <c r="M565" t="s">
        <v>20</v>
      </c>
    </row>
    <row r="566" spans="1:13" x14ac:dyDescent="0.35">
      <c r="A566">
        <v>565</v>
      </c>
      <c r="B566">
        <v>583005864</v>
      </c>
      <c r="C566">
        <v>36886</v>
      </c>
      <c r="D566" t="s">
        <v>125</v>
      </c>
      <c r="E566" t="s">
        <v>318</v>
      </c>
      <c r="F566" t="s">
        <v>127</v>
      </c>
      <c r="G566" t="s">
        <v>128</v>
      </c>
      <c r="H566" t="s">
        <v>17</v>
      </c>
      <c r="I566" t="s">
        <v>18</v>
      </c>
      <c r="J566" t="s">
        <v>19</v>
      </c>
      <c r="K566">
        <v>2739</v>
      </c>
      <c r="L566">
        <v>0</v>
      </c>
      <c r="M566" t="s">
        <v>20</v>
      </c>
    </row>
    <row r="567" spans="1:13" x14ac:dyDescent="0.35">
      <c r="A567">
        <v>566</v>
      </c>
      <c r="B567">
        <v>583005860</v>
      </c>
      <c r="C567">
        <v>36880</v>
      </c>
      <c r="D567" t="s">
        <v>36</v>
      </c>
      <c r="E567" t="s">
        <v>318</v>
      </c>
      <c r="F567" t="s">
        <v>37</v>
      </c>
      <c r="G567" t="s">
        <v>38</v>
      </c>
      <c r="H567" t="s">
        <v>17</v>
      </c>
      <c r="I567" t="s">
        <v>18</v>
      </c>
      <c r="J567" t="s">
        <v>19</v>
      </c>
      <c r="K567">
        <v>399</v>
      </c>
      <c r="L567">
        <v>0</v>
      </c>
      <c r="M567" t="s">
        <v>20</v>
      </c>
    </row>
    <row r="568" spans="1:13" x14ac:dyDescent="0.35">
      <c r="A568">
        <v>567</v>
      </c>
      <c r="B568">
        <v>583005860</v>
      </c>
      <c r="C568">
        <v>36880</v>
      </c>
      <c r="D568" t="s">
        <v>36</v>
      </c>
      <c r="E568" t="s">
        <v>318</v>
      </c>
      <c r="F568" t="s">
        <v>37</v>
      </c>
      <c r="G568" t="s">
        <v>38</v>
      </c>
      <c r="H568" t="s">
        <v>17</v>
      </c>
      <c r="I568" t="s">
        <v>18</v>
      </c>
      <c r="J568" t="s">
        <v>19</v>
      </c>
      <c r="K568">
        <v>1572</v>
      </c>
      <c r="L568">
        <v>0</v>
      </c>
      <c r="M568" t="s">
        <v>20</v>
      </c>
    </row>
    <row r="569" spans="1:13" x14ac:dyDescent="0.35">
      <c r="A569">
        <v>568</v>
      </c>
      <c r="B569">
        <v>583005860</v>
      </c>
      <c r="C569">
        <v>36880</v>
      </c>
      <c r="D569" t="s">
        <v>36</v>
      </c>
      <c r="E569" t="s">
        <v>318</v>
      </c>
      <c r="F569" t="s">
        <v>37</v>
      </c>
      <c r="G569" t="s">
        <v>38</v>
      </c>
      <c r="H569" t="s">
        <v>17</v>
      </c>
      <c r="I569" t="s">
        <v>18</v>
      </c>
      <c r="J569" t="s">
        <v>19</v>
      </c>
      <c r="K569">
        <v>66</v>
      </c>
      <c r="L569">
        <v>0</v>
      </c>
      <c r="M569" t="s">
        <v>20</v>
      </c>
    </row>
    <row r="570" spans="1:13" x14ac:dyDescent="0.35">
      <c r="A570">
        <v>569</v>
      </c>
      <c r="B570">
        <v>583005860</v>
      </c>
      <c r="C570">
        <v>36880</v>
      </c>
      <c r="D570" t="s">
        <v>36</v>
      </c>
      <c r="E570" t="s">
        <v>318</v>
      </c>
      <c r="F570" t="s">
        <v>37</v>
      </c>
      <c r="G570" t="s">
        <v>38</v>
      </c>
      <c r="H570" t="s">
        <v>17</v>
      </c>
      <c r="I570" t="s">
        <v>18</v>
      </c>
      <c r="J570" t="s">
        <v>19</v>
      </c>
      <c r="K570">
        <v>90</v>
      </c>
      <c r="L570">
        <v>0</v>
      </c>
      <c r="M570" t="s">
        <v>20</v>
      </c>
    </row>
    <row r="571" spans="1:13" x14ac:dyDescent="0.35">
      <c r="A571">
        <v>570</v>
      </c>
      <c r="B571">
        <v>583005871</v>
      </c>
      <c r="C571">
        <v>36897</v>
      </c>
      <c r="D571" t="s">
        <v>56</v>
      </c>
      <c r="E571" t="s">
        <v>318</v>
      </c>
      <c r="F571" t="s">
        <v>57</v>
      </c>
      <c r="G571" t="s">
        <v>58</v>
      </c>
      <c r="H571" t="s">
        <v>17</v>
      </c>
      <c r="I571" t="s">
        <v>18</v>
      </c>
      <c r="J571" t="s">
        <v>19</v>
      </c>
      <c r="K571">
        <v>270</v>
      </c>
      <c r="L571">
        <v>0</v>
      </c>
      <c r="M571" t="s">
        <v>20</v>
      </c>
    </row>
    <row r="572" spans="1:13" x14ac:dyDescent="0.35">
      <c r="A572">
        <v>571</v>
      </c>
      <c r="B572">
        <v>583005873</v>
      </c>
      <c r="C572">
        <v>36902</v>
      </c>
      <c r="D572" t="s">
        <v>116</v>
      </c>
      <c r="E572" t="s">
        <v>318</v>
      </c>
      <c r="F572" t="s">
        <v>117</v>
      </c>
      <c r="G572" t="s">
        <v>118</v>
      </c>
      <c r="H572" t="s">
        <v>17</v>
      </c>
      <c r="I572" t="s">
        <v>24</v>
      </c>
      <c r="J572" t="s">
        <v>25</v>
      </c>
      <c r="K572">
        <v>80</v>
      </c>
      <c r="L572">
        <v>0</v>
      </c>
      <c r="M572" t="s">
        <v>20</v>
      </c>
    </row>
    <row r="573" spans="1:13" x14ac:dyDescent="0.35">
      <c r="A573">
        <v>572</v>
      </c>
      <c r="B573">
        <v>583005861</v>
      </c>
      <c r="C573">
        <v>36881</v>
      </c>
      <c r="D573" t="s">
        <v>36</v>
      </c>
      <c r="E573" t="s">
        <v>318</v>
      </c>
      <c r="F573" t="s">
        <v>37</v>
      </c>
      <c r="G573" t="s">
        <v>38</v>
      </c>
      <c r="H573" t="s">
        <v>17</v>
      </c>
      <c r="I573" t="s">
        <v>18</v>
      </c>
      <c r="J573" t="s">
        <v>19</v>
      </c>
      <c r="K573">
        <v>1851</v>
      </c>
      <c r="L573">
        <v>0</v>
      </c>
      <c r="M573" t="s">
        <v>20</v>
      </c>
    </row>
    <row r="574" spans="1:13" x14ac:dyDescent="0.35">
      <c r="A574">
        <v>573</v>
      </c>
      <c r="B574">
        <v>583005861</v>
      </c>
      <c r="C574">
        <v>36881</v>
      </c>
      <c r="D574" t="s">
        <v>36</v>
      </c>
      <c r="E574" t="s">
        <v>318</v>
      </c>
      <c r="F574" t="s">
        <v>37</v>
      </c>
      <c r="G574" t="s">
        <v>38</v>
      </c>
      <c r="H574" t="s">
        <v>17</v>
      </c>
      <c r="I574" t="s">
        <v>18</v>
      </c>
      <c r="J574" t="s">
        <v>19</v>
      </c>
      <c r="K574">
        <v>108</v>
      </c>
      <c r="L574">
        <v>0</v>
      </c>
      <c r="M574" t="s">
        <v>20</v>
      </c>
    </row>
    <row r="575" spans="1:13" x14ac:dyDescent="0.35">
      <c r="A575">
        <v>574</v>
      </c>
      <c r="B575">
        <v>583005861</v>
      </c>
      <c r="C575">
        <v>36881</v>
      </c>
      <c r="D575" t="s">
        <v>36</v>
      </c>
      <c r="E575" t="s">
        <v>318</v>
      </c>
      <c r="F575" t="s">
        <v>37</v>
      </c>
      <c r="G575" t="s">
        <v>38</v>
      </c>
      <c r="H575" t="s">
        <v>17</v>
      </c>
      <c r="I575" t="s">
        <v>18</v>
      </c>
      <c r="J575" t="s">
        <v>19</v>
      </c>
      <c r="K575">
        <v>36</v>
      </c>
      <c r="L575">
        <v>0</v>
      </c>
      <c r="M575" t="s">
        <v>20</v>
      </c>
    </row>
    <row r="576" spans="1:13" x14ac:dyDescent="0.35">
      <c r="A576">
        <v>575</v>
      </c>
      <c r="B576">
        <v>583005872</v>
      </c>
      <c r="C576">
        <v>36900</v>
      </c>
      <c r="D576" t="s">
        <v>116</v>
      </c>
      <c r="E576" t="s">
        <v>318</v>
      </c>
      <c r="F576" t="s">
        <v>117</v>
      </c>
      <c r="G576" t="s">
        <v>118</v>
      </c>
      <c r="H576" t="s">
        <v>17</v>
      </c>
      <c r="I576" t="s">
        <v>18</v>
      </c>
      <c r="J576" t="s">
        <v>19</v>
      </c>
      <c r="K576">
        <v>1641</v>
      </c>
      <c r="L576">
        <v>0</v>
      </c>
      <c r="M576" t="s">
        <v>20</v>
      </c>
    </row>
    <row r="577" spans="1:13" x14ac:dyDescent="0.35">
      <c r="A577">
        <v>576</v>
      </c>
      <c r="B577">
        <v>583005876</v>
      </c>
      <c r="C577">
        <v>36906</v>
      </c>
      <c r="D577" t="s">
        <v>199</v>
      </c>
      <c r="E577" t="s">
        <v>318</v>
      </c>
      <c r="F577" t="s">
        <v>201</v>
      </c>
      <c r="G577" t="s">
        <v>202</v>
      </c>
      <c r="H577" t="s">
        <v>17</v>
      </c>
      <c r="I577" t="s">
        <v>18</v>
      </c>
      <c r="J577" t="s">
        <v>19</v>
      </c>
      <c r="K577">
        <v>972</v>
      </c>
      <c r="L577">
        <v>0</v>
      </c>
      <c r="M577" t="s">
        <v>20</v>
      </c>
    </row>
    <row r="578" spans="1:13" x14ac:dyDescent="0.35">
      <c r="A578">
        <v>577</v>
      </c>
      <c r="B578">
        <v>583005875</v>
      </c>
      <c r="C578">
        <v>36905</v>
      </c>
      <c r="D578" t="s">
        <v>82</v>
      </c>
      <c r="E578" t="s">
        <v>318</v>
      </c>
      <c r="F578" t="s">
        <v>83</v>
      </c>
      <c r="G578" t="s">
        <v>84</v>
      </c>
      <c r="H578" t="s">
        <v>17</v>
      </c>
      <c r="I578" t="s">
        <v>18</v>
      </c>
      <c r="J578" t="s">
        <v>19</v>
      </c>
      <c r="K578">
        <v>2826</v>
      </c>
      <c r="L578">
        <v>0</v>
      </c>
      <c r="M578" t="s">
        <v>20</v>
      </c>
    </row>
    <row r="579" spans="1:13" x14ac:dyDescent="0.35">
      <c r="A579">
        <v>578</v>
      </c>
      <c r="B579">
        <v>583005828</v>
      </c>
      <c r="C579">
        <v>36835</v>
      </c>
      <c r="D579" t="s">
        <v>129</v>
      </c>
      <c r="E579" t="s">
        <v>318</v>
      </c>
      <c r="F579" t="s">
        <v>130</v>
      </c>
      <c r="G579" t="s">
        <v>131</v>
      </c>
      <c r="H579" t="s">
        <v>17</v>
      </c>
      <c r="I579" t="s">
        <v>18</v>
      </c>
      <c r="J579" t="s">
        <v>19</v>
      </c>
      <c r="K579">
        <v>45</v>
      </c>
      <c r="L579">
        <v>0</v>
      </c>
      <c r="M579" t="s">
        <v>20</v>
      </c>
    </row>
    <row r="580" spans="1:13" x14ac:dyDescent="0.35">
      <c r="A580">
        <v>579</v>
      </c>
      <c r="B580">
        <v>583005829</v>
      </c>
      <c r="C580">
        <v>36836</v>
      </c>
      <c r="D580" t="s">
        <v>65</v>
      </c>
      <c r="E580" t="s">
        <v>318</v>
      </c>
      <c r="F580" t="s">
        <v>66</v>
      </c>
      <c r="G580" t="s">
        <v>67</v>
      </c>
      <c r="H580" t="s">
        <v>17</v>
      </c>
      <c r="I580" t="s">
        <v>90</v>
      </c>
      <c r="J580" t="s">
        <v>74</v>
      </c>
      <c r="K580">
        <v>2</v>
      </c>
      <c r="L580">
        <v>0</v>
      </c>
      <c r="M580" t="s">
        <v>20</v>
      </c>
    </row>
    <row r="581" spans="1:13" x14ac:dyDescent="0.35">
      <c r="A581">
        <v>580</v>
      </c>
      <c r="B581">
        <v>583005829</v>
      </c>
      <c r="C581">
        <v>36836</v>
      </c>
      <c r="D581" t="s">
        <v>65</v>
      </c>
      <c r="E581" t="s">
        <v>318</v>
      </c>
      <c r="F581" t="s">
        <v>66</v>
      </c>
      <c r="G581" t="s">
        <v>67</v>
      </c>
      <c r="H581" t="s">
        <v>17</v>
      </c>
      <c r="I581" t="s">
        <v>35</v>
      </c>
      <c r="J581" t="s">
        <v>25</v>
      </c>
      <c r="K581">
        <v>1</v>
      </c>
      <c r="L581">
        <v>0</v>
      </c>
      <c r="M581" t="s">
        <v>20</v>
      </c>
    </row>
    <row r="582" spans="1:13" x14ac:dyDescent="0.35">
      <c r="A582">
        <v>581</v>
      </c>
      <c r="B582">
        <v>583005834</v>
      </c>
      <c r="C582">
        <v>36841</v>
      </c>
      <c r="D582" t="s">
        <v>247</v>
      </c>
      <c r="E582" t="s">
        <v>318</v>
      </c>
      <c r="F582" t="s">
        <v>248</v>
      </c>
      <c r="G582" t="s">
        <v>249</v>
      </c>
      <c r="H582" t="s">
        <v>17</v>
      </c>
      <c r="I582" t="s">
        <v>18</v>
      </c>
      <c r="J582" t="s">
        <v>19</v>
      </c>
      <c r="K582">
        <v>21</v>
      </c>
      <c r="L582">
        <v>0</v>
      </c>
      <c r="M582" t="s">
        <v>20</v>
      </c>
    </row>
    <row r="583" spans="1:13" x14ac:dyDescent="0.35">
      <c r="A583">
        <v>582</v>
      </c>
      <c r="B583">
        <v>583005875</v>
      </c>
      <c r="C583">
        <v>36905</v>
      </c>
      <c r="D583" t="s">
        <v>82</v>
      </c>
      <c r="E583" t="s">
        <v>318</v>
      </c>
      <c r="F583" t="s">
        <v>83</v>
      </c>
      <c r="G583" t="s">
        <v>84</v>
      </c>
      <c r="H583" t="s">
        <v>17</v>
      </c>
      <c r="I583" t="s">
        <v>18</v>
      </c>
      <c r="J583" t="s">
        <v>19</v>
      </c>
      <c r="K583">
        <v>702</v>
      </c>
      <c r="L583">
        <v>0</v>
      </c>
      <c r="M583" t="s">
        <v>20</v>
      </c>
    </row>
    <row r="584" spans="1:13" x14ac:dyDescent="0.35">
      <c r="A584">
        <v>583</v>
      </c>
      <c r="B584">
        <v>583005847</v>
      </c>
      <c r="C584">
        <v>36858</v>
      </c>
      <c r="D584" t="s">
        <v>147</v>
      </c>
      <c r="E584" t="s">
        <v>318</v>
      </c>
      <c r="F584" t="s">
        <v>148</v>
      </c>
      <c r="G584" t="s">
        <v>149</v>
      </c>
      <c r="H584" t="s">
        <v>17</v>
      </c>
      <c r="I584" t="s">
        <v>18</v>
      </c>
      <c r="J584" t="s">
        <v>19</v>
      </c>
      <c r="K584">
        <v>6</v>
      </c>
      <c r="L584">
        <v>0</v>
      </c>
      <c r="M584" t="s">
        <v>20</v>
      </c>
    </row>
    <row r="585" spans="1:13" x14ac:dyDescent="0.35">
      <c r="A585">
        <v>584</v>
      </c>
      <c r="B585">
        <v>583005833</v>
      </c>
      <c r="C585">
        <v>36840</v>
      </c>
      <c r="D585" t="s">
        <v>65</v>
      </c>
      <c r="E585" t="s">
        <v>318</v>
      </c>
      <c r="F585" t="s">
        <v>66</v>
      </c>
      <c r="G585" t="s">
        <v>67</v>
      </c>
      <c r="H585" t="s">
        <v>17</v>
      </c>
      <c r="I585" t="s">
        <v>18</v>
      </c>
      <c r="J585" t="s">
        <v>19</v>
      </c>
      <c r="K585">
        <v>12</v>
      </c>
      <c r="L585">
        <v>0</v>
      </c>
      <c r="M585" t="s">
        <v>20</v>
      </c>
    </row>
    <row r="586" spans="1:13" x14ac:dyDescent="0.35">
      <c r="A586">
        <v>585</v>
      </c>
      <c r="B586">
        <v>583005830</v>
      </c>
      <c r="C586">
        <v>36837</v>
      </c>
      <c r="D586" t="s">
        <v>65</v>
      </c>
      <c r="E586" t="s">
        <v>318</v>
      </c>
      <c r="F586" t="s">
        <v>66</v>
      </c>
      <c r="G586" t="s">
        <v>67</v>
      </c>
      <c r="H586" t="s">
        <v>17</v>
      </c>
      <c r="I586" t="s">
        <v>135</v>
      </c>
      <c r="J586" t="s">
        <v>19</v>
      </c>
      <c r="K586">
        <v>39</v>
      </c>
      <c r="L586">
        <v>0</v>
      </c>
      <c r="M586" t="s">
        <v>20</v>
      </c>
    </row>
    <row r="587" spans="1:13" x14ac:dyDescent="0.35">
      <c r="A587">
        <v>586</v>
      </c>
      <c r="B587">
        <v>583005832</v>
      </c>
      <c r="C587">
        <v>36839</v>
      </c>
      <c r="D587" t="s">
        <v>139</v>
      </c>
      <c r="E587" t="s">
        <v>318</v>
      </c>
      <c r="F587" t="s">
        <v>140</v>
      </c>
      <c r="G587" t="s">
        <v>141</v>
      </c>
      <c r="H587" t="s">
        <v>17</v>
      </c>
      <c r="I587" t="s">
        <v>18</v>
      </c>
      <c r="J587" t="s">
        <v>19</v>
      </c>
      <c r="K587">
        <v>12</v>
      </c>
      <c r="L587">
        <v>0</v>
      </c>
      <c r="M587" t="s">
        <v>20</v>
      </c>
    </row>
    <row r="588" spans="1:13" x14ac:dyDescent="0.35">
      <c r="A588">
        <v>587</v>
      </c>
      <c r="B588">
        <v>583005846</v>
      </c>
      <c r="C588">
        <v>36857</v>
      </c>
      <c r="D588" t="s">
        <v>147</v>
      </c>
      <c r="E588" t="s">
        <v>318</v>
      </c>
      <c r="F588" t="s">
        <v>148</v>
      </c>
      <c r="G588" t="s">
        <v>149</v>
      </c>
      <c r="H588" t="s">
        <v>17</v>
      </c>
      <c r="I588" t="s">
        <v>18</v>
      </c>
      <c r="J588" t="s">
        <v>19</v>
      </c>
      <c r="K588">
        <v>36</v>
      </c>
      <c r="L588">
        <v>0</v>
      </c>
      <c r="M588" t="s">
        <v>20</v>
      </c>
    </row>
    <row r="589" spans="1:13" x14ac:dyDescent="0.35">
      <c r="A589">
        <v>588</v>
      </c>
      <c r="B589">
        <v>583005875</v>
      </c>
      <c r="C589">
        <v>36905</v>
      </c>
      <c r="D589" t="s">
        <v>82</v>
      </c>
      <c r="E589" t="s">
        <v>318</v>
      </c>
      <c r="F589" t="s">
        <v>83</v>
      </c>
      <c r="G589" t="s">
        <v>84</v>
      </c>
      <c r="H589" t="s">
        <v>17</v>
      </c>
      <c r="I589" t="s">
        <v>18</v>
      </c>
      <c r="J589" t="s">
        <v>19</v>
      </c>
      <c r="K589">
        <v>405</v>
      </c>
      <c r="L589">
        <v>0</v>
      </c>
      <c r="M589" t="s">
        <v>20</v>
      </c>
    </row>
    <row r="590" spans="1:13" x14ac:dyDescent="0.35">
      <c r="A590">
        <v>589</v>
      </c>
      <c r="B590">
        <v>583005852</v>
      </c>
      <c r="C590">
        <v>36863</v>
      </c>
      <c r="D590" t="s">
        <v>110</v>
      </c>
      <c r="E590" t="s">
        <v>318</v>
      </c>
      <c r="F590" t="s">
        <v>111</v>
      </c>
      <c r="G590" t="s">
        <v>112</v>
      </c>
      <c r="H590" t="s">
        <v>17</v>
      </c>
      <c r="I590" t="s">
        <v>18</v>
      </c>
      <c r="J590" t="s">
        <v>19</v>
      </c>
      <c r="K590">
        <v>45</v>
      </c>
      <c r="L590">
        <v>0</v>
      </c>
      <c r="M590" t="s">
        <v>20</v>
      </c>
    </row>
    <row r="591" spans="1:13" x14ac:dyDescent="0.35">
      <c r="A591">
        <v>590</v>
      </c>
      <c r="B591">
        <v>583005835</v>
      </c>
      <c r="C591">
        <v>36842</v>
      </c>
      <c r="D591" t="s">
        <v>159</v>
      </c>
      <c r="E591" t="s">
        <v>318</v>
      </c>
      <c r="F591" t="s">
        <v>160</v>
      </c>
      <c r="G591" t="s">
        <v>161</v>
      </c>
      <c r="H591" t="s">
        <v>17</v>
      </c>
      <c r="I591" t="s">
        <v>18</v>
      </c>
      <c r="J591" t="s">
        <v>19</v>
      </c>
      <c r="K591">
        <v>36</v>
      </c>
      <c r="L591">
        <v>0</v>
      </c>
      <c r="M591" t="s">
        <v>20</v>
      </c>
    </row>
    <row r="592" spans="1:13" x14ac:dyDescent="0.35">
      <c r="A592">
        <v>591</v>
      </c>
      <c r="B592">
        <v>583005853</v>
      </c>
      <c r="C592">
        <v>36864</v>
      </c>
      <c r="D592" t="s">
        <v>110</v>
      </c>
      <c r="E592" t="s">
        <v>318</v>
      </c>
      <c r="F592" t="s">
        <v>111</v>
      </c>
      <c r="G592" t="s">
        <v>112</v>
      </c>
      <c r="H592" t="s">
        <v>17</v>
      </c>
      <c r="I592" t="s">
        <v>18</v>
      </c>
      <c r="J592" t="s">
        <v>19</v>
      </c>
      <c r="K592">
        <v>60</v>
      </c>
      <c r="L592">
        <v>0</v>
      </c>
      <c r="M592" t="s">
        <v>20</v>
      </c>
    </row>
    <row r="593" spans="1:13" x14ac:dyDescent="0.35">
      <c r="A593">
        <v>592</v>
      </c>
      <c r="B593">
        <v>583005844</v>
      </c>
      <c r="C593">
        <v>36853</v>
      </c>
      <c r="D593" t="s">
        <v>53</v>
      </c>
      <c r="E593" t="s">
        <v>318</v>
      </c>
      <c r="F593" t="s">
        <v>54</v>
      </c>
      <c r="G593" t="s">
        <v>55</v>
      </c>
      <c r="H593" t="s">
        <v>17</v>
      </c>
      <c r="I593" t="s">
        <v>18</v>
      </c>
      <c r="J593" t="s">
        <v>19</v>
      </c>
      <c r="K593">
        <v>42</v>
      </c>
      <c r="L593">
        <v>0</v>
      </c>
      <c r="M593" t="s">
        <v>20</v>
      </c>
    </row>
    <row r="594" spans="1:13" x14ac:dyDescent="0.35">
      <c r="A594">
        <v>593</v>
      </c>
      <c r="B594">
        <v>583005850</v>
      </c>
      <c r="C594">
        <v>36861</v>
      </c>
      <c r="D594" t="s">
        <v>60</v>
      </c>
      <c r="E594" t="s">
        <v>318</v>
      </c>
      <c r="F594" t="s">
        <v>61</v>
      </c>
      <c r="G594" t="s">
        <v>62</v>
      </c>
      <c r="H594" t="s">
        <v>17</v>
      </c>
      <c r="I594" t="s">
        <v>18</v>
      </c>
      <c r="J594" t="s">
        <v>19</v>
      </c>
      <c r="K594">
        <v>57</v>
      </c>
      <c r="L594">
        <v>0</v>
      </c>
      <c r="M594" t="s">
        <v>20</v>
      </c>
    </row>
    <row r="595" spans="1:13" x14ac:dyDescent="0.35">
      <c r="A595">
        <v>594</v>
      </c>
      <c r="B595">
        <v>583005839</v>
      </c>
      <c r="C595">
        <v>36847</v>
      </c>
      <c r="D595" t="s">
        <v>250</v>
      </c>
      <c r="E595" t="s">
        <v>318</v>
      </c>
      <c r="F595" t="s">
        <v>251</v>
      </c>
      <c r="G595" t="s">
        <v>252</v>
      </c>
      <c r="H595" t="s">
        <v>17</v>
      </c>
      <c r="I595" t="s">
        <v>18</v>
      </c>
      <c r="J595" t="s">
        <v>19</v>
      </c>
      <c r="K595">
        <v>63</v>
      </c>
      <c r="L595">
        <v>0</v>
      </c>
      <c r="M595" t="s">
        <v>20</v>
      </c>
    </row>
    <row r="596" spans="1:13" x14ac:dyDescent="0.35">
      <c r="A596">
        <v>595</v>
      </c>
      <c r="B596">
        <v>583005851</v>
      </c>
      <c r="C596">
        <v>36862</v>
      </c>
      <c r="D596" t="s">
        <v>60</v>
      </c>
      <c r="E596" t="s">
        <v>318</v>
      </c>
      <c r="F596" t="s">
        <v>61</v>
      </c>
      <c r="G596" t="s">
        <v>62</v>
      </c>
      <c r="H596" t="s">
        <v>17</v>
      </c>
      <c r="I596" t="s">
        <v>18</v>
      </c>
      <c r="J596" t="s">
        <v>19</v>
      </c>
      <c r="K596">
        <v>81</v>
      </c>
      <c r="L596">
        <v>0</v>
      </c>
      <c r="M596" t="s">
        <v>20</v>
      </c>
    </row>
    <row r="597" spans="1:13" x14ac:dyDescent="0.35">
      <c r="A597">
        <v>596</v>
      </c>
      <c r="B597">
        <v>583005837</v>
      </c>
      <c r="C597">
        <v>36844</v>
      </c>
      <c r="D597" t="s">
        <v>92</v>
      </c>
      <c r="E597" t="s">
        <v>318</v>
      </c>
      <c r="F597" t="s">
        <v>93</v>
      </c>
      <c r="G597" t="s">
        <v>94</v>
      </c>
      <c r="H597" t="s">
        <v>17</v>
      </c>
      <c r="I597" t="s">
        <v>18</v>
      </c>
      <c r="J597" t="s">
        <v>19</v>
      </c>
      <c r="K597">
        <v>72</v>
      </c>
      <c r="L597">
        <v>0</v>
      </c>
      <c r="M597" t="s">
        <v>20</v>
      </c>
    </row>
    <row r="598" spans="1:13" x14ac:dyDescent="0.35">
      <c r="A598">
        <v>597</v>
      </c>
      <c r="B598">
        <v>583005849</v>
      </c>
      <c r="C598">
        <v>36860</v>
      </c>
      <c r="D598" t="s">
        <v>144</v>
      </c>
      <c r="E598" t="s">
        <v>318</v>
      </c>
      <c r="F598" t="s">
        <v>145</v>
      </c>
      <c r="G598" t="s">
        <v>146</v>
      </c>
      <c r="H598" t="s">
        <v>17</v>
      </c>
      <c r="I598" t="s">
        <v>18</v>
      </c>
      <c r="J598" t="s">
        <v>19</v>
      </c>
      <c r="K598">
        <v>105</v>
      </c>
      <c r="L598">
        <v>0</v>
      </c>
      <c r="M598" t="s">
        <v>20</v>
      </c>
    </row>
    <row r="599" spans="1:13" x14ac:dyDescent="0.35">
      <c r="A599">
        <v>598</v>
      </c>
      <c r="B599">
        <v>583005836</v>
      </c>
      <c r="C599">
        <v>36843</v>
      </c>
      <c r="D599" t="s">
        <v>92</v>
      </c>
      <c r="E599" t="s">
        <v>318</v>
      </c>
      <c r="F599" t="s">
        <v>93</v>
      </c>
      <c r="G599" t="s">
        <v>94</v>
      </c>
      <c r="H599" t="s">
        <v>17</v>
      </c>
      <c r="I599" t="s">
        <v>18</v>
      </c>
      <c r="J599" t="s">
        <v>19</v>
      </c>
      <c r="K599">
        <v>108</v>
      </c>
      <c r="L599">
        <v>0</v>
      </c>
      <c r="M599" t="s">
        <v>20</v>
      </c>
    </row>
    <row r="600" spans="1:13" x14ac:dyDescent="0.35">
      <c r="A600">
        <v>599</v>
      </c>
      <c r="B600">
        <v>583005949</v>
      </c>
      <c r="C600">
        <v>37006</v>
      </c>
      <c r="D600" t="s">
        <v>125</v>
      </c>
      <c r="E600" t="s">
        <v>324</v>
      </c>
      <c r="F600" t="s">
        <v>127</v>
      </c>
      <c r="G600" t="s">
        <v>128</v>
      </c>
      <c r="H600" t="s">
        <v>17</v>
      </c>
      <c r="I600" t="s">
        <v>18</v>
      </c>
      <c r="J600" t="s">
        <v>19</v>
      </c>
      <c r="K600">
        <v>597</v>
      </c>
      <c r="L600">
        <v>0</v>
      </c>
      <c r="M600" t="s">
        <v>20</v>
      </c>
    </row>
    <row r="601" spans="1:13" x14ac:dyDescent="0.35">
      <c r="A601">
        <v>600</v>
      </c>
      <c r="B601">
        <v>583005945</v>
      </c>
      <c r="C601">
        <v>37000</v>
      </c>
      <c r="D601" t="s">
        <v>116</v>
      </c>
      <c r="E601" t="s">
        <v>324</v>
      </c>
      <c r="F601" t="s">
        <v>117</v>
      </c>
      <c r="G601" t="s">
        <v>118</v>
      </c>
      <c r="H601" t="s">
        <v>17</v>
      </c>
      <c r="I601" t="s">
        <v>18</v>
      </c>
      <c r="J601" t="s">
        <v>19</v>
      </c>
      <c r="K601">
        <v>3849</v>
      </c>
      <c r="L601">
        <v>0</v>
      </c>
      <c r="M601" t="s">
        <v>20</v>
      </c>
    </row>
    <row r="602" spans="1:13" x14ac:dyDescent="0.35">
      <c r="A602">
        <v>601</v>
      </c>
      <c r="B602">
        <v>583005949</v>
      </c>
      <c r="C602">
        <v>37006</v>
      </c>
      <c r="D602" t="s">
        <v>125</v>
      </c>
      <c r="E602" t="s">
        <v>324</v>
      </c>
      <c r="F602" t="s">
        <v>127</v>
      </c>
      <c r="G602" t="s">
        <v>128</v>
      </c>
      <c r="H602" t="s">
        <v>17</v>
      </c>
      <c r="I602" t="s">
        <v>18</v>
      </c>
      <c r="J602" t="s">
        <v>19</v>
      </c>
      <c r="K602">
        <v>1590</v>
      </c>
      <c r="L602">
        <v>0</v>
      </c>
      <c r="M602" t="s">
        <v>20</v>
      </c>
    </row>
    <row r="603" spans="1:13" x14ac:dyDescent="0.35">
      <c r="A603">
        <v>602</v>
      </c>
      <c r="B603">
        <v>583005949</v>
      </c>
      <c r="C603">
        <v>37006</v>
      </c>
      <c r="D603" t="s">
        <v>125</v>
      </c>
      <c r="E603" t="s">
        <v>324</v>
      </c>
      <c r="F603" t="s">
        <v>127</v>
      </c>
      <c r="G603" t="s">
        <v>128</v>
      </c>
      <c r="H603" t="s">
        <v>17</v>
      </c>
      <c r="I603" t="s">
        <v>18</v>
      </c>
      <c r="J603" t="s">
        <v>19</v>
      </c>
      <c r="K603">
        <v>1533</v>
      </c>
      <c r="L603">
        <v>0</v>
      </c>
      <c r="M603" t="s">
        <v>20</v>
      </c>
    </row>
    <row r="604" spans="1:13" x14ac:dyDescent="0.35">
      <c r="A604">
        <v>603</v>
      </c>
      <c r="B604">
        <v>583005897</v>
      </c>
      <c r="C604">
        <v>36946</v>
      </c>
      <c r="D604" t="s">
        <v>153</v>
      </c>
      <c r="E604" t="s">
        <v>324</v>
      </c>
      <c r="F604" t="s">
        <v>154</v>
      </c>
      <c r="G604" t="s">
        <v>155</v>
      </c>
      <c r="H604" t="s">
        <v>17</v>
      </c>
      <c r="I604" t="s">
        <v>18</v>
      </c>
      <c r="J604" t="s">
        <v>19</v>
      </c>
      <c r="K604">
        <v>3090</v>
      </c>
      <c r="L604">
        <v>0</v>
      </c>
      <c r="M604" t="s">
        <v>20</v>
      </c>
    </row>
    <row r="605" spans="1:13" x14ac:dyDescent="0.35">
      <c r="A605">
        <v>604</v>
      </c>
      <c r="B605">
        <v>583005889</v>
      </c>
      <c r="C605">
        <v>36928</v>
      </c>
      <c r="D605" t="s">
        <v>116</v>
      </c>
      <c r="E605" t="s">
        <v>324</v>
      </c>
      <c r="F605" t="s">
        <v>117</v>
      </c>
      <c r="G605" t="s">
        <v>118</v>
      </c>
      <c r="H605" t="s">
        <v>17</v>
      </c>
      <c r="I605" t="s">
        <v>18</v>
      </c>
      <c r="J605" t="s">
        <v>19</v>
      </c>
      <c r="K605">
        <v>1800</v>
      </c>
      <c r="L605">
        <v>0</v>
      </c>
      <c r="M605" t="s">
        <v>20</v>
      </c>
    </row>
    <row r="606" spans="1:13" x14ac:dyDescent="0.35">
      <c r="A606">
        <v>605</v>
      </c>
      <c r="B606">
        <v>583005928</v>
      </c>
      <c r="C606">
        <v>36982</v>
      </c>
      <c r="D606" t="s">
        <v>325</v>
      </c>
      <c r="E606" t="s">
        <v>324</v>
      </c>
      <c r="F606" t="s">
        <v>326</v>
      </c>
      <c r="G606" t="s">
        <v>327</v>
      </c>
      <c r="H606" t="s">
        <v>17</v>
      </c>
      <c r="I606" t="s">
        <v>18</v>
      </c>
      <c r="J606" t="s">
        <v>19</v>
      </c>
      <c r="K606">
        <v>135</v>
      </c>
      <c r="L606">
        <v>0</v>
      </c>
      <c r="M606" t="s">
        <v>20</v>
      </c>
    </row>
    <row r="607" spans="1:13" x14ac:dyDescent="0.35">
      <c r="A607">
        <v>606</v>
      </c>
      <c r="B607">
        <v>583005944</v>
      </c>
      <c r="C607">
        <v>36999</v>
      </c>
      <c r="D607" t="s">
        <v>199</v>
      </c>
      <c r="E607" t="s">
        <v>324</v>
      </c>
      <c r="F607" t="s">
        <v>201</v>
      </c>
      <c r="G607" t="s">
        <v>202</v>
      </c>
      <c r="H607" t="s">
        <v>17</v>
      </c>
      <c r="I607" t="s">
        <v>18</v>
      </c>
      <c r="J607" t="s">
        <v>19</v>
      </c>
      <c r="K607">
        <v>75</v>
      </c>
      <c r="L607">
        <v>0</v>
      </c>
      <c r="M607" t="s">
        <v>20</v>
      </c>
    </row>
    <row r="608" spans="1:13" x14ac:dyDescent="0.35">
      <c r="A608">
        <v>607</v>
      </c>
      <c r="B608">
        <v>583005942</v>
      </c>
      <c r="C608">
        <v>36997</v>
      </c>
      <c r="D608" t="s">
        <v>199</v>
      </c>
      <c r="E608" t="s">
        <v>324</v>
      </c>
      <c r="F608" t="s">
        <v>201</v>
      </c>
      <c r="G608" t="s">
        <v>202</v>
      </c>
      <c r="H608" t="s">
        <v>17</v>
      </c>
      <c r="I608" t="s">
        <v>18</v>
      </c>
      <c r="J608" t="s">
        <v>19</v>
      </c>
      <c r="K608">
        <v>45</v>
      </c>
      <c r="L608">
        <v>0</v>
      </c>
      <c r="M608" t="s">
        <v>20</v>
      </c>
    </row>
    <row r="609" spans="1:13" x14ac:dyDescent="0.35">
      <c r="A609">
        <v>608</v>
      </c>
      <c r="B609">
        <v>583005946</v>
      </c>
      <c r="C609">
        <v>37001</v>
      </c>
      <c r="D609" t="s">
        <v>125</v>
      </c>
      <c r="E609" t="s">
        <v>324</v>
      </c>
      <c r="F609" t="s">
        <v>127</v>
      </c>
      <c r="G609" t="s">
        <v>128</v>
      </c>
      <c r="H609" t="s">
        <v>17</v>
      </c>
      <c r="I609" t="s">
        <v>24</v>
      </c>
      <c r="J609" t="s">
        <v>25</v>
      </c>
      <c r="K609">
        <v>60</v>
      </c>
      <c r="L609">
        <v>0</v>
      </c>
      <c r="M609" t="s">
        <v>20</v>
      </c>
    </row>
    <row r="610" spans="1:13" x14ac:dyDescent="0.35">
      <c r="A610">
        <v>609</v>
      </c>
      <c r="B610">
        <v>583005938</v>
      </c>
      <c r="C610">
        <v>36993</v>
      </c>
      <c r="D610" t="s">
        <v>328</v>
      </c>
      <c r="E610" t="s">
        <v>324</v>
      </c>
      <c r="F610" t="s">
        <v>329</v>
      </c>
      <c r="G610" t="s">
        <v>330</v>
      </c>
      <c r="H610" t="s">
        <v>17</v>
      </c>
      <c r="I610" t="s">
        <v>24</v>
      </c>
      <c r="J610" t="s">
        <v>74</v>
      </c>
      <c r="K610">
        <v>2</v>
      </c>
      <c r="L610">
        <v>0</v>
      </c>
      <c r="M610" t="s">
        <v>20</v>
      </c>
    </row>
    <row r="611" spans="1:13" x14ac:dyDescent="0.35">
      <c r="A611">
        <v>610</v>
      </c>
      <c r="B611">
        <v>583005938</v>
      </c>
      <c r="C611">
        <v>36993</v>
      </c>
      <c r="D611" t="s">
        <v>328</v>
      </c>
      <c r="E611" t="s">
        <v>324</v>
      </c>
      <c r="F611" t="s">
        <v>329</v>
      </c>
      <c r="G611" t="s">
        <v>330</v>
      </c>
      <c r="H611" t="s">
        <v>17</v>
      </c>
      <c r="I611" t="s">
        <v>24</v>
      </c>
      <c r="J611" t="s">
        <v>25</v>
      </c>
      <c r="K611">
        <v>6</v>
      </c>
      <c r="L611">
        <v>0</v>
      </c>
      <c r="M611" t="s">
        <v>20</v>
      </c>
    </row>
    <row r="612" spans="1:13" x14ac:dyDescent="0.35">
      <c r="A612">
        <v>611</v>
      </c>
      <c r="B612">
        <v>583005936</v>
      </c>
      <c r="C612">
        <v>36991</v>
      </c>
      <c r="D612" t="s">
        <v>331</v>
      </c>
      <c r="E612" t="s">
        <v>324</v>
      </c>
      <c r="F612" t="s">
        <v>332</v>
      </c>
      <c r="G612" t="s">
        <v>333</v>
      </c>
      <c r="H612" t="s">
        <v>17</v>
      </c>
      <c r="I612" t="s">
        <v>18</v>
      </c>
      <c r="J612" t="s">
        <v>19</v>
      </c>
      <c r="K612">
        <v>45</v>
      </c>
      <c r="L612">
        <v>0</v>
      </c>
      <c r="M612" t="s">
        <v>20</v>
      </c>
    </row>
    <row r="613" spans="1:13" x14ac:dyDescent="0.35">
      <c r="A613">
        <v>612</v>
      </c>
      <c r="B613">
        <v>583005922</v>
      </c>
      <c r="C613">
        <v>36974</v>
      </c>
      <c r="D613" t="s">
        <v>21</v>
      </c>
      <c r="E613" t="s">
        <v>324</v>
      </c>
      <c r="F613" t="s">
        <v>22</v>
      </c>
      <c r="G613" t="s">
        <v>23</v>
      </c>
      <c r="H613" t="s">
        <v>17</v>
      </c>
      <c r="I613" t="s">
        <v>90</v>
      </c>
      <c r="J613" t="s">
        <v>74</v>
      </c>
      <c r="K613">
        <v>34</v>
      </c>
      <c r="L613">
        <v>0</v>
      </c>
      <c r="M613" t="s">
        <v>20</v>
      </c>
    </row>
    <row r="614" spans="1:13" x14ac:dyDescent="0.35">
      <c r="A614">
        <v>613</v>
      </c>
      <c r="B614">
        <v>583005897</v>
      </c>
      <c r="C614">
        <v>36946</v>
      </c>
      <c r="D614" t="s">
        <v>153</v>
      </c>
      <c r="E614" t="s">
        <v>324</v>
      </c>
      <c r="F614" t="s">
        <v>154</v>
      </c>
      <c r="G614" t="s">
        <v>155</v>
      </c>
      <c r="H614" t="s">
        <v>17</v>
      </c>
      <c r="I614" t="s">
        <v>18</v>
      </c>
      <c r="J614" t="s">
        <v>19</v>
      </c>
      <c r="K614">
        <v>360</v>
      </c>
      <c r="L614">
        <v>0</v>
      </c>
      <c r="M614" t="s">
        <v>20</v>
      </c>
    </row>
    <row r="615" spans="1:13" x14ac:dyDescent="0.35">
      <c r="A615">
        <v>614</v>
      </c>
      <c r="B615">
        <v>583005897</v>
      </c>
      <c r="C615">
        <v>36946</v>
      </c>
      <c r="D615" t="s">
        <v>153</v>
      </c>
      <c r="E615" t="s">
        <v>324</v>
      </c>
      <c r="F615" t="s">
        <v>154</v>
      </c>
      <c r="G615" t="s">
        <v>155</v>
      </c>
      <c r="H615" t="s">
        <v>17</v>
      </c>
      <c r="I615" t="s">
        <v>18</v>
      </c>
      <c r="J615" t="s">
        <v>19</v>
      </c>
      <c r="K615">
        <v>513</v>
      </c>
      <c r="L615">
        <v>0</v>
      </c>
      <c r="M615" t="s">
        <v>20</v>
      </c>
    </row>
    <row r="616" spans="1:13" x14ac:dyDescent="0.35">
      <c r="A616">
        <v>615</v>
      </c>
      <c r="B616">
        <v>583005967</v>
      </c>
      <c r="C616">
        <v>37029</v>
      </c>
      <c r="D616" t="s">
        <v>21</v>
      </c>
      <c r="E616" t="s">
        <v>324</v>
      </c>
      <c r="F616" t="s">
        <v>22</v>
      </c>
      <c r="G616" t="s">
        <v>23</v>
      </c>
      <c r="H616" t="s">
        <v>17</v>
      </c>
      <c r="I616" t="s">
        <v>24</v>
      </c>
      <c r="J616" t="s">
        <v>25</v>
      </c>
      <c r="K616">
        <v>10</v>
      </c>
      <c r="L616">
        <v>0</v>
      </c>
      <c r="M616" t="s">
        <v>20</v>
      </c>
    </row>
    <row r="617" spans="1:13" x14ac:dyDescent="0.35">
      <c r="A617">
        <v>616</v>
      </c>
      <c r="B617">
        <v>583005961</v>
      </c>
      <c r="C617">
        <v>37020</v>
      </c>
      <c r="D617" t="s">
        <v>334</v>
      </c>
      <c r="E617" t="s">
        <v>324</v>
      </c>
      <c r="F617" t="s">
        <v>335</v>
      </c>
      <c r="G617" t="s">
        <v>336</v>
      </c>
      <c r="H617" t="s">
        <v>17</v>
      </c>
      <c r="I617" t="s">
        <v>35</v>
      </c>
      <c r="J617" t="s">
        <v>25</v>
      </c>
      <c r="K617">
        <v>5</v>
      </c>
      <c r="L617">
        <v>0</v>
      </c>
      <c r="M617" t="s">
        <v>20</v>
      </c>
    </row>
    <row r="618" spans="1:13" x14ac:dyDescent="0.35">
      <c r="A618">
        <v>617</v>
      </c>
      <c r="B618">
        <v>583005937</v>
      </c>
      <c r="C618">
        <v>36992</v>
      </c>
      <c r="D618" t="s">
        <v>337</v>
      </c>
      <c r="E618" t="s">
        <v>324</v>
      </c>
      <c r="F618" t="s">
        <v>338</v>
      </c>
      <c r="G618" t="s">
        <v>339</v>
      </c>
      <c r="H618" t="s">
        <v>17</v>
      </c>
      <c r="I618" t="s">
        <v>18</v>
      </c>
      <c r="J618" t="s">
        <v>19</v>
      </c>
      <c r="K618">
        <v>288</v>
      </c>
      <c r="L618">
        <v>0</v>
      </c>
      <c r="M618" t="s">
        <v>20</v>
      </c>
    </row>
    <row r="619" spans="1:13" x14ac:dyDescent="0.35">
      <c r="A619">
        <v>618</v>
      </c>
      <c r="B619">
        <v>583005960</v>
      </c>
      <c r="C619">
        <v>37019</v>
      </c>
      <c r="D619" t="s">
        <v>334</v>
      </c>
      <c r="E619" t="s">
        <v>324</v>
      </c>
      <c r="F619" t="s">
        <v>335</v>
      </c>
      <c r="G619" t="s">
        <v>336</v>
      </c>
      <c r="H619" t="s">
        <v>17</v>
      </c>
      <c r="I619" t="s">
        <v>18</v>
      </c>
      <c r="J619" t="s">
        <v>19</v>
      </c>
      <c r="K619">
        <v>3321</v>
      </c>
      <c r="L619">
        <v>0</v>
      </c>
      <c r="M619" t="s">
        <v>20</v>
      </c>
    </row>
    <row r="620" spans="1:13" x14ac:dyDescent="0.35">
      <c r="A620">
        <v>619</v>
      </c>
      <c r="B620">
        <v>583005960</v>
      </c>
      <c r="C620">
        <v>37019</v>
      </c>
      <c r="D620" t="s">
        <v>334</v>
      </c>
      <c r="E620" t="s">
        <v>324</v>
      </c>
      <c r="F620" t="s">
        <v>335</v>
      </c>
      <c r="G620" t="s">
        <v>336</v>
      </c>
      <c r="H620" t="s">
        <v>17</v>
      </c>
      <c r="I620" t="s">
        <v>18</v>
      </c>
      <c r="J620" t="s">
        <v>19</v>
      </c>
      <c r="K620">
        <v>720</v>
      </c>
      <c r="L620">
        <v>0</v>
      </c>
      <c r="M620" t="s">
        <v>20</v>
      </c>
    </row>
    <row r="621" spans="1:13" x14ac:dyDescent="0.35">
      <c r="A621">
        <v>620</v>
      </c>
      <c r="B621">
        <v>583005966</v>
      </c>
      <c r="C621">
        <v>37028</v>
      </c>
      <c r="D621" t="s">
        <v>21</v>
      </c>
      <c r="E621" t="s">
        <v>324</v>
      </c>
      <c r="F621" t="s">
        <v>22</v>
      </c>
      <c r="G621" t="s">
        <v>23</v>
      </c>
      <c r="H621" t="s">
        <v>17</v>
      </c>
      <c r="I621" t="s">
        <v>18</v>
      </c>
      <c r="J621" t="s">
        <v>19</v>
      </c>
      <c r="K621">
        <v>570</v>
      </c>
      <c r="L621">
        <v>0</v>
      </c>
      <c r="M621" t="s">
        <v>20</v>
      </c>
    </row>
    <row r="622" spans="1:13" x14ac:dyDescent="0.35">
      <c r="A622">
        <v>621</v>
      </c>
      <c r="B622">
        <v>583005966</v>
      </c>
      <c r="C622">
        <v>37028</v>
      </c>
      <c r="D622" t="s">
        <v>21</v>
      </c>
      <c r="E622" t="s">
        <v>324</v>
      </c>
      <c r="F622" t="s">
        <v>22</v>
      </c>
      <c r="G622" t="s">
        <v>23</v>
      </c>
      <c r="H622" t="s">
        <v>17</v>
      </c>
      <c r="I622" t="s">
        <v>18</v>
      </c>
      <c r="J622" t="s">
        <v>19</v>
      </c>
      <c r="K622">
        <v>675</v>
      </c>
      <c r="L622">
        <v>0</v>
      </c>
      <c r="M622" t="s">
        <v>20</v>
      </c>
    </row>
    <row r="623" spans="1:13" x14ac:dyDescent="0.35">
      <c r="A623">
        <v>622</v>
      </c>
      <c r="B623">
        <v>583005966</v>
      </c>
      <c r="C623">
        <v>37028</v>
      </c>
      <c r="D623" t="s">
        <v>21</v>
      </c>
      <c r="E623" t="s">
        <v>324</v>
      </c>
      <c r="F623" t="s">
        <v>22</v>
      </c>
      <c r="G623" t="s">
        <v>23</v>
      </c>
      <c r="H623" t="s">
        <v>17</v>
      </c>
      <c r="I623" t="s">
        <v>18</v>
      </c>
      <c r="J623" t="s">
        <v>19</v>
      </c>
      <c r="K623">
        <v>2097</v>
      </c>
      <c r="L623">
        <v>0</v>
      </c>
      <c r="M623" t="s">
        <v>20</v>
      </c>
    </row>
    <row r="624" spans="1:13" x14ac:dyDescent="0.35">
      <c r="A624">
        <v>623</v>
      </c>
      <c r="B624">
        <v>583005966</v>
      </c>
      <c r="C624">
        <v>37028</v>
      </c>
      <c r="D624" t="s">
        <v>21</v>
      </c>
      <c r="E624" t="s">
        <v>324</v>
      </c>
      <c r="F624" t="s">
        <v>22</v>
      </c>
      <c r="G624" t="s">
        <v>23</v>
      </c>
      <c r="H624" t="s">
        <v>17</v>
      </c>
      <c r="I624" t="s">
        <v>18</v>
      </c>
      <c r="J624" t="s">
        <v>19</v>
      </c>
      <c r="K624">
        <v>702</v>
      </c>
      <c r="L624">
        <v>0</v>
      </c>
      <c r="M624" t="s">
        <v>20</v>
      </c>
    </row>
    <row r="625" spans="1:13" x14ac:dyDescent="0.35">
      <c r="A625">
        <v>624</v>
      </c>
      <c r="B625">
        <v>583005972</v>
      </c>
      <c r="C625">
        <v>37035</v>
      </c>
      <c r="D625" t="s">
        <v>78</v>
      </c>
      <c r="E625" t="s">
        <v>324</v>
      </c>
      <c r="F625" t="s">
        <v>79</v>
      </c>
      <c r="G625" t="s">
        <v>80</v>
      </c>
      <c r="H625" t="s">
        <v>17</v>
      </c>
      <c r="I625" t="s">
        <v>63</v>
      </c>
      <c r="J625" t="s">
        <v>64</v>
      </c>
      <c r="K625">
        <v>1344</v>
      </c>
      <c r="L625">
        <v>2378.88</v>
      </c>
      <c r="M625" t="s">
        <v>20</v>
      </c>
    </row>
    <row r="626" spans="1:13" x14ac:dyDescent="0.35">
      <c r="A626">
        <v>625</v>
      </c>
      <c r="B626">
        <v>583005943</v>
      </c>
      <c r="C626">
        <v>36998</v>
      </c>
      <c r="D626" t="s">
        <v>21</v>
      </c>
      <c r="E626" t="s">
        <v>324</v>
      </c>
      <c r="F626" t="s">
        <v>22</v>
      </c>
      <c r="G626" t="s">
        <v>23</v>
      </c>
      <c r="H626" t="s">
        <v>17</v>
      </c>
      <c r="I626" t="s">
        <v>18</v>
      </c>
      <c r="J626" t="s">
        <v>19</v>
      </c>
      <c r="K626">
        <v>810</v>
      </c>
      <c r="L626">
        <v>0</v>
      </c>
      <c r="M626" t="s">
        <v>20</v>
      </c>
    </row>
    <row r="627" spans="1:13" x14ac:dyDescent="0.35">
      <c r="A627">
        <v>626</v>
      </c>
      <c r="B627">
        <v>583005943</v>
      </c>
      <c r="C627">
        <v>36998</v>
      </c>
      <c r="D627" t="s">
        <v>21</v>
      </c>
      <c r="E627" t="s">
        <v>324</v>
      </c>
      <c r="F627" t="s">
        <v>22</v>
      </c>
      <c r="G627" t="s">
        <v>23</v>
      </c>
      <c r="H627" t="s">
        <v>17</v>
      </c>
      <c r="I627" t="s">
        <v>18</v>
      </c>
      <c r="J627" t="s">
        <v>19</v>
      </c>
      <c r="K627">
        <v>3159</v>
      </c>
      <c r="L627">
        <v>0</v>
      </c>
      <c r="M627" t="s">
        <v>20</v>
      </c>
    </row>
    <row r="628" spans="1:13" x14ac:dyDescent="0.35">
      <c r="A628">
        <v>627</v>
      </c>
      <c r="B628">
        <v>583005910</v>
      </c>
      <c r="C628">
        <v>36961</v>
      </c>
      <c r="D628" t="s">
        <v>340</v>
      </c>
      <c r="E628" t="s">
        <v>324</v>
      </c>
      <c r="F628" t="s">
        <v>341</v>
      </c>
      <c r="G628" t="s">
        <v>342</v>
      </c>
      <c r="H628" t="s">
        <v>17</v>
      </c>
      <c r="I628" t="s">
        <v>18</v>
      </c>
      <c r="J628" t="s">
        <v>19</v>
      </c>
      <c r="K628">
        <v>24</v>
      </c>
      <c r="L628">
        <v>0</v>
      </c>
      <c r="M628" t="s">
        <v>20</v>
      </c>
    </row>
    <row r="629" spans="1:13" x14ac:dyDescent="0.35">
      <c r="A629">
        <v>628</v>
      </c>
      <c r="B629">
        <v>583005969</v>
      </c>
      <c r="C629">
        <v>37031</v>
      </c>
      <c r="D629" t="s">
        <v>82</v>
      </c>
      <c r="E629" t="s">
        <v>324</v>
      </c>
      <c r="F629" t="s">
        <v>83</v>
      </c>
      <c r="G629" t="s">
        <v>84</v>
      </c>
      <c r="H629" t="s">
        <v>17</v>
      </c>
      <c r="I629" t="s">
        <v>18</v>
      </c>
      <c r="J629" t="s">
        <v>19</v>
      </c>
      <c r="K629">
        <v>1881</v>
      </c>
      <c r="L629">
        <v>0</v>
      </c>
      <c r="M629" t="s">
        <v>20</v>
      </c>
    </row>
    <row r="630" spans="1:13" x14ac:dyDescent="0.35">
      <c r="A630">
        <v>629</v>
      </c>
      <c r="B630">
        <v>583005887</v>
      </c>
      <c r="C630">
        <v>36923</v>
      </c>
      <c r="D630" t="s">
        <v>82</v>
      </c>
      <c r="E630" t="s">
        <v>324</v>
      </c>
      <c r="F630" t="s">
        <v>83</v>
      </c>
      <c r="G630" t="s">
        <v>84</v>
      </c>
      <c r="H630" t="s">
        <v>17</v>
      </c>
      <c r="I630" t="s">
        <v>63</v>
      </c>
      <c r="J630" t="s">
        <v>64</v>
      </c>
      <c r="K630">
        <v>560</v>
      </c>
      <c r="L630">
        <v>991.2</v>
      </c>
      <c r="M630" t="s">
        <v>20</v>
      </c>
    </row>
    <row r="631" spans="1:13" x14ac:dyDescent="0.35">
      <c r="A631">
        <v>630</v>
      </c>
      <c r="B631">
        <v>583005888</v>
      </c>
      <c r="C631">
        <v>36925</v>
      </c>
      <c r="D631" t="s">
        <v>82</v>
      </c>
      <c r="E631" t="s">
        <v>324</v>
      </c>
      <c r="F631" t="s">
        <v>83</v>
      </c>
      <c r="G631" t="s">
        <v>84</v>
      </c>
      <c r="H631" t="s">
        <v>17</v>
      </c>
      <c r="I631" t="s">
        <v>91</v>
      </c>
      <c r="J631" t="s">
        <v>25</v>
      </c>
      <c r="K631">
        <v>720</v>
      </c>
      <c r="L631">
        <v>0</v>
      </c>
      <c r="M631" t="s">
        <v>20</v>
      </c>
    </row>
    <row r="632" spans="1:13" x14ac:dyDescent="0.35">
      <c r="A632">
        <v>631</v>
      </c>
      <c r="B632">
        <v>583005890</v>
      </c>
      <c r="C632">
        <v>36931</v>
      </c>
      <c r="D632" t="s">
        <v>116</v>
      </c>
      <c r="E632" t="s">
        <v>324</v>
      </c>
      <c r="F632" t="s">
        <v>117</v>
      </c>
      <c r="G632" t="s">
        <v>118</v>
      </c>
      <c r="H632" t="s">
        <v>17</v>
      </c>
      <c r="I632" t="s">
        <v>24</v>
      </c>
      <c r="J632" t="s">
        <v>25</v>
      </c>
      <c r="K632">
        <v>90</v>
      </c>
      <c r="L632">
        <v>0</v>
      </c>
      <c r="M632" t="s">
        <v>20</v>
      </c>
    </row>
    <row r="633" spans="1:13" x14ac:dyDescent="0.35">
      <c r="A633">
        <v>632</v>
      </c>
      <c r="B633">
        <v>583005899</v>
      </c>
      <c r="C633">
        <v>36948</v>
      </c>
      <c r="D633" t="s">
        <v>244</v>
      </c>
      <c r="E633" t="s">
        <v>324</v>
      </c>
      <c r="F633" t="s">
        <v>245</v>
      </c>
      <c r="G633" t="s">
        <v>246</v>
      </c>
      <c r="H633" t="s">
        <v>17</v>
      </c>
      <c r="I633" t="s">
        <v>18</v>
      </c>
      <c r="J633" t="s">
        <v>19</v>
      </c>
      <c r="K633">
        <v>45</v>
      </c>
      <c r="L633">
        <v>0</v>
      </c>
      <c r="M633" t="s">
        <v>20</v>
      </c>
    </row>
    <row r="634" spans="1:13" x14ac:dyDescent="0.35">
      <c r="A634">
        <v>633</v>
      </c>
      <c r="B634">
        <v>583005908</v>
      </c>
      <c r="C634">
        <v>36959</v>
      </c>
      <c r="D634" t="s">
        <v>98</v>
      </c>
      <c r="E634" t="s">
        <v>324</v>
      </c>
      <c r="F634" t="s">
        <v>99</v>
      </c>
      <c r="G634" t="s">
        <v>100</v>
      </c>
      <c r="H634" t="s">
        <v>17</v>
      </c>
      <c r="I634" t="s">
        <v>18</v>
      </c>
      <c r="J634" t="s">
        <v>19</v>
      </c>
      <c r="K634">
        <v>42</v>
      </c>
      <c r="L634">
        <v>0</v>
      </c>
      <c r="M634" t="s">
        <v>20</v>
      </c>
    </row>
    <row r="635" spans="1:13" x14ac:dyDescent="0.35">
      <c r="A635">
        <v>634</v>
      </c>
      <c r="B635">
        <v>583005890</v>
      </c>
      <c r="C635">
        <v>36931</v>
      </c>
      <c r="D635" t="s">
        <v>116</v>
      </c>
      <c r="E635" t="s">
        <v>324</v>
      </c>
      <c r="F635" t="s">
        <v>117</v>
      </c>
      <c r="G635" t="s">
        <v>118</v>
      </c>
      <c r="H635" t="s">
        <v>17</v>
      </c>
      <c r="I635" t="s">
        <v>24</v>
      </c>
      <c r="J635" t="s">
        <v>74</v>
      </c>
      <c r="K635">
        <v>20</v>
      </c>
      <c r="L635">
        <v>0</v>
      </c>
      <c r="M635" t="s">
        <v>20</v>
      </c>
    </row>
    <row r="636" spans="1:13" x14ac:dyDescent="0.35">
      <c r="A636">
        <v>635</v>
      </c>
      <c r="B636">
        <v>583005886</v>
      </c>
      <c r="C636">
        <v>36919</v>
      </c>
      <c r="D636" t="s">
        <v>92</v>
      </c>
      <c r="E636" t="s">
        <v>324</v>
      </c>
      <c r="F636" t="s">
        <v>93</v>
      </c>
      <c r="G636" t="s">
        <v>94</v>
      </c>
      <c r="H636" t="s">
        <v>17</v>
      </c>
      <c r="I636" t="s">
        <v>135</v>
      </c>
      <c r="J636" t="s">
        <v>19</v>
      </c>
      <c r="K636">
        <v>1080</v>
      </c>
      <c r="L636">
        <v>0</v>
      </c>
      <c r="M636" t="s">
        <v>20</v>
      </c>
    </row>
    <row r="637" spans="1:13" x14ac:dyDescent="0.35">
      <c r="A637">
        <v>636</v>
      </c>
      <c r="B637">
        <v>583005969</v>
      </c>
      <c r="C637">
        <v>37031</v>
      </c>
      <c r="D637" t="s">
        <v>82</v>
      </c>
      <c r="E637" t="s">
        <v>324</v>
      </c>
      <c r="F637" t="s">
        <v>83</v>
      </c>
      <c r="G637" t="s">
        <v>84</v>
      </c>
      <c r="H637" t="s">
        <v>17</v>
      </c>
      <c r="I637" t="s">
        <v>18</v>
      </c>
      <c r="J637" t="s">
        <v>19</v>
      </c>
      <c r="K637">
        <v>315</v>
      </c>
      <c r="L637">
        <v>0</v>
      </c>
      <c r="M637" t="s">
        <v>20</v>
      </c>
    </row>
    <row r="638" spans="1:13" x14ac:dyDescent="0.35">
      <c r="A638">
        <v>637</v>
      </c>
      <c r="B638">
        <v>583005969</v>
      </c>
      <c r="C638">
        <v>37031</v>
      </c>
      <c r="D638" t="s">
        <v>82</v>
      </c>
      <c r="E638" t="s">
        <v>324</v>
      </c>
      <c r="F638" t="s">
        <v>83</v>
      </c>
      <c r="G638" t="s">
        <v>84</v>
      </c>
      <c r="H638" t="s">
        <v>17</v>
      </c>
      <c r="I638" t="s">
        <v>18</v>
      </c>
      <c r="J638" t="s">
        <v>19</v>
      </c>
      <c r="K638">
        <v>702</v>
      </c>
      <c r="L638">
        <v>0</v>
      </c>
      <c r="M638" t="s">
        <v>20</v>
      </c>
    </row>
    <row r="639" spans="1:13" x14ac:dyDescent="0.35">
      <c r="A639">
        <v>638</v>
      </c>
      <c r="B639">
        <v>583005969</v>
      </c>
      <c r="C639">
        <v>37031</v>
      </c>
      <c r="D639" t="s">
        <v>82</v>
      </c>
      <c r="E639" t="s">
        <v>324</v>
      </c>
      <c r="F639" t="s">
        <v>83</v>
      </c>
      <c r="G639" t="s">
        <v>84</v>
      </c>
      <c r="H639" t="s">
        <v>17</v>
      </c>
      <c r="I639" t="s">
        <v>18</v>
      </c>
      <c r="J639" t="s">
        <v>19</v>
      </c>
      <c r="K639">
        <v>1257</v>
      </c>
      <c r="L639">
        <v>0</v>
      </c>
      <c r="M639" t="s">
        <v>20</v>
      </c>
    </row>
    <row r="640" spans="1:13" x14ac:dyDescent="0.35">
      <c r="A640">
        <v>639</v>
      </c>
      <c r="B640">
        <v>583005902</v>
      </c>
      <c r="C640">
        <v>36952</v>
      </c>
      <c r="D640" t="s">
        <v>71</v>
      </c>
      <c r="E640" t="s">
        <v>324</v>
      </c>
      <c r="F640" t="s">
        <v>72</v>
      </c>
      <c r="G640" t="s">
        <v>73</v>
      </c>
      <c r="H640" t="s">
        <v>17</v>
      </c>
      <c r="I640" t="s">
        <v>18</v>
      </c>
      <c r="J640" t="s">
        <v>19</v>
      </c>
      <c r="K640">
        <v>36</v>
      </c>
      <c r="L640">
        <v>0</v>
      </c>
      <c r="M640" t="s">
        <v>20</v>
      </c>
    </row>
    <row r="641" spans="1:13" x14ac:dyDescent="0.35">
      <c r="A641">
        <v>640</v>
      </c>
      <c r="B641">
        <v>583005898</v>
      </c>
      <c r="C641">
        <v>36947</v>
      </c>
      <c r="D641" t="s">
        <v>196</v>
      </c>
      <c r="E641" t="s">
        <v>324</v>
      </c>
      <c r="F641" t="s">
        <v>197</v>
      </c>
      <c r="G641" t="s">
        <v>198</v>
      </c>
      <c r="H641" t="s">
        <v>17</v>
      </c>
      <c r="I641" t="s">
        <v>18</v>
      </c>
      <c r="J641" t="s">
        <v>19</v>
      </c>
      <c r="K641">
        <v>69</v>
      </c>
      <c r="L641">
        <v>0</v>
      </c>
      <c r="M641" t="s">
        <v>20</v>
      </c>
    </row>
    <row r="642" spans="1:13" x14ac:dyDescent="0.35">
      <c r="A642">
        <v>641</v>
      </c>
      <c r="B642">
        <v>583005900</v>
      </c>
      <c r="C642">
        <v>36950</v>
      </c>
      <c r="D642" t="s">
        <v>244</v>
      </c>
      <c r="E642" t="s">
        <v>324</v>
      </c>
      <c r="F642" t="s">
        <v>245</v>
      </c>
      <c r="G642" t="s">
        <v>246</v>
      </c>
      <c r="H642" t="s">
        <v>17</v>
      </c>
      <c r="I642" t="s">
        <v>18</v>
      </c>
      <c r="J642" t="s">
        <v>19</v>
      </c>
      <c r="K642">
        <v>72</v>
      </c>
      <c r="L642">
        <v>0</v>
      </c>
      <c r="M642" t="s">
        <v>20</v>
      </c>
    </row>
    <row r="643" spans="1:13" x14ac:dyDescent="0.35">
      <c r="A643">
        <v>642</v>
      </c>
      <c r="B643">
        <v>583005915</v>
      </c>
      <c r="C643">
        <v>36967</v>
      </c>
      <c r="D643" t="s">
        <v>92</v>
      </c>
      <c r="E643" t="s">
        <v>324</v>
      </c>
      <c r="F643" t="s">
        <v>93</v>
      </c>
      <c r="G643" t="s">
        <v>94</v>
      </c>
      <c r="H643" t="s">
        <v>17</v>
      </c>
      <c r="I643" t="s">
        <v>18</v>
      </c>
      <c r="J643" t="s">
        <v>19</v>
      </c>
      <c r="K643">
        <v>81</v>
      </c>
      <c r="L643">
        <v>0</v>
      </c>
      <c r="M643" t="s">
        <v>20</v>
      </c>
    </row>
    <row r="644" spans="1:13" x14ac:dyDescent="0.35">
      <c r="A644">
        <v>643</v>
      </c>
      <c r="B644">
        <v>583005935</v>
      </c>
      <c r="C644">
        <v>36990</v>
      </c>
      <c r="D644" t="s">
        <v>98</v>
      </c>
      <c r="E644" t="s">
        <v>324</v>
      </c>
      <c r="F644" t="s">
        <v>99</v>
      </c>
      <c r="G644" t="s">
        <v>100</v>
      </c>
      <c r="H644" t="s">
        <v>17</v>
      </c>
      <c r="I644" t="s">
        <v>18</v>
      </c>
      <c r="J644" t="s">
        <v>19</v>
      </c>
      <c r="K644">
        <v>78</v>
      </c>
      <c r="L644">
        <v>0</v>
      </c>
      <c r="M644" t="s">
        <v>20</v>
      </c>
    </row>
    <row r="645" spans="1:13" x14ac:dyDescent="0.35">
      <c r="A645">
        <v>644</v>
      </c>
      <c r="B645">
        <v>583005934</v>
      </c>
      <c r="C645">
        <v>36989</v>
      </c>
      <c r="D645" t="s">
        <v>209</v>
      </c>
      <c r="E645" t="s">
        <v>324</v>
      </c>
      <c r="F645" t="s">
        <v>210</v>
      </c>
      <c r="G645" t="s">
        <v>211</v>
      </c>
      <c r="H645" t="s">
        <v>17</v>
      </c>
      <c r="I645" t="s">
        <v>18</v>
      </c>
      <c r="J645" t="s">
        <v>19</v>
      </c>
      <c r="K645">
        <v>12</v>
      </c>
      <c r="L645">
        <v>0</v>
      </c>
      <c r="M645" t="s">
        <v>20</v>
      </c>
    </row>
    <row r="646" spans="1:13" x14ac:dyDescent="0.35">
      <c r="A646">
        <v>645</v>
      </c>
      <c r="B646">
        <v>583005930</v>
      </c>
      <c r="C646">
        <v>36985</v>
      </c>
      <c r="D646" t="s">
        <v>321</v>
      </c>
      <c r="E646" t="s">
        <v>324</v>
      </c>
      <c r="F646" t="s">
        <v>322</v>
      </c>
      <c r="G646" t="s">
        <v>323</v>
      </c>
      <c r="H646" t="s">
        <v>17</v>
      </c>
      <c r="I646" t="s">
        <v>18</v>
      </c>
      <c r="J646" t="s">
        <v>19</v>
      </c>
      <c r="K646">
        <v>15</v>
      </c>
      <c r="L646">
        <v>0</v>
      </c>
      <c r="M646" t="s">
        <v>20</v>
      </c>
    </row>
    <row r="647" spans="1:13" x14ac:dyDescent="0.35">
      <c r="A647">
        <v>646</v>
      </c>
      <c r="B647">
        <v>583005930</v>
      </c>
      <c r="C647">
        <v>36985</v>
      </c>
      <c r="D647" t="s">
        <v>321</v>
      </c>
      <c r="E647" t="s">
        <v>324</v>
      </c>
      <c r="F647" t="s">
        <v>322</v>
      </c>
      <c r="G647" t="s">
        <v>323</v>
      </c>
      <c r="H647" t="s">
        <v>17</v>
      </c>
      <c r="I647" t="s">
        <v>18</v>
      </c>
      <c r="J647" t="s">
        <v>19</v>
      </c>
      <c r="K647">
        <v>42</v>
      </c>
      <c r="L647">
        <v>0</v>
      </c>
      <c r="M647" t="s">
        <v>20</v>
      </c>
    </row>
    <row r="648" spans="1:13" x14ac:dyDescent="0.35">
      <c r="A648">
        <v>647</v>
      </c>
      <c r="B648">
        <v>583005932</v>
      </c>
      <c r="C648">
        <v>36987</v>
      </c>
      <c r="D648" t="s">
        <v>39</v>
      </c>
      <c r="E648" t="s">
        <v>324</v>
      </c>
      <c r="F648" t="s">
        <v>40</v>
      </c>
      <c r="G648" t="s">
        <v>41</v>
      </c>
      <c r="H648" t="s">
        <v>17</v>
      </c>
      <c r="I648" t="s">
        <v>18</v>
      </c>
      <c r="J648" t="s">
        <v>19</v>
      </c>
      <c r="K648">
        <v>36</v>
      </c>
      <c r="L648">
        <v>0</v>
      </c>
      <c r="M648" t="s">
        <v>20</v>
      </c>
    </row>
    <row r="649" spans="1:13" x14ac:dyDescent="0.35">
      <c r="A649">
        <v>648</v>
      </c>
      <c r="B649">
        <v>583005931</v>
      </c>
      <c r="C649">
        <v>36986</v>
      </c>
      <c r="D649" t="s">
        <v>39</v>
      </c>
      <c r="E649" t="s">
        <v>324</v>
      </c>
      <c r="F649" t="s">
        <v>40</v>
      </c>
      <c r="G649" t="s">
        <v>41</v>
      </c>
      <c r="H649" t="s">
        <v>17</v>
      </c>
      <c r="I649" t="s">
        <v>18</v>
      </c>
      <c r="J649" t="s">
        <v>19</v>
      </c>
      <c r="K649">
        <v>36</v>
      </c>
      <c r="L649">
        <v>0</v>
      </c>
      <c r="M649" t="s">
        <v>20</v>
      </c>
    </row>
    <row r="650" spans="1:13" x14ac:dyDescent="0.35">
      <c r="A650">
        <v>649</v>
      </c>
      <c r="B650">
        <v>583005927</v>
      </c>
      <c r="C650">
        <v>36980</v>
      </c>
      <c r="D650" t="s">
        <v>101</v>
      </c>
      <c r="E650" t="s">
        <v>324</v>
      </c>
      <c r="F650" t="s">
        <v>102</v>
      </c>
      <c r="G650" t="s">
        <v>103</v>
      </c>
      <c r="H650" t="s">
        <v>17</v>
      </c>
      <c r="I650" t="s">
        <v>18</v>
      </c>
      <c r="J650" t="s">
        <v>19</v>
      </c>
      <c r="K650">
        <v>45</v>
      </c>
      <c r="L650">
        <v>0</v>
      </c>
      <c r="M650" t="s">
        <v>20</v>
      </c>
    </row>
    <row r="651" spans="1:13" x14ac:dyDescent="0.35">
      <c r="A651">
        <v>650</v>
      </c>
      <c r="B651">
        <v>583005905</v>
      </c>
      <c r="C651">
        <v>36955</v>
      </c>
      <c r="D651" t="s">
        <v>39</v>
      </c>
      <c r="E651" t="s">
        <v>324</v>
      </c>
      <c r="F651" t="s">
        <v>40</v>
      </c>
      <c r="G651" t="s">
        <v>41</v>
      </c>
      <c r="H651" t="s">
        <v>17</v>
      </c>
      <c r="I651" t="s">
        <v>18</v>
      </c>
      <c r="J651" t="s">
        <v>19</v>
      </c>
      <c r="K651">
        <v>33</v>
      </c>
      <c r="L651">
        <v>0</v>
      </c>
      <c r="M651" t="s">
        <v>20</v>
      </c>
    </row>
    <row r="652" spans="1:13" x14ac:dyDescent="0.35">
      <c r="A652">
        <v>651</v>
      </c>
      <c r="B652">
        <v>583005924</v>
      </c>
      <c r="C652">
        <v>36976</v>
      </c>
      <c r="D652" t="s">
        <v>13</v>
      </c>
      <c r="E652" t="s">
        <v>324</v>
      </c>
      <c r="F652" t="s">
        <v>15</v>
      </c>
      <c r="G652" t="s">
        <v>16</v>
      </c>
      <c r="H652" t="s">
        <v>17</v>
      </c>
      <c r="I652" t="s">
        <v>18</v>
      </c>
      <c r="J652" t="s">
        <v>19</v>
      </c>
      <c r="K652">
        <v>72</v>
      </c>
      <c r="L652">
        <v>0</v>
      </c>
      <c r="M652" t="s">
        <v>20</v>
      </c>
    </row>
    <row r="653" spans="1:13" x14ac:dyDescent="0.35">
      <c r="A653">
        <v>652</v>
      </c>
      <c r="B653">
        <v>583005923</v>
      </c>
      <c r="C653">
        <v>36975</v>
      </c>
      <c r="D653" t="s">
        <v>13</v>
      </c>
      <c r="E653" t="s">
        <v>324</v>
      </c>
      <c r="F653" t="s">
        <v>15</v>
      </c>
      <c r="G653" t="s">
        <v>16</v>
      </c>
      <c r="H653" t="s">
        <v>17</v>
      </c>
      <c r="I653" t="s">
        <v>18</v>
      </c>
      <c r="J653" t="s">
        <v>19</v>
      </c>
      <c r="K653">
        <v>276</v>
      </c>
      <c r="L653">
        <v>0</v>
      </c>
      <c r="M653" t="s">
        <v>20</v>
      </c>
    </row>
    <row r="654" spans="1:13" x14ac:dyDescent="0.35">
      <c r="A654">
        <v>653</v>
      </c>
      <c r="B654">
        <v>583005916</v>
      </c>
      <c r="C654">
        <v>36968</v>
      </c>
      <c r="D654" t="s">
        <v>250</v>
      </c>
      <c r="E654" t="s">
        <v>324</v>
      </c>
      <c r="F654" t="s">
        <v>251</v>
      </c>
      <c r="G654" t="s">
        <v>252</v>
      </c>
      <c r="H654" t="s">
        <v>17</v>
      </c>
      <c r="I654" t="s">
        <v>18</v>
      </c>
      <c r="J654" t="s">
        <v>19</v>
      </c>
      <c r="K654">
        <v>33</v>
      </c>
      <c r="L654">
        <v>0</v>
      </c>
      <c r="M654" t="s">
        <v>20</v>
      </c>
    </row>
    <row r="655" spans="1:13" x14ac:dyDescent="0.35">
      <c r="A655">
        <v>654</v>
      </c>
      <c r="B655">
        <v>583005919</v>
      </c>
      <c r="C655">
        <v>36971</v>
      </c>
      <c r="D655" t="s">
        <v>68</v>
      </c>
      <c r="E655" t="s">
        <v>324</v>
      </c>
      <c r="F655" t="s">
        <v>69</v>
      </c>
      <c r="G655" t="s">
        <v>70</v>
      </c>
      <c r="H655" t="s">
        <v>17</v>
      </c>
      <c r="I655" t="s">
        <v>18</v>
      </c>
      <c r="J655" t="s">
        <v>19</v>
      </c>
      <c r="K655">
        <v>15</v>
      </c>
      <c r="L655">
        <v>0</v>
      </c>
      <c r="M655" t="s">
        <v>20</v>
      </c>
    </row>
    <row r="656" spans="1:13" x14ac:dyDescent="0.35">
      <c r="A656">
        <v>655</v>
      </c>
      <c r="B656">
        <v>583005926</v>
      </c>
      <c r="C656">
        <v>36978</v>
      </c>
      <c r="D656" t="s">
        <v>36</v>
      </c>
      <c r="E656" t="s">
        <v>324</v>
      </c>
      <c r="F656" t="s">
        <v>37</v>
      </c>
      <c r="G656" t="s">
        <v>38</v>
      </c>
      <c r="H656" t="s">
        <v>17</v>
      </c>
      <c r="I656" t="s">
        <v>18</v>
      </c>
      <c r="J656" t="s">
        <v>19</v>
      </c>
      <c r="K656">
        <v>36</v>
      </c>
      <c r="L656">
        <v>0</v>
      </c>
      <c r="M656" t="s">
        <v>20</v>
      </c>
    </row>
    <row r="657" spans="1:13" x14ac:dyDescent="0.35">
      <c r="A657">
        <v>656</v>
      </c>
      <c r="B657">
        <v>583005918</v>
      </c>
      <c r="C657">
        <v>36970</v>
      </c>
      <c r="D657" t="s">
        <v>75</v>
      </c>
      <c r="E657" t="s">
        <v>324</v>
      </c>
      <c r="F657" t="s">
        <v>76</v>
      </c>
      <c r="G657" t="s">
        <v>77</v>
      </c>
      <c r="H657" t="s">
        <v>17</v>
      </c>
      <c r="I657" t="s">
        <v>18</v>
      </c>
      <c r="J657" t="s">
        <v>19</v>
      </c>
      <c r="K657">
        <v>12</v>
      </c>
      <c r="L657">
        <v>0</v>
      </c>
      <c r="M657" t="s">
        <v>20</v>
      </c>
    </row>
    <row r="658" spans="1:13" x14ac:dyDescent="0.35">
      <c r="A658">
        <v>657</v>
      </c>
      <c r="B658">
        <v>583006017</v>
      </c>
      <c r="C658">
        <v>37100</v>
      </c>
      <c r="D658" t="s">
        <v>314</v>
      </c>
      <c r="E658" t="s">
        <v>343</v>
      </c>
      <c r="F658" t="s">
        <v>315</v>
      </c>
      <c r="G658" t="s">
        <v>316</v>
      </c>
      <c r="H658" t="s">
        <v>17</v>
      </c>
      <c r="I658" t="s">
        <v>18</v>
      </c>
      <c r="J658" t="s">
        <v>19</v>
      </c>
      <c r="K658">
        <v>3960</v>
      </c>
      <c r="L658">
        <v>0</v>
      </c>
      <c r="M658" t="s">
        <v>20</v>
      </c>
    </row>
    <row r="659" spans="1:13" x14ac:dyDescent="0.35">
      <c r="A659">
        <v>658</v>
      </c>
      <c r="B659">
        <v>583006017</v>
      </c>
      <c r="C659">
        <v>37100</v>
      </c>
      <c r="D659" t="s">
        <v>314</v>
      </c>
      <c r="E659" t="s">
        <v>343</v>
      </c>
      <c r="F659" t="s">
        <v>315</v>
      </c>
      <c r="G659" t="s">
        <v>316</v>
      </c>
      <c r="H659" t="s">
        <v>17</v>
      </c>
      <c r="I659" t="s">
        <v>18</v>
      </c>
      <c r="J659" t="s">
        <v>19</v>
      </c>
      <c r="K659">
        <v>72</v>
      </c>
      <c r="L659">
        <v>0</v>
      </c>
      <c r="M659" t="s">
        <v>20</v>
      </c>
    </row>
    <row r="660" spans="1:13" x14ac:dyDescent="0.35">
      <c r="A660">
        <v>659</v>
      </c>
      <c r="B660">
        <v>583005985</v>
      </c>
      <c r="C660">
        <v>37063</v>
      </c>
      <c r="D660" t="s">
        <v>48</v>
      </c>
      <c r="E660" t="s">
        <v>343</v>
      </c>
      <c r="F660" t="s">
        <v>49</v>
      </c>
      <c r="G660" t="s">
        <v>50</v>
      </c>
      <c r="H660" t="s">
        <v>17</v>
      </c>
      <c r="I660" t="s">
        <v>18</v>
      </c>
      <c r="J660" t="s">
        <v>19</v>
      </c>
      <c r="K660">
        <v>360</v>
      </c>
      <c r="L660">
        <v>0</v>
      </c>
      <c r="M660" t="s">
        <v>20</v>
      </c>
    </row>
    <row r="661" spans="1:13" x14ac:dyDescent="0.35">
      <c r="A661">
        <v>660</v>
      </c>
      <c r="B661">
        <v>583005985</v>
      </c>
      <c r="C661">
        <v>37063</v>
      </c>
      <c r="D661" t="s">
        <v>48</v>
      </c>
      <c r="E661" t="s">
        <v>343</v>
      </c>
      <c r="F661" t="s">
        <v>49</v>
      </c>
      <c r="G661" t="s">
        <v>50</v>
      </c>
      <c r="H661" t="s">
        <v>17</v>
      </c>
      <c r="I661" t="s">
        <v>18</v>
      </c>
      <c r="J661" t="s">
        <v>19</v>
      </c>
      <c r="K661">
        <v>2592</v>
      </c>
      <c r="L661">
        <v>0</v>
      </c>
      <c r="M661" t="s">
        <v>20</v>
      </c>
    </row>
    <row r="662" spans="1:13" x14ac:dyDescent="0.35">
      <c r="A662">
        <v>661</v>
      </c>
      <c r="B662">
        <v>583005985</v>
      </c>
      <c r="C662">
        <v>37063</v>
      </c>
      <c r="D662" t="s">
        <v>48</v>
      </c>
      <c r="E662" t="s">
        <v>343</v>
      </c>
      <c r="F662" t="s">
        <v>49</v>
      </c>
      <c r="G662" t="s">
        <v>50</v>
      </c>
      <c r="H662" t="s">
        <v>17</v>
      </c>
      <c r="I662" t="s">
        <v>18</v>
      </c>
      <c r="J662" t="s">
        <v>19</v>
      </c>
      <c r="K662">
        <v>243</v>
      </c>
      <c r="L662">
        <v>0</v>
      </c>
      <c r="M662" t="s">
        <v>20</v>
      </c>
    </row>
    <row r="663" spans="1:13" x14ac:dyDescent="0.35">
      <c r="A663">
        <v>662</v>
      </c>
      <c r="B663">
        <v>583005985</v>
      </c>
      <c r="C663">
        <v>37063</v>
      </c>
      <c r="D663" t="s">
        <v>48</v>
      </c>
      <c r="E663" t="s">
        <v>343</v>
      </c>
      <c r="F663" t="s">
        <v>49</v>
      </c>
      <c r="G663" t="s">
        <v>50</v>
      </c>
      <c r="H663" t="s">
        <v>17</v>
      </c>
      <c r="I663" t="s">
        <v>18</v>
      </c>
      <c r="J663" t="s">
        <v>19</v>
      </c>
      <c r="K663">
        <v>1350</v>
      </c>
      <c r="L663">
        <v>0</v>
      </c>
      <c r="M663" t="s">
        <v>20</v>
      </c>
    </row>
    <row r="664" spans="1:13" x14ac:dyDescent="0.35">
      <c r="A664">
        <v>663</v>
      </c>
      <c r="B664">
        <v>583005994</v>
      </c>
      <c r="C664">
        <v>37074</v>
      </c>
      <c r="D664" t="s">
        <v>165</v>
      </c>
      <c r="E664" t="s">
        <v>343</v>
      </c>
      <c r="F664" t="s">
        <v>166</v>
      </c>
      <c r="G664" t="s">
        <v>167</v>
      </c>
      <c r="H664" t="s">
        <v>17</v>
      </c>
      <c r="I664" t="s">
        <v>18</v>
      </c>
      <c r="J664" t="s">
        <v>19</v>
      </c>
      <c r="K664">
        <v>63</v>
      </c>
      <c r="L664">
        <v>0</v>
      </c>
      <c r="M664" t="s">
        <v>20</v>
      </c>
    </row>
    <row r="665" spans="1:13" x14ac:dyDescent="0.35">
      <c r="A665">
        <v>664</v>
      </c>
      <c r="B665">
        <v>583005984</v>
      </c>
      <c r="C665">
        <v>37062</v>
      </c>
      <c r="D665" t="s">
        <v>116</v>
      </c>
      <c r="E665" t="s">
        <v>343</v>
      </c>
      <c r="F665" t="s">
        <v>117</v>
      </c>
      <c r="G665" t="s">
        <v>118</v>
      </c>
      <c r="H665" t="s">
        <v>17</v>
      </c>
      <c r="I665" t="s">
        <v>24</v>
      </c>
      <c r="J665" t="s">
        <v>25</v>
      </c>
      <c r="K665">
        <v>8</v>
      </c>
      <c r="L665">
        <v>0</v>
      </c>
      <c r="M665" t="s">
        <v>20</v>
      </c>
    </row>
    <row r="666" spans="1:13" x14ac:dyDescent="0.35">
      <c r="A666">
        <v>665</v>
      </c>
      <c r="B666">
        <v>583005983</v>
      </c>
      <c r="C666">
        <v>37061</v>
      </c>
      <c r="D666" t="s">
        <v>21</v>
      </c>
      <c r="E666" t="s">
        <v>343</v>
      </c>
      <c r="F666" t="s">
        <v>22</v>
      </c>
      <c r="G666" t="s">
        <v>23</v>
      </c>
      <c r="H666" t="s">
        <v>17</v>
      </c>
      <c r="I666" t="s">
        <v>18</v>
      </c>
      <c r="J666" t="s">
        <v>19</v>
      </c>
      <c r="K666">
        <v>846</v>
      </c>
      <c r="L666">
        <v>0</v>
      </c>
      <c r="M666" t="s">
        <v>20</v>
      </c>
    </row>
    <row r="667" spans="1:13" x14ac:dyDescent="0.35">
      <c r="A667">
        <v>666</v>
      </c>
      <c r="B667">
        <v>583006007</v>
      </c>
      <c r="C667">
        <v>37087</v>
      </c>
      <c r="D667" t="s">
        <v>247</v>
      </c>
      <c r="E667" t="s">
        <v>343</v>
      </c>
      <c r="F667" t="s">
        <v>248</v>
      </c>
      <c r="G667" t="s">
        <v>249</v>
      </c>
      <c r="H667" t="s">
        <v>17</v>
      </c>
      <c r="I667" t="s">
        <v>18</v>
      </c>
      <c r="J667" t="s">
        <v>19</v>
      </c>
      <c r="K667">
        <v>30</v>
      </c>
      <c r="L667">
        <v>0</v>
      </c>
      <c r="M667" t="s">
        <v>20</v>
      </c>
    </row>
    <row r="668" spans="1:13" x14ac:dyDescent="0.35">
      <c r="A668">
        <v>667</v>
      </c>
      <c r="B668">
        <v>583006006</v>
      </c>
      <c r="C668">
        <v>37086</v>
      </c>
      <c r="D668" t="s">
        <v>247</v>
      </c>
      <c r="E668" t="s">
        <v>343</v>
      </c>
      <c r="F668" t="s">
        <v>248</v>
      </c>
      <c r="G668" t="s">
        <v>249</v>
      </c>
      <c r="H668" t="s">
        <v>17</v>
      </c>
      <c r="I668" t="s">
        <v>18</v>
      </c>
      <c r="J668" t="s">
        <v>19</v>
      </c>
      <c r="K668">
        <v>57</v>
      </c>
      <c r="L668">
        <v>0</v>
      </c>
      <c r="M668" t="s">
        <v>20</v>
      </c>
    </row>
    <row r="669" spans="1:13" x14ac:dyDescent="0.35">
      <c r="A669">
        <v>668</v>
      </c>
      <c r="B669">
        <v>583005983</v>
      </c>
      <c r="C669">
        <v>37061</v>
      </c>
      <c r="D669" t="s">
        <v>21</v>
      </c>
      <c r="E669" t="s">
        <v>343</v>
      </c>
      <c r="F669" t="s">
        <v>22</v>
      </c>
      <c r="G669" t="s">
        <v>23</v>
      </c>
      <c r="H669" t="s">
        <v>17</v>
      </c>
      <c r="I669" t="s">
        <v>18</v>
      </c>
      <c r="J669" t="s">
        <v>19</v>
      </c>
      <c r="K669">
        <v>3051</v>
      </c>
      <c r="L669">
        <v>0</v>
      </c>
      <c r="M669" t="s">
        <v>20</v>
      </c>
    </row>
    <row r="670" spans="1:13" x14ac:dyDescent="0.35">
      <c r="A670">
        <v>669</v>
      </c>
      <c r="B670">
        <v>583006010</v>
      </c>
      <c r="C670">
        <v>37090</v>
      </c>
      <c r="D670" t="s">
        <v>301</v>
      </c>
      <c r="E670" t="s">
        <v>343</v>
      </c>
      <c r="F670" t="s">
        <v>302</v>
      </c>
      <c r="G670" t="s">
        <v>303</v>
      </c>
      <c r="H670" t="s">
        <v>17</v>
      </c>
      <c r="I670" t="s">
        <v>18</v>
      </c>
      <c r="J670" t="s">
        <v>19</v>
      </c>
      <c r="K670">
        <v>276</v>
      </c>
      <c r="L670">
        <v>0</v>
      </c>
      <c r="M670" t="s">
        <v>20</v>
      </c>
    </row>
    <row r="671" spans="1:13" x14ac:dyDescent="0.35">
      <c r="A671">
        <v>670</v>
      </c>
      <c r="B671">
        <v>583006023</v>
      </c>
      <c r="C671">
        <v>37107</v>
      </c>
      <c r="D671" t="s">
        <v>231</v>
      </c>
      <c r="E671" t="s">
        <v>343</v>
      </c>
      <c r="F671" t="s">
        <v>232</v>
      </c>
      <c r="G671" t="s">
        <v>233</v>
      </c>
      <c r="H671" t="s">
        <v>17</v>
      </c>
      <c r="I671" t="s">
        <v>18</v>
      </c>
      <c r="J671" t="s">
        <v>19</v>
      </c>
      <c r="K671">
        <v>414</v>
      </c>
      <c r="L671">
        <v>0</v>
      </c>
      <c r="M671" t="s">
        <v>20</v>
      </c>
    </row>
    <row r="672" spans="1:13" x14ac:dyDescent="0.35">
      <c r="A672">
        <v>671</v>
      </c>
      <c r="B672">
        <v>583006023</v>
      </c>
      <c r="C672">
        <v>37107</v>
      </c>
      <c r="D672" t="s">
        <v>231</v>
      </c>
      <c r="E672" t="s">
        <v>343</v>
      </c>
      <c r="F672" t="s">
        <v>232</v>
      </c>
      <c r="G672" t="s">
        <v>233</v>
      </c>
      <c r="H672" t="s">
        <v>17</v>
      </c>
      <c r="I672" t="s">
        <v>18</v>
      </c>
      <c r="J672" t="s">
        <v>19</v>
      </c>
      <c r="K672">
        <v>507</v>
      </c>
      <c r="L672">
        <v>0</v>
      </c>
      <c r="M672" t="s">
        <v>20</v>
      </c>
    </row>
    <row r="673" spans="1:13" x14ac:dyDescent="0.35">
      <c r="A673">
        <v>672</v>
      </c>
      <c r="B673">
        <v>583006032</v>
      </c>
      <c r="C673">
        <v>37118</v>
      </c>
      <c r="D673" t="s">
        <v>274</v>
      </c>
      <c r="E673" t="s">
        <v>343</v>
      </c>
      <c r="F673" t="s">
        <v>275</v>
      </c>
      <c r="G673" t="s">
        <v>276</v>
      </c>
      <c r="H673" t="s">
        <v>17</v>
      </c>
      <c r="I673" t="s">
        <v>24</v>
      </c>
      <c r="J673" t="s">
        <v>25</v>
      </c>
      <c r="K673">
        <v>5</v>
      </c>
      <c r="L673">
        <v>0</v>
      </c>
      <c r="M673" t="s">
        <v>20</v>
      </c>
    </row>
    <row r="674" spans="1:13" x14ac:dyDescent="0.35">
      <c r="A674">
        <v>673</v>
      </c>
      <c r="B674">
        <v>583006040</v>
      </c>
      <c r="C674">
        <v>37127</v>
      </c>
      <c r="D674" t="s">
        <v>116</v>
      </c>
      <c r="E674" t="s">
        <v>343</v>
      </c>
      <c r="F674" t="s">
        <v>117</v>
      </c>
      <c r="G674" t="s">
        <v>118</v>
      </c>
      <c r="H674" t="s">
        <v>17</v>
      </c>
      <c r="I674" t="s">
        <v>18</v>
      </c>
      <c r="J674" t="s">
        <v>19</v>
      </c>
      <c r="K674">
        <v>2478</v>
      </c>
      <c r="L674">
        <v>0</v>
      </c>
      <c r="M674" t="s">
        <v>20</v>
      </c>
    </row>
    <row r="675" spans="1:13" x14ac:dyDescent="0.35">
      <c r="A675">
        <v>674</v>
      </c>
      <c r="B675">
        <v>583006039</v>
      </c>
      <c r="C675">
        <v>37125</v>
      </c>
      <c r="D675" t="s">
        <v>116</v>
      </c>
      <c r="E675" t="s">
        <v>343</v>
      </c>
      <c r="F675" t="s">
        <v>117</v>
      </c>
      <c r="G675" t="s">
        <v>118</v>
      </c>
      <c r="H675" t="s">
        <v>17</v>
      </c>
      <c r="I675" t="s">
        <v>18</v>
      </c>
      <c r="J675" t="s">
        <v>19</v>
      </c>
      <c r="K675">
        <v>1827</v>
      </c>
      <c r="L675">
        <v>0</v>
      </c>
      <c r="M675" t="s">
        <v>20</v>
      </c>
    </row>
    <row r="676" spans="1:13" x14ac:dyDescent="0.35">
      <c r="A676">
        <v>675</v>
      </c>
      <c r="B676">
        <v>583006034</v>
      </c>
      <c r="C676">
        <v>37120</v>
      </c>
      <c r="D676" t="s">
        <v>125</v>
      </c>
      <c r="E676" t="s">
        <v>343</v>
      </c>
      <c r="F676" t="s">
        <v>127</v>
      </c>
      <c r="G676" t="s">
        <v>128</v>
      </c>
      <c r="H676" t="s">
        <v>17</v>
      </c>
      <c r="I676" t="s">
        <v>18</v>
      </c>
      <c r="J676" t="s">
        <v>19</v>
      </c>
      <c r="K676">
        <v>1464</v>
      </c>
      <c r="L676">
        <v>0</v>
      </c>
      <c r="M676" t="s">
        <v>20</v>
      </c>
    </row>
    <row r="677" spans="1:13" x14ac:dyDescent="0.35">
      <c r="A677">
        <v>676</v>
      </c>
      <c r="B677">
        <v>583006034</v>
      </c>
      <c r="C677">
        <v>37120</v>
      </c>
      <c r="D677" t="s">
        <v>125</v>
      </c>
      <c r="E677" t="s">
        <v>343</v>
      </c>
      <c r="F677" t="s">
        <v>127</v>
      </c>
      <c r="G677" t="s">
        <v>128</v>
      </c>
      <c r="H677" t="s">
        <v>17</v>
      </c>
      <c r="I677" t="s">
        <v>18</v>
      </c>
      <c r="J677" t="s">
        <v>19</v>
      </c>
      <c r="K677">
        <v>1422</v>
      </c>
      <c r="L677">
        <v>0</v>
      </c>
      <c r="M677" t="s">
        <v>20</v>
      </c>
    </row>
    <row r="678" spans="1:13" x14ac:dyDescent="0.35">
      <c r="A678">
        <v>677</v>
      </c>
      <c r="B678">
        <v>583006034</v>
      </c>
      <c r="C678">
        <v>37120</v>
      </c>
      <c r="D678" t="s">
        <v>125</v>
      </c>
      <c r="E678" t="s">
        <v>343</v>
      </c>
      <c r="F678" t="s">
        <v>127</v>
      </c>
      <c r="G678" t="s">
        <v>128</v>
      </c>
      <c r="H678" t="s">
        <v>17</v>
      </c>
      <c r="I678" t="s">
        <v>18</v>
      </c>
      <c r="J678" t="s">
        <v>19</v>
      </c>
      <c r="K678">
        <v>465</v>
      </c>
      <c r="L678">
        <v>0</v>
      </c>
      <c r="M678" t="s">
        <v>20</v>
      </c>
    </row>
    <row r="679" spans="1:13" x14ac:dyDescent="0.35">
      <c r="A679">
        <v>678</v>
      </c>
      <c r="B679">
        <v>583006034</v>
      </c>
      <c r="C679">
        <v>37120</v>
      </c>
      <c r="D679" t="s">
        <v>125</v>
      </c>
      <c r="E679" t="s">
        <v>343</v>
      </c>
      <c r="F679" t="s">
        <v>127</v>
      </c>
      <c r="G679" t="s">
        <v>128</v>
      </c>
      <c r="H679" t="s">
        <v>17</v>
      </c>
      <c r="I679" t="s">
        <v>18</v>
      </c>
      <c r="J679" t="s">
        <v>19</v>
      </c>
      <c r="K679">
        <v>150</v>
      </c>
      <c r="L679">
        <v>0</v>
      </c>
      <c r="M679" t="s">
        <v>20</v>
      </c>
    </row>
    <row r="680" spans="1:13" x14ac:dyDescent="0.35">
      <c r="A680">
        <v>679</v>
      </c>
      <c r="B680">
        <v>583006041</v>
      </c>
      <c r="C680">
        <v>37128</v>
      </c>
      <c r="D680" t="s">
        <v>116</v>
      </c>
      <c r="E680" t="s">
        <v>343</v>
      </c>
      <c r="F680" t="s">
        <v>117</v>
      </c>
      <c r="G680" t="s">
        <v>118</v>
      </c>
      <c r="H680" t="s">
        <v>17</v>
      </c>
      <c r="I680" t="s">
        <v>24</v>
      </c>
      <c r="J680" t="s">
        <v>25</v>
      </c>
      <c r="K680">
        <v>9</v>
      </c>
      <c r="L680">
        <v>0</v>
      </c>
      <c r="M680" t="s">
        <v>20</v>
      </c>
    </row>
    <row r="681" spans="1:13" x14ac:dyDescent="0.35">
      <c r="A681">
        <v>680</v>
      </c>
      <c r="B681">
        <v>583006041</v>
      </c>
      <c r="C681">
        <v>37128</v>
      </c>
      <c r="D681" t="s">
        <v>116</v>
      </c>
      <c r="E681" t="s">
        <v>343</v>
      </c>
      <c r="F681" t="s">
        <v>117</v>
      </c>
      <c r="G681" t="s">
        <v>118</v>
      </c>
      <c r="H681" t="s">
        <v>17</v>
      </c>
      <c r="I681" t="s">
        <v>24</v>
      </c>
      <c r="J681" t="s">
        <v>74</v>
      </c>
      <c r="K681">
        <v>2</v>
      </c>
      <c r="L681">
        <v>0</v>
      </c>
      <c r="M681" t="s">
        <v>20</v>
      </c>
    </row>
    <row r="682" spans="1:13" x14ac:dyDescent="0.35">
      <c r="A682">
        <v>681</v>
      </c>
      <c r="B682">
        <v>583006031</v>
      </c>
      <c r="C682">
        <v>37117</v>
      </c>
      <c r="D682" t="s">
        <v>274</v>
      </c>
      <c r="E682" t="s">
        <v>343</v>
      </c>
      <c r="F682" t="s">
        <v>275</v>
      </c>
      <c r="G682" t="s">
        <v>276</v>
      </c>
      <c r="H682" t="s">
        <v>17</v>
      </c>
      <c r="I682" t="s">
        <v>135</v>
      </c>
      <c r="J682" t="s">
        <v>19</v>
      </c>
      <c r="K682">
        <v>480</v>
      </c>
      <c r="L682">
        <v>0</v>
      </c>
      <c r="M682" t="s">
        <v>20</v>
      </c>
    </row>
    <row r="683" spans="1:13" x14ac:dyDescent="0.35">
      <c r="A683">
        <v>682</v>
      </c>
      <c r="B683">
        <v>583006031</v>
      </c>
      <c r="C683">
        <v>37117</v>
      </c>
      <c r="D683" t="s">
        <v>274</v>
      </c>
      <c r="E683" t="s">
        <v>343</v>
      </c>
      <c r="F683" t="s">
        <v>275</v>
      </c>
      <c r="G683" t="s">
        <v>276</v>
      </c>
      <c r="H683" t="s">
        <v>17</v>
      </c>
      <c r="I683" t="s">
        <v>18</v>
      </c>
      <c r="J683" t="s">
        <v>19</v>
      </c>
      <c r="K683">
        <v>1305</v>
      </c>
      <c r="L683">
        <v>0</v>
      </c>
      <c r="M683" t="s">
        <v>20</v>
      </c>
    </row>
    <row r="684" spans="1:13" x14ac:dyDescent="0.35">
      <c r="A684">
        <v>683</v>
      </c>
      <c r="B684">
        <v>583005996</v>
      </c>
      <c r="C684">
        <v>37076</v>
      </c>
      <c r="D684" t="s">
        <v>110</v>
      </c>
      <c r="E684" t="s">
        <v>343</v>
      </c>
      <c r="F684" t="s">
        <v>111</v>
      </c>
      <c r="G684" t="s">
        <v>112</v>
      </c>
      <c r="H684" t="s">
        <v>17</v>
      </c>
      <c r="I684" t="s">
        <v>18</v>
      </c>
      <c r="J684" t="s">
        <v>19</v>
      </c>
      <c r="K684">
        <v>24</v>
      </c>
      <c r="L684">
        <v>0</v>
      </c>
      <c r="M684" t="s">
        <v>20</v>
      </c>
    </row>
    <row r="685" spans="1:13" x14ac:dyDescent="0.35">
      <c r="A685">
        <v>684</v>
      </c>
      <c r="B685">
        <v>583005995</v>
      </c>
      <c r="C685">
        <v>37075</v>
      </c>
      <c r="D685" t="s">
        <v>110</v>
      </c>
      <c r="E685" t="s">
        <v>343</v>
      </c>
      <c r="F685" t="s">
        <v>111</v>
      </c>
      <c r="G685" t="s">
        <v>112</v>
      </c>
      <c r="H685" t="s">
        <v>17</v>
      </c>
      <c r="I685" t="s">
        <v>18</v>
      </c>
      <c r="J685" t="s">
        <v>19</v>
      </c>
      <c r="K685">
        <v>21</v>
      </c>
      <c r="L685">
        <v>0</v>
      </c>
      <c r="M685" t="s">
        <v>20</v>
      </c>
    </row>
    <row r="686" spans="1:13" x14ac:dyDescent="0.35">
      <c r="A686">
        <v>685</v>
      </c>
      <c r="B686">
        <v>583005991</v>
      </c>
      <c r="C686">
        <v>37071</v>
      </c>
      <c r="D686" t="s">
        <v>39</v>
      </c>
      <c r="E686" t="s">
        <v>343</v>
      </c>
      <c r="F686" t="s">
        <v>40</v>
      </c>
      <c r="G686" t="s">
        <v>41</v>
      </c>
      <c r="H686" t="s">
        <v>17</v>
      </c>
      <c r="I686" t="s">
        <v>63</v>
      </c>
      <c r="J686" t="s">
        <v>64</v>
      </c>
      <c r="K686">
        <v>54</v>
      </c>
      <c r="L686">
        <v>95.58</v>
      </c>
      <c r="M686" t="s">
        <v>20</v>
      </c>
    </row>
    <row r="687" spans="1:13" x14ac:dyDescent="0.35">
      <c r="A687">
        <v>686</v>
      </c>
      <c r="B687">
        <v>583005975</v>
      </c>
      <c r="C687">
        <v>37048</v>
      </c>
      <c r="D687" t="s">
        <v>220</v>
      </c>
      <c r="E687" t="s">
        <v>343</v>
      </c>
      <c r="F687" t="s">
        <v>221</v>
      </c>
      <c r="G687" t="s">
        <v>222</v>
      </c>
      <c r="H687" t="s">
        <v>17</v>
      </c>
      <c r="I687" t="s">
        <v>18</v>
      </c>
      <c r="J687" t="s">
        <v>19</v>
      </c>
      <c r="K687">
        <v>90</v>
      </c>
      <c r="L687">
        <v>0</v>
      </c>
      <c r="M687" t="s">
        <v>20</v>
      </c>
    </row>
    <row r="688" spans="1:13" x14ac:dyDescent="0.35">
      <c r="A688">
        <v>687</v>
      </c>
      <c r="B688">
        <v>583005990</v>
      </c>
      <c r="C688">
        <v>37070</v>
      </c>
      <c r="D688" t="s">
        <v>206</v>
      </c>
      <c r="E688" t="s">
        <v>343</v>
      </c>
      <c r="F688" t="s">
        <v>207</v>
      </c>
      <c r="G688" t="s">
        <v>208</v>
      </c>
      <c r="H688" t="s">
        <v>17</v>
      </c>
      <c r="I688" t="s">
        <v>63</v>
      </c>
      <c r="J688" t="s">
        <v>64</v>
      </c>
      <c r="K688">
        <v>35</v>
      </c>
      <c r="L688">
        <v>61.95</v>
      </c>
      <c r="M688" t="s">
        <v>20</v>
      </c>
    </row>
    <row r="689" spans="1:13" x14ac:dyDescent="0.35">
      <c r="A689">
        <v>688</v>
      </c>
      <c r="B689">
        <v>583006011</v>
      </c>
      <c r="C689">
        <v>37091</v>
      </c>
      <c r="D689" t="s">
        <v>344</v>
      </c>
      <c r="E689" t="s">
        <v>343</v>
      </c>
      <c r="F689" t="s">
        <v>345</v>
      </c>
      <c r="G689" t="s">
        <v>346</v>
      </c>
      <c r="H689" t="s">
        <v>17</v>
      </c>
      <c r="I689" t="s">
        <v>18</v>
      </c>
      <c r="J689" t="s">
        <v>19</v>
      </c>
      <c r="K689">
        <v>69</v>
      </c>
      <c r="L689">
        <v>0</v>
      </c>
      <c r="M689" t="s">
        <v>20</v>
      </c>
    </row>
    <row r="690" spans="1:13" x14ac:dyDescent="0.35">
      <c r="A690">
        <v>689</v>
      </c>
      <c r="B690">
        <v>583005999</v>
      </c>
      <c r="C690">
        <v>37079</v>
      </c>
      <c r="D690" t="s">
        <v>119</v>
      </c>
      <c r="E690" t="s">
        <v>343</v>
      </c>
      <c r="F690" t="s">
        <v>120</v>
      </c>
      <c r="G690" t="s">
        <v>121</v>
      </c>
      <c r="H690" t="s">
        <v>17</v>
      </c>
      <c r="I690" t="s">
        <v>18</v>
      </c>
      <c r="J690" t="s">
        <v>19</v>
      </c>
      <c r="K690">
        <v>27</v>
      </c>
      <c r="L690">
        <v>0</v>
      </c>
      <c r="M690" t="s">
        <v>20</v>
      </c>
    </row>
    <row r="691" spans="1:13" x14ac:dyDescent="0.35">
      <c r="A691">
        <v>690</v>
      </c>
      <c r="B691">
        <v>583005998</v>
      </c>
      <c r="C691">
        <v>37078</v>
      </c>
      <c r="D691" t="s">
        <v>119</v>
      </c>
      <c r="E691" t="s">
        <v>343</v>
      </c>
      <c r="F691" t="s">
        <v>120</v>
      </c>
      <c r="G691" t="s">
        <v>121</v>
      </c>
      <c r="H691" t="s">
        <v>17</v>
      </c>
      <c r="I691" t="s">
        <v>18</v>
      </c>
      <c r="J691" t="s">
        <v>19</v>
      </c>
      <c r="K691">
        <v>45</v>
      </c>
      <c r="L691">
        <v>0</v>
      </c>
      <c r="M691" t="s">
        <v>20</v>
      </c>
    </row>
    <row r="692" spans="1:13" x14ac:dyDescent="0.35">
      <c r="A692">
        <v>691</v>
      </c>
      <c r="B692">
        <v>583006013</v>
      </c>
      <c r="C692">
        <v>37093</v>
      </c>
      <c r="D692" t="s">
        <v>293</v>
      </c>
      <c r="E692" t="s">
        <v>343</v>
      </c>
      <c r="F692" t="s">
        <v>294</v>
      </c>
      <c r="G692" t="s">
        <v>295</v>
      </c>
      <c r="H692" t="s">
        <v>17</v>
      </c>
      <c r="I692" t="s">
        <v>18</v>
      </c>
      <c r="J692" t="s">
        <v>19</v>
      </c>
      <c r="K692">
        <v>12</v>
      </c>
      <c r="L692">
        <v>0</v>
      </c>
      <c r="M692" t="s">
        <v>20</v>
      </c>
    </row>
    <row r="693" spans="1:13" x14ac:dyDescent="0.35">
      <c r="A693">
        <v>692</v>
      </c>
      <c r="B693">
        <v>583005997</v>
      </c>
      <c r="C693">
        <v>37077</v>
      </c>
      <c r="D693" t="s">
        <v>311</v>
      </c>
      <c r="E693" t="s">
        <v>343</v>
      </c>
      <c r="F693" t="s">
        <v>312</v>
      </c>
      <c r="G693" t="s">
        <v>313</v>
      </c>
      <c r="H693" t="s">
        <v>17</v>
      </c>
      <c r="I693" t="s">
        <v>18</v>
      </c>
      <c r="J693" t="s">
        <v>19</v>
      </c>
      <c r="K693">
        <v>288</v>
      </c>
      <c r="L693">
        <v>0</v>
      </c>
      <c r="M693" t="s">
        <v>20</v>
      </c>
    </row>
    <row r="694" spans="1:13" x14ac:dyDescent="0.35">
      <c r="A694">
        <v>693</v>
      </c>
      <c r="B694">
        <v>583006005</v>
      </c>
      <c r="C694">
        <v>37085</v>
      </c>
      <c r="D694" t="s">
        <v>113</v>
      </c>
      <c r="E694" t="s">
        <v>343</v>
      </c>
      <c r="F694" t="s">
        <v>114</v>
      </c>
      <c r="G694" t="s">
        <v>115</v>
      </c>
      <c r="H694" t="s">
        <v>17</v>
      </c>
      <c r="I694" t="s">
        <v>18</v>
      </c>
      <c r="J694" t="s">
        <v>19</v>
      </c>
      <c r="K694">
        <v>45</v>
      </c>
      <c r="L694">
        <v>0</v>
      </c>
      <c r="M694" t="s">
        <v>20</v>
      </c>
    </row>
    <row r="695" spans="1:13" x14ac:dyDescent="0.35">
      <c r="A695">
        <v>694</v>
      </c>
      <c r="B695">
        <v>583006012</v>
      </c>
      <c r="C695">
        <v>37092</v>
      </c>
      <c r="D695" t="s">
        <v>53</v>
      </c>
      <c r="E695" t="s">
        <v>343</v>
      </c>
      <c r="F695" t="s">
        <v>54</v>
      </c>
      <c r="G695" t="s">
        <v>55</v>
      </c>
      <c r="H695" t="s">
        <v>17</v>
      </c>
      <c r="I695" t="s">
        <v>18</v>
      </c>
      <c r="J695" t="s">
        <v>19</v>
      </c>
      <c r="K695">
        <v>12</v>
      </c>
      <c r="L695">
        <v>0</v>
      </c>
      <c r="M695" t="s">
        <v>20</v>
      </c>
    </row>
    <row r="696" spans="1:13" x14ac:dyDescent="0.35">
      <c r="A696">
        <v>695</v>
      </c>
      <c r="B696">
        <v>583005993</v>
      </c>
      <c r="C696">
        <v>37073</v>
      </c>
      <c r="D696" t="s">
        <v>174</v>
      </c>
      <c r="E696" t="s">
        <v>343</v>
      </c>
      <c r="F696" t="s">
        <v>175</v>
      </c>
      <c r="G696" t="s">
        <v>176</v>
      </c>
      <c r="H696" t="s">
        <v>17</v>
      </c>
      <c r="I696" t="s">
        <v>63</v>
      </c>
      <c r="J696" t="s">
        <v>64</v>
      </c>
      <c r="K696">
        <v>18</v>
      </c>
      <c r="L696">
        <v>31.86</v>
      </c>
      <c r="M696" t="s">
        <v>20</v>
      </c>
    </row>
    <row r="697" spans="1:13" x14ac:dyDescent="0.35">
      <c r="A697">
        <v>696</v>
      </c>
      <c r="B697">
        <v>583006000</v>
      </c>
      <c r="C697">
        <v>37080</v>
      </c>
      <c r="D697" t="s">
        <v>328</v>
      </c>
      <c r="E697" t="s">
        <v>343</v>
      </c>
      <c r="F697" t="s">
        <v>329</v>
      </c>
      <c r="G697" t="s">
        <v>330</v>
      </c>
      <c r="H697" t="s">
        <v>17</v>
      </c>
      <c r="I697" t="s">
        <v>18</v>
      </c>
      <c r="J697" t="s">
        <v>19</v>
      </c>
      <c r="K697">
        <v>12</v>
      </c>
      <c r="L697">
        <v>0</v>
      </c>
      <c r="M697" t="s">
        <v>20</v>
      </c>
    </row>
    <row r="698" spans="1:13" x14ac:dyDescent="0.35">
      <c r="A698">
        <v>697</v>
      </c>
      <c r="B698">
        <v>583005992</v>
      </c>
      <c r="C698">
        <v>37072</v>
      </c>
      <c r="D698" t="s">
        <v>199</v>
      </c>
      <c r="E698" t="s">
        <v>343</v>
      </c>
      <c r="F698" t="s">
        <v>201</v>
      </c>
      <c r="G698" t="s">
        <v>202</v>
      </c>
      <c r="H698" t="s">
        <v>17</v>
      </c>
      <c r="I698" t="s">
        <v>63</v>
      </c>
      <c r="J698" t="s">
        <v>64</v>
      </c>
      <c r="K698">
        <v>15</v>
      </c>
      <c r="L698">
        <v>26.55</v>
      </c>
      <c r="M698" t="s">
        <v>20</v>
      </c>
    </row>
    <row r="699" spans="1:13" x14ac:dyDescent="0.35">
      <c r="A699">
        <v>698</v>
      </c>
      <c r="B699">
        <v>583006009</v>
      </c>
      <c r="C699">
        <v>37089</v>
      </c>
      <c r="D699" t="s">
        <v>65</v>
      </c>
      <c r="E699" t="s">
        <v>343</v>
      </c>
      <c r="F699" t="s">
        <v>66</v>
      </c>
      <c r="G699" t="s">
        <v>67</v>
      </c>
      <c r="H699" t="s">
        <v>17</v>
      </c>
      <c r="I699" t="s">
        <v>135</v>
      </c>
      <c r="J699" t="s">
        <v>19</v>
      </c>
      <c r="K699">
        <v>375</v>
      </c>
      <c r="L699">
        <v>0</v>
      </c>
      <c r="M699" t="s">
        <v>20</v>
      </c>
    </row>
    <row r="700" spans="1:13" x14ac:dyDescent="0.35">
      <c r="A700">
        <v>699</v>
      </c>
      <c r="B700">
        <v>583006004</v>
      </c>
      <c r="C700">
        <v>37084</v>
      </c>
      <c r="D700" t="s">
        <v>65</v>
      </c>
      <c r="E700" t="s">
        <v>343</v>
      </c>
      <c r="F700" t="s">
        <v>66</v>
      </c>
      <c r="G700" t="s">
        <v>67</v>
      </c>
      <c r="H700" t="s">
        <v>17</v>
      </c>
      <c r="I700" t="s">
        <v>18</v>
      </c>
      <c r="J700" t="s">
        <v>19</v>
      </c>
      <c r="K700">
        <v>12</v>
      </c>
      <c r="L700">
        <v>0</v>
      </c>
      <c r="M700" t="s">
        <v>20</v>
      </c>
    </row>
    <row r="701" spans="1:13" x14ac:dyDescent="0.35">
      <c r="A701">
        <v>700</v>
      </c>
      <c r="B701">
        <v>583006001</v>
      </c>
      <c r="C701">
        <v>37081</v>
      </c>
      <c r="D701" t="s">
        <v>65</v>
      </c>
      <c r="E701" t="s">
        <v>343</v>
      </c>
      <c r="F701" t="s">
        <v>66</v>
      </c>
      <c r="G701" t="s">
        <v>67</v>
      </c>
      <c r="H701" t="s">
        <v>17</v>
      </c>
      <c r="I701" t="s">
        <v>18</v>
      </c>
      <c r="J701" t="s">
        <v>19</v>
      </c>
      <c r="K701">
        <v>12</v>
      </c>
      <c r="L701">
        <v>0</v>
      </c>
      <c r="M701" t="s">
        <v>20</v>
      </c>
    </row>
    <row r="702" spans="1:13" x14ac:dyDescent="0.35">
      <c r="A702">
        <v>701</v>
      </c>
      <c r="B702">
        <v>583006008</v>
      </c>
      <c r="C702">
        <v>37088</v>
      </c>
      <c r="D702" t="s">
        <v>247</v>
      </c>
      <c r="E702" t="s">
        <v>343</v>
      </c>
      <c r="F702" t="s">
        <v>248</v>
      </c>
      <c r="G702" t="s">
        <v>249</v>
      </c>
      <c r="H702" t="s">
        <v>17</v>
      </c>
      <c r="I702" t="s">
        <v>18</v>
      </c>
      <c r="J702" t="s">
        <v>19</v>
      </c>
      <c r="K702">
        <v>36</v>
      </c>
      <c r="L702">
        <v>0</v>
      </c>
      <c r="M702" t="s">
        <v>20</v>
      </c>
    </row>
    <row r="703" spans="1:13" x14ac:dyDescent="0.35">
      <c r="A703">
        <v>702</v>
      </c>
      <c r="B703">
        <v>583006075</v>
      </c>
      <c r="C703">
        <v>37176</v>
      </c>
      <c r="D703" t="s">
        <v>147</v>
      </c>
      <c r="E703" t="s">
        <v>347</v>
      </c>
      <c r="F703" t="s">
        <v>148</v>
      </c>
      <c r="G703" t="s">
        <v>149</v>
      </c>
      <c r="H703" t="s">
        <v>17</v>
      </c>
      <c r="I703" t="s">
        <v>18</v>
      </c>
      <c r="J703" t="s">
        <v>19</v>
      </c>
      <c r="K703">
        <v>72</v>
      </c>
      <c r="L703">
        <v>0</v>
      </c>
      <c r="M703" t="s">
        <v>20</v>
      </c>
    </row>
    <row r="704" spans="1:13" x14ac:dyDescent="0.35">
      <c r="A704">
        <v>703</v>
      </c>
      <c r="B704">
        <v>583006074</v>
      </c>
      <c r="C704">
        <v>37175</v>
      </c>
      <c r="D704" t="s">
        <v>147</v>
      </c>
      <c r="E704" t="s">
        <v>347</v>
      </c>
      <c r="F704" t="s">
        <v>148</v>
      </c>
      <c r="G704" t="s">
        <v>149</v>
      </c>
      <c r="H704" t="s">
        <v>17</v>
      </c>
      <c r="I704" t="s">
        <v>18</v>
      </c>
      <c r="J704" t="s">
        <v>19</v>
      </c>
      <c r="K704">
        <v>36</v>
      </c>
      <c r="L704">
        <v>0</v>
      </c>
      <c r="M704" t="s">
        <v>20</v>
      </c>
    </row>
    <row r="705" spans="1:13" x14ac:dyDescent="0.35">
      <c r="A705">
        <v>704</v>
      </c>
      <c r="B705">
        <v>583006069</v>
      </c>
      <c r="C705">
        <v>37170</v>
      </c>
      <c r="D705" t="s">
        <v>110</v>
      </c>
      <c r="E705" t="s">
        <v>347</v>
      </c>
      <c r="F705" t="s">
        <v>111</v>
      </c>
      <c r="G705" t="s">
        <v>112</v>
      </c>
      <c r="H705" t="s">
        <v>17</v>
      </c>
      <c r="I705" t="s">
        <v>18</v>
      </c>
      <c r="J705" t="s">
        <v>19</v>
      </c>
      <c r="K705">
        <v>36</v>
      </c>
      <c r="L705">
        <v>0</v>
      </c>
      <c r="M705" t="s">
        <v>20</v>
      </c>
    </row>
    <row r="706" spans="1:13" x14ac:dyDescent="0.35">
      <c r="A706">
        <v>705</v>
      </c>
      <c r="B706">
        <v>583006081</v>
      </c>
      <c r="C706">
        <v>37182</v>
      </c>
      <c r="D706" t="s">
        <v>92</v>
      </c>
      <c r="E706" t="s">
        <v>347</v>
      </c>
      <c r="F706" t="s">
        <v>93</v>
      </c>
      <c r="G706" t="s">
        <v>94</v>
      </c>
      <c r="H706" t="s">
        <v>17</v>
      </c>
      <c r="I706" t="s">
        <v>18</v>
      </c>
      <c r="J706" t="s">
        <v>19</v>
      </c>
      <c r="K706">
        <v>45</v>
      </c>
      <c r="L706">
        <v>0</v>
      </c>
      <c r="M706" t="s">
        <v>20</v>
      </c>
    </row>
    <row r="707" spans="1:13" x14ac:dyDescent="0.35">
      <c r="A707">
        <v>706</v>
      </c>
      <c r="B707">
        <v>583006080</v>
      </c>
      <c r="C707">
        <v>37181</v>
      </c>
      <c r="D707" t="s">
        <v>92</v>
      </c>
      <c r="E707" t="s">
        <v>347</v>
      </c>
      <c r="F707" t="s">
        <v>93</v>
      </c>
      <c r="G707" t="s">
        <v>94</v>
      </c>
      <c r="H707" t="s">
        <v>17</v>
      </c>
      <c r="I707" t="s">
        <v>18</v>
      </c>
      <c r="J707" t="s">
        <v>19</v>
      </c>
      <c r="K707">
        <v>216</v>
      </c>
      <c r="L707">
        <v>0</v>
      </c>
      <c r="M707" t="s">
        <v>20</v>
      </c>
    </row>
    <row r="708" spans="1:13" x14ac:dyDescent="0.35">
      <c r="A708">
        <v>707</v>
      </c>
      <c r="B708">
        <v>583006080</v>
      </c>
      <c r="C708">
        <v>37181</v>
      </c>
      <c r="D708" t="s">
        <v>92</v>
      </c>
      <c r="E708" t="s">
        <v>347</v>
      </c>
      <c r="F708" t="s">
        <v>93</v>
      </c>
      <c r="G708" t="s">
        <v>94</v>
      </c>
      <c r="H708" t="s">
        <v>17</v>
      </c>
      <c r="I708" t="s">
        <v>18</v>
      </c>
      <c r="J708" t="s">
        <v>19</v>
      </c>
      <c r="K708">
        <v>72</v>
      </c>
      <c r="L708">
        <v>0</v>
      </c>
      <c r="M708" t="s">
        <v>20</v>
      </c>
    </row>
    <row r="709" spans="1:13" x14ac:dyDescent="0.35">
      <c r="A709">
        <v>708</v>
      </c>
      <c r="B709">
        <v>583006046</v>
      </c>
      <c r="C709">
        <v>37140</v>
      </c>
      <c r="D709" t="s">
        <v>231</v>
      </c>
      <c r="E709" t="s">
        <v>347</v>
      </c>
      <c r="F709" t="s">
        <v>232</v>
      </c>
      <c r="G709" t="s">
        <v>233</v>
      </c>
      <c r="H709" t="s">
        <v>17</v>
      </c>
      <c r="I709" t="s">
        <v>18</v>
      </c>
      <c r="J709" t="s">
        <v>19</v>
      </c>
      <c r="K709">
        <v>108</v>
      </c>
      <c r="L709">
        <v>0</v>
      </c>
      <c r="M709" t="s">
        <v>20</v>
      </c>
    </row>
    <row r="710" spans="1:13" x14ac:dyDescent="0.35">
      <c r="A710">
        <v>709</v>
      </c>
      <c r="B710">
        <v>583006046</v>
      </c>
      <c r="C710">
        <v>37140</v>
      </c>
      <c r="D710" t="s">
        <v>231</v>
      </c>
      <c r="E710" t="s">
        <v>347</v>
      </c>
      <c r="F710" t="s">
        <v>232</v>
      </c>
      <c r="G710" t="s">
        <v>233</v>
      </c>
      <c r="H710" t="s">
        <v>17</v>
      </c>
      <c r="I710" t="s">
        <v>18</v>
      </c>
      <c r="J710" t="s">
        <v>19</v>
      </c>
      <c r="K710">
        <v>240</v>
      </c>
      <c r="L710">
        <v>0</v>
      </c>
      <c r="M710" t="s">
        <v>20</v>
      </c>
    </row>
    <row r="711" spans="1:13" x14ac:dyDescent="0.35">
      <c r="A711">
        <v>710</v>
      </c>
      <c r="B711">
        <v>583006099</v>
      </c>
      <c r="C711">
        <v>37204</v>
      </c>
      <c r="D711" t="s">
        <v>348</v>
      </c>
      <c r="E711" t="s">
        <v>347</v>
      </c>
      <c r="F711" t="s">
        <v>349</v>
      </c>
      <c r="G711" t="s">
        <v>350</v>
      </c>
      <c r="H711" t="s">
        <v>17</v>
      </c>
      <c r="I711" t="s">
        <v>18</v>
      </c>
      <c r="J711" t="s">
        <v>19</v>
      </c>
      <c r="K711">
        <v>57</v>
      </c>
      <c r="L711">
        <v>0</v>
      </c>
      <c r="M711" t="s">
        <v>20</v>
      </c>
    </row>
    <row r="712" spans="1:13" x14ac:dyDescent="0.35">
      <c r="A712">
        <v>711</v>
      </c>
      <c r="B712">
        <v>583006099</v>
      </c>
      <c r="C712">
        <v>37204</v>
      </c>
      <c r="D712" t="s">
        <v>348</v>
      </c>
      <c r="E712" t="s">
        <v>347</v>
      </c>
      <c r="F712" t="s">
        <v>349</v>
      </c>
      <c r="G712" t="s">
        <v>350</v>
      </c>
      <c r="H712" t="s">
        <v>17</v>
      </c>
      <c r="I712" t="s">
        <v>18</v>
      </c>
      <c r="J712" t="s">
        <v>19</v>
      </c>
      <c r="K712">
        <v>1461</v>
      </c>
      <c r="L712">
        <v>0</v>
      </c>
      <c r="M712" t="s">
        <v>20</v>
      </c>
    </row>
    <row r="713" spans="1:13" x14ac:dyDescent="0.35">
      <c r="A713">
        <v>712</v>
      </c>
      <c r="B713">
        <v>583006099</v>
      </c>
      <c r="C713">
        <v>37204</v>
      </c>
      <c r="D713" t="s">
        <v>348</v>
      </c>
      <c r="E713" t="s">
        <v>347</v>
      </c>
      <c r="F713" t="s">
        <v>349</v>
      </c>
      <c r="G713" t="s">
        <v>350</v>
      </c>
      <c r="H713" t="s">
        <v>17</v>
      </c>
      <c r="I713" t="s">
        <v>18</v>
      </c>
      <c r="J713" t="s">
        <v>19</v>
      </c>
      <c r="K713">
        <v>627</v>
      </c>
      <c r="L713">
        <v>0</v>
      </c>
      <c r="M713" t="s">
        <v>20</v>
      </c>
    </row>
    <row r="714" spans="1:13" x14ac:dyDescent="0.35">
      <c r="A714">
        <v>713</v>
      </c>
      <c r="B714">
        <v>583006099</v>
      </c>
      <c r="C714">
        <v>37204</v>
      </c>
      <c r="D714" t="s">
        <v>348</v>
      </c>
      <c r="E714" t="s">
        <v>347</v>
      </c>
      <c r="F714" t="s">
        <v>349</v>
      </c>
      <c r="G714" t="s">
        <v>350</v>
      </c>
      <c r="H714" t="s">
        <v>17</v>
      </c>
      <c r="I714" t="s">
        <v>18</v>
      </c>
      <c r="J714" t="s">
        <v>19</v>
      </c>
      <c r="K714">
        <v>636</v>
      </c>
      <c r="L714">
        <v>0</v>
      </c>
      <c r="M714" t="s">
        <v>20</v>
      </c>
    </row>
    <row r="715" spans="1:13" x14ac:dyDescent="0.35">
      <c r="A715">
        <v>714</v>
      </c>
      <c r="B715">
        <v>583006045</v>
      </c>
      <c r="C715">
        <v>37139</v>
      </c>
      <c r="D715" t="s">
        <v>231</v>
      </c>
      <c r="E715" t="s">
        <v>347</v>
      </c>
      <c r="F715" t="s">
        <v>232</v>
      </c>
      <c r="G715" t="s">
        <v>233</v>
      </c>
      <c r="H715" t="s">
        <v>17</v>
      </c>
      <c r="I715" t="s">
        <v>18</v>
      </c>
      <c r="J715" t="s">
        <v>19</v>
      </c>
      <c r="K715">
        <v>90</v>
      </c>
      <c r="L715">
        <v>0</v>
      </c>
      <c r="M715" t="s">
        <v>20</v>
      </c>
    </row>
    <row r="716" spans="1:13" x14ac:dyDescent="0.35">
      <c r="A716">
        <v>715</v>
      </c>
      <c r="B716">
        <v>583006079</v>
      </c>
      <c r="C716">
        <v>37180</v>
      </c>
      <c r="D716" t="s">
        <v>147</v>
      </c>
      <c r="E716" t="s">
        <v>347</v>
      </c>
      <c r="F716" t="s">
        <v>148</v>
      </c>
      <c r="G716" t="s">
        <v>149</v>
      </c>
      <c r="H716" t="s">
        <v>17</v>
      </c>
      <c r="I716" t="s">
        <v>18</v>
      </c>
      <c r="J716" t="s">
        <v>19</v>
      </c>
      <c r="K716">
        <v>72</v>
      </c>
      <c r="L716">
        <v>0</v>
      </c>
      <c r="M716" t="s">
        <v>20</v>
      </c>
    </row>
    <row r="717" spans="1:13" x14ac:dyDescent="0.35">
      <c r="A717">
        <v>716</v>
      </c>
      <c r="B717">
        <v>583006045</v>
      </c>
      <c r="C717">
        <v>37139</v>
      </c>
      <c r="D717" t="s">
        <v>231</v>
      </c>
      <c r="E717" t="s">
        <v>347</v>
      </c>
      <c r="F717" t="s">
        <v>232</v>
      </c>
      <c r="G717" t="s">
        <v>233</v>
      </c>
      <c r="H717" t="s">
        <v>17</v>
      </c>
      <c r="I717" t="s">
        <v>18</v>
      </c>
      <c r="J717" t="s">
        <v>19</v>
      </c>
      <c r="K717">
        <v>72</v>
      </c>
      <c r="L717">
        <v>0</v>
      </c>
      <c r="M717" t="s">
        <v>20</v>
      </c>
    </row>
    <row r="718" spans="1:13" x14ac:dyDescent="0.35">
      <c r="A718">
        <v>717</v>
      </c>
      <c r="B718">
        <v>583006045</v>
      </c>
      <c r="C718">
        <v>37139</v>
      </c>
      <c r="D718" t="s">
        <v>231</v>
      </c>
      <c r="E718" t="s">
        <v>347</v>
      </c>
      <c r="F718" t="s">
        <v>232</v>
      </c>
      <c r="G718" t="s">
        <v>233</v>
      </c>
      <c r="H718" t="s">
        <v>17</v>
      </c>
      <c r="I718" t="s">
        <v>18</v>
      </c>
      <c r="J718" t="s">
        <v>19</v>
      </c>
      <c r="K718">
        <v>336</v>
      </c>
      <c r="L718">
        <v>0</v>
      </c>
      <c r="M718" t="s">
        <v>20</v>
      </c>
    </row>
    <row r="719" spans="1:13" x14ac:dyDescent="0.35">
      <c r="A719">
        <v>718</v>
      </c>
      <c r="B719">
        <v>583006070</v>
      </c>
      <c r="C719">
        <v>37171</v>
      </c>
      <c r="D719" t="s">
        <v>110</v>
      </c>
      <c r="E719" t="s">
        <v>347</v>
      </c>
      <c r="F719" t="s">
        <v>111</v>
      </c>
      <c r="G719" t="s">
        <v>112</v>
      </c>
      <c r="H719" t="s">
        <v>17</v>
      </c>
      <c r="I719" t="s">
        <v>18</v>
      </c>
      <c r="J719" t="s">
        <v>19</v>
      </c>
      <c r="K719">
        <v>12</v>
      </c>
      <c r="L719">
        <v>0</v>
      </c>
      <c r="M719" t="s">
        <v>20</v>
      </c>
    </row>
    <row r="720" spans="1:13" x14ac:dyDescent="0.35">
      <c r="A720">
        <v>719</v>
      </c>
      <c r="B720">
        <v>583006088</v>
      </c>
      <c r="C720">
        <v>37191</v>
      </c>
      <c r="D720" t="s">
        <v>98</v>
      </c>
      <c r="E720" t="s">
        <v>347</v>
      </c>
      <c r="F720" t="s">
        <v>99</v>
      </c>
      <c r="G720" t="s">
        <v>100</v>
      </c>
      <c r="H720" t="s">
        <v>17</v>
      </c>
      <c r="I720" t="s">
        <v>18</v>
      </c>
      <c r="J720" t="s">
        <v>19</v>
      </c>
      <c r="K720">
        <v>54</v>
      </c>
      <c r="L720">
        <v>0</v>
      </c>
      <c r="M720" t="s">
        <v>20</v>
      </c>
    </row>
    <row r="721" spans="1:13" x14ac:dyDescent="0.35">
      <c r="A721">
        <v>720</v>
      </c>
      <c r="B721">
        <v>583006101</v>
      </c>
      <c r="C721">
        <v>37206</v>
      </c>
      <c r="D721" t="s">
        <v>199</v>
      </c>
      <c r="E721" t="s">
        <v>347</v>
      </c>
      <c r="F721" t="s">
        <v>201</v>
      </c>
      <c r="G721" t="s">
        <v>202</v>
      </c>
      <c r="H721" t="s">
        <v>17</v>
      </c>
      <c r="I721" t="s">
        <v>24</v>
      </c>
      <c r="J721" t="s">
        <v>25</v>
      </c>
      <c r="K721">
        <v>20</v>
      </c>
      <c r="L721">
        <v>0</v>
      </c>
      <c r="M721" t="s">
        <v>20</v>
      </c>
    </row>
    <row r="722" spans="1:13" x14ac:dyDescent="0.35">
      <c r="A722">
        <v>721</v>
      </c>
      <c r="B722">
        <v>583006098</v>
      </c>
      <c r="C722">
        <v>37203</v>
      </c>
      <c r="D722" t="s">
        <v>348</v>
      </c>
      <c r="E722" t="s">
        <v>347</v>
      </c>
      <c r="F722" t="s">
        <v>349</v>
      </c>
      <c r="G722" t="s">
        <v>350</v>
      </c>
      <c r="H722" t="s">
        <v>17</v>
      </c>
      <c r="I722" t="s">
        <v>24</v>
      </c>
      <c r="J722" t="s">
        <v>25</v>
      </c>
      <c r="K722">
        <v>13</v>
      </c>
      <c r="L722">
        <v>0</v>
      </c>
      <c r="M722" t="s">
        <v>20</v>
      </c>
    </row>
    <row r="723" spans="1:13" x14ac:dyDescent="0.35">
      <c r="A723">
        <v>722</v>
      </c>
      <c r="B723">
        <v>583006104</v>
      </c>
      <c r="C723">
        <v>37209</v>
      </c>
      <c r="D723" t="s">
        <v>125</v>
      </c>
      <c r="E723" t="s">
        <v>347</v>
      </c>
      <c r="F723" t="s">
        <v>127</v>
      </c>
      <c r="G723" t="s">
        <v>128</v>
      </c>
      <c r="H723" t="s">
        <v>17</v>
      </c>
      <c r="I723" t="s">
        <v>18</v>
      </c>
      <c r="J723" t="s">
        <v>19</v>
      </c>
      <c r="K723">
        <v>633</v>
      </c>
      <c r="L723">
        <v>0</v>
      </c>
      <c r="M723" t="s">
        <v>20</v>
      </c>
    </row>
    <row r="724" spans="1:13" x14ac:dyDescent="0.35">
      <c r="A724">
        <v>723</v>
      </c>
      <c r="B724">
        <v>583006104</v>
      </c>
      <c r="C724">
        <v>37209</v>
      </c>
      <c r="D724" t="s">
        <v>125</v>
      </c>
      <c r="E724" t="s">
        <v>347</v>
      </c>
      <c r="F724" t="s">
        <v>127</v>
      </c>
      <c r="G724" t="s">
        <v>128</v>
      </c>
      <c r="H724" t="s">
        <v>17</v>
      </c>
      <c r="I724" t="s">
        <v>18</v>
      </c>
      <c r="J724" t="s">
        <v>19</v>
      </c>
      <c r="K724">
        <v>918</v>
      </c>
      <c r="L724">
        <v>0</v>
      </c>
      <c r="M724" t="s">
        <v>20</v>
      </c>
    </row>
    <row r="725" spans="1:13" x14ac:dyDescent="0.35">
      <c r="A725">
        <v>724</v>
      </c>
      <c r="B725">
        <v>583006104</v>
      </c>
      <c r="C725">
        <v>37209</v>
      </c>
      <c r="D725" t="s">
        <v>125</v>
      </c>
      <c r="E725" t="s">
        <v>347</v>
      </c>
      <c r="F725" t="s">
        <v>127</v>
      </c>
      <c r="G725" t="s">
        <v>128</v>
      </c>
      <c r="H725" t="s">
        <v>17</v>
      </c>
      <c r="I725" t="s">
        <v>18</v>
      </c>
      <c r="J725" t="s">
        <v>19</v>
      </c>
      <c r="K725">
        <v>2451</v>
      </c>
      <c r="L725">
        <v>0</v>
      </c>
      <c r="M725" t="s">
        <v>20</v>
      </c>
    </row>
    <row r="726" spans="1:13" x14ac:dyDescent="0.35">
      <c r="A726">
        <v>725</v>
      </c>
      <c r="B726">
        <v>583006047</v>
      </c>
      <c r="C726">
        <v>37143</v>
      </c>
      <c r="D726" t="s">
        <v>82</v>
      </c>
      <c r="E726" t="s">
        <v>347</v>
      </c>
      <c r="F726" t="s">
        <v>83</v>
      </c>
      <c r="G726" t="s">
        <v>84</v>
      </c>
      <c r="H726" t="s">
        <v>17</v>
      </c>
      <c r="I726" t="s">
        <v>91</v>
      </c>
      <c r="J726" t="s">
        <v>25</v>
      </c>
      <c r="K726">
        <v>780</v>
      </c>
      <c r="L726">
        <v>0</v>
      </c>
      <c r="M726" t="s">
        <v>20</v>
      </c>
    </row>
    <row r="727" spans="1:13" x14ac:dyDescent="0.35">
      <c r="A727">
        <v>726</v>
      </c>
      <c r="B727">
        <v>583006047</v>
      </c>
      <c r="C727">
        <v>37143</v>
      </c>
      <c r="D727" t="s">
        <v>82</v>
      </c>
      <c r="E727" t="s">
        <v>347</v>
      </c>
      <c r="F727" t="s">
        <v>83</v>
      </c>
      <c r="G727" t="s">
        <v>84</v>
      </c>
      <c r="H727" t="s">
        <v>17</v>
      </c>
      <c r="I727" t="s">
        <v>63</v>
      </c>
      <c r="J727" t="s">
        <v>64</v>
      </c>
      <c r="K727">
        <v>616</v>
      </c>
      <c r="L727">
        <v>1090.32</v>
      </c>
      <c r="M727" t="s">
        <v>20</v>
      </c>
    </row>
    <row r="728" spans="1:13" x14ac:dyDescent="0.35">
      <c r="A728">
        <v>727</v>
      </c>
      <c r="B728">
        <v>583006105</v>
      </c>
      <c r="C728">
        <v>37211</v>
      </c>
      <c r="D728" t="s">
        <v>223</v>
      </c>
      <c r="E728" t="s">
        <v>347</v>
      </c>
      <c r="F728" t="s">
        <v>224</v>
      </c>
      <c r="G728" t="s">
        <v>225</v>
      </c>
      <c r="H728" t="s">
        <v>17</v>
      </c>
      <c r="I728" t="s">
        <v>18</v>
      </c>
      <c r="J728" t="s">
        <v>19</v>
      </c>
      <c r="K728">
        <v>324</v>
      </c>
      <c r="L728">
        <v>0</v>
      </c>
      <c r="M728" t="s">
        <v>20</v>
      </c>
    </row>
    <row r="729" spans="1:13" x14ac:dyDescent="0.35">
      <c r="A729">
        <v>728</v>
      </c>
      <c r="B729">
        <v>583006105</v>
      </c>
      <c r="C729">
        <v>37211</v>
      </c>
      <c r="D729" t="s">
        <v>223</v>
      </c>
      <c r="E729" t="s">
        <v>347</v>
      </c>
      <c r="F729" t="s">
        <v>224</v>
      </c>
      <c r="G729" t="s">
        <v>225</v>
      </c>
      <c r="H729" t="s">
        <v>17</v>
      </c>
      <c r="I729" t="s">
        <v>18</v>
      </c>
      <c r="J729" t="s">
        <v>19</v>
      </c>
      <c r="K729">
        <v>222</v>
      </c>
      <c r="L729">
        <v>0</v>
      </c>
      <c r="M729" t="s">
        <v>20</v>
      </c>
    </row>
    <row r="730" spans="1:13" x14ac:dyDescent="0.35">
      <c r="A730">
        <v>729</v>
      </c>
      <c r="B730">
        <v>583006050</v>
      </c>
      <c r="C730">
        <v>37147</v>
      </c>
      <c r="D730" t="s">
        <v>351</v>
      </c>
      <c r="E730" t="s">
        <v>347</v>
      </c>
      <c r="F730" t="s">
        <v>352</v>
      </c>
      <c r="G730" t="s">
        <v>353</v>
      </c>
      <c r="H730" t="s">
        <v>17</v>
      </c>
      <c r="I730" t="s">
        <v>135</v>
      </c>
      <c r="J730" t="s">
        <v>19</v>
      </c>
      <c r="K730">
        <v>738.9</v>
      </c>
      <c r="L730">
        <v>0</v>
      </c>
      <c r="M730" t="s">
        <v>20</v>
      </c>
    </row>
    <row r="731" spans="1:13" x14ac:dyDescent="0.35">
      <c r="A731">
        <v>730</v>
      </c>
      <c r="B731">
        <v>583006084</v>
      </c>
      <c r="C731">
        <v>37186</v>
      </c>
      <c r="D731" t="s">
        <v>203</v>
      </c>
      <c r="E731" t="s">
        <v>347</v>
      </c>
      <c r="F731" t="s">
        <v>204</v>
      </c>
      <c r="G731" t="s">
        <v>205</v>
      </c>
      <c r="H731" t="s">
        <v>17</v>
      </c>
      <c r="I731" t="s">
        <v>18</v>
      </c>
      <c r="J731" t="s">
        <v>19</v>
      </c>
      <c r="K731">
        <v>189</v>
      </c>
      <c r="L731">
        <v>0</v>
      </c>
      <c r="M731" t="s">
        <v>20</v>
      </c>
    </row>
    <row r="732" spans="1:13" x14ac:dyDescent="0.35">
      <c r="A732">
        <v>731</v>
      </c>
      <c r="B732">
        <v>583006048</v>
      </c>
      <c r="C732">
        <v>37145</v>
      </c>
      <c r="D732" t="s">
        <v>116</v>
      </c>
      <c r="E732" t="s">
        <v>347</v>
      </c>
      <c r="F732" t="s">
        <v>117</v>
      </c>
      <c r="G732" t="s">
        <v>118</v>
      </c>
      <c r="H732" t="s">
        <v>17</v>
      </c>
      <c r="I732" t="s">
        <v>18</v>
      </c>
      <c r="J732" t="s">
        <v>19</v>
      </c>
      <c r="K732">
        <v>4104</v>
      </c>
      <c r="L732">
        <v>0</v>
      </c>
      <c r="M732" t="s">
        <v>20</v>
      </c>
    </row>
    <row r="733" spans="1:13" x14ac:dyDescent="0.35">
      <c r="A733">
        <v>732</v>
      </c>
      <c r="B733">
        <v>583006097</v>
      </c>
      <c r="C733">
        <v>37201</v>
      </c>
      <c r="D733" t="s">
        <v>184</v>
      </c>
      <c r="E733" t="s">
        <v>347</v>
      </c>
      <c r="F733" t="s">
        <v>185</v>
      </c>
      <c r="G733" t="s">
        <v>186</v>
      </c>
      <c r="H733" t="s">
        <v>17</v>
      </c>
      <c r="I733" t="s">
        <v>18</v>
      </c>
      <c r="J733" t="s">
        <v>19</v>
      </c>
      <c r="K733">
        <v>411</v>
      </c>
      <c r="L733">
        <v>0</v>
      </c>
      <c r="M733" t="s">
        <v>20</v>
      </c>
    </row>
    <row r="734" spans="1:13" x14ac:dyDescent="0.35">
      <c r="A734">
        <v>733</v>
      </c>
      <c r="B734">
        <v>583006053</v>
      </c>
      <c r="C734">
        <v>37150</v>
      </c>
      <c r="D734" t="s">
        <v>116</v>
      </c>
      <c r="E734" t="s">
        <v>347</v>
      </c>
      <c r="F734" t="s">
        <v>117</v>
      </c>
      <c r="G734" t="s">
        <v>118</v>
      </c>
      <c r="H734" t="s">
        <v>17</v>
      </c>
      <c r="I734" t="s">
        <v>18</v>
      </c>
      <c r="J734" t="s">
        <v>19</v>
      </c>
      <c r="K734">
        <v>1812</v>
      </c>
      <c r="L734">
        <v>0</v>
      </c>
      <c r="M734" t="s">
        <v>20</v>
      </c>
    </row>
    <row r="735" spans="1:13" x14ac:dyDescent="0.35">
      <c r="A735">
        <v>734</v>
      </c>
      <c r="B735">
        <v>583006097</v>
      </c>
      <c r="C735">
        <v>37201</v>
      </c>
      <c r="D735" t="s">
        <v>184</v>
      </c>
      <c r="E735" t="s">
        <v>347</v>
      </c>
      <c r="F735" t="s">
        <v>185</v>
      </c>
      <c r="G735" t="s">
        <v>186</v>
      </c>
      <c r="H735" t="s">
        <v>17</v>
      </c>
      <c r="I735" t="s">
        <v>18</v>
      </c>
      <c r="J735" t="s">
        <v>19</v>
      </c>
      <c r="K735">
        <v>2802</v>
      </c>
      <c r="L735">
        <v>0</v>
      </c>
      <c r="M735" t="s">
        <v>20</v>
      </c>
    </row>
    <row r="736" spans="1:13" x14ac:dyDescent="0.35">
      <c r="A736">
        <v>735</v>
      </c>
      <c r="B736">
        <v>583006097</v>
      </c>
      <c r="C736">
        <v>37201</v>
      </c>
      <c r="D736" t="s">
        <v>184</v>
      </c>
      <c r="E736" t="s">
        <v>347</v>
      </c>
      <c r="F736" t="s">
        <v>185</v>
      </c>
      <c r="G736" t="s">
        <v>186</v>
      </c>
      <c r="H736" t="s">
        <v>17</v>
      </c>
      <c r="I736" t="s">
        <v>18</v>
      </c>
      <c r="J736" t="s">
        <v>19</v>
      </c>
      <c r="K736">
        <v>780</v>
      </c>
      <c r="L736">
        <v>0</v>
      </c>
      <c r="M736" t="s">
        <v>20</v>
      </c>
    </row>
    <row r="737" spans="1:13" x14ac:dyDescent="0.35">
      <c r="A737">
        <v>736</v>
      </c>
      <c r="B737">
        <v>583006058</v>
      </c>
      <c r="C737">
        <v>37156</v>
      </c>
      <c r="D737" t="s">
        <v>267</v>
      </c>
      <c r="E737" t="s">
        <v>347</v>
      </c>
      <c r="F737" t="s">
        <v>268</v>
      </c>
      <c r="G737" t="s">
        <v>269</v>
      </c>
      <c r="H737" t="s">
        <v>17</v>
      </c>
      <c r="I737" t="s">
        <v>18</v>
      </c>
      <c r="J737" t="s">
        <v>19</v>
      </c>
      <c r="K737">
        <v>1416</v>
      </c>
      <c r="L737">
        <v>0</v>
      </c>
      <c r="M737" t="s">
        <v>20</v>
      </c>
    </row>
    <row r="738" spans="1:13" x14ac:dyDescent="0.35">
      <c r="A738">
        <v>737</v>
      </c>
      <c r="B738">
        <v>583006058</v>
      </c>
      <c r="C738">
        <v>37156</v>
      </c>
      <c r="D738" t="s">
        <v>267</v>
      </c>
      <c r="E738" t="s">
        <v>347</v>
      </c>
      <c r="F738" t="s">
        <v>268</v>
      </c>
      <c r="G738" t="s">
        <v>269</v>
      </c>
      <c r="H738" t="s">
        <v>17</v>
      </c>
      <c r="I738" t="s">
        <v>18</v>
      </c>
      <c r="J738" t="s">
        <v>19</v>
      </c>
      <c r="K738">
        <v>324</v>
      </c>
      <c r="L738">
        <v>0</v>
      </c>
      <c r="M738" t="s">
        <v>20</v>
      </c>
    </row>
    <row r="739" spans="1:13" x14ac:dyDescent="0.35">
      <c r="A739">
        <v>738</v>
      </c>
      <c r="B739">
        <v>583006043</v>
      </c>
      <c r="C739">
        <v>37132</v>
      </c>
      <c r="D739" t="s">
        <v>267</v>
      </c>
      <c r="E739" t="s">
        <v>347</v>
      </c>
      <c r="F739" t="s">
        <v>268</v>
      </c>
      <c r="G739" t="s">
        <v>269</v>
      </c>
      <c r="H739" t="s">
        <v>17</v>
      </c>
      <c r="I739" t="s">
        <v>18</v>
      </c>
      <c r="J739" t="s">
        <v>19</v>
      </c>
      <c r="K739">
        <v>612</v>
      </c>
      <c r="L739">
        <v>0</v>
      </c>
      <c r="M739" t="s">
        <v>20</v>
      </c>
    </row>
    <row r="740" spans="1:13" x14ac:dyDescent="0.35">
      <c r="A740">
        <v>739</v>
      </c>
      <c r="B740">
        <v>583006043</v>
      </c>
      <c r="C740">
        <v>37132</v>
      </c>
      <c r="D740" t="s">
        <v>267</v>
      </c>
      <c r="E740" t="s">
        <v>347</v>
      </c>
      <c r="F740" t="s">
        <v>268</v>
      </c>
      <c r="G740" t="s">
        <v>269</v>
      </c>
      <c r="H740" t="s">
        <v>17</v>
      </c>
      <c r="I740" t="s">
        <v>18</v>
      </c>
      <c r="J740" t="s">
        <v>19</v>
      </c>
      <c r="K740">
        <v>1260</v>
      </c>
      <c r="L740">
        <v>0</v>
      </c>
      <c r="M740" t="s">
        <v>20</v>
      </c>
    </row>
    <row r="741" spans="1:13" x14ac:dyDescent="0.35">
      <c r="A741">
        <v>740</v>
      </c>
      <c r="B741">
        <v>583006103</v>
      </c>
      <c r="C741">
        <v>37208</v>
      </c>
      <c r="D741" t="s">
        <v>116</v>
      </c>
      <c r="E741" t="s">
        <v>347</v>
      </c>
      <c r="F741" t="s">
        <v>117</v>
      </c>
      <c r="G741" t="s">
        <v>118</v>
      </c>
      <c r="H741" t="s">
        <v>17</v>
      </c>
      <c r="I741" t="s">
        <v>18</v>
      </c>
      <c r="J741" t="s">
        <v>19</v>
      </c>
      <c r="K741">
        <v>4008</v>
      </c>
      <c r="L741">
        <v>0</v>
      </c>
      <c r="M741" t="s">
        <v>20</v>
      </c>
    </row>
    <row r="742" spans="1:13" x14ac:dyDescent="0.35">
      <c r="A742">
        <v>741</v>
      </c>
      <c r="B742">
        <v>583006086</v>
      </c>
      <c r="C742">
        <v>37189</v>
      </c>
      <c r="D742" t="s">
        <v>223</v>
      </c>
      <c r="E742" t="s">
        <v>347</v>
      </c>
      <c r="F742" t="s">
        <v>224</v>
      </c>
      <c r="G742" t="s">
        <v>225</v>
      </c>
      <c r="H742" t="s">
        <v>17</v>
      </c>
      <c r="I742" t="s">
        <v>18</v>
      </c>
      <c r="J742" t="s">
        <v>19</v>
      </c>
      <c r="K742">
        <v>162</v>
      </c>
      <c r="L742">
        <v>0</v>
      </c>
      <c r="M742" t="s">
        <v>20</v>
      </c>
    </row>
    <row r="743" spans="1:13" x14ac:dyDescent="0.35">
      <c r="A743">
        <v>742</v>
      </c>
      <c r="B743">
        <v>583006086</v>
      </c>
      <c r="C743">
        <v>37189</v>
      </c>
      <c r="D743" t="s">
        <v>223</v>
      </c>
      <c r="E743" t="s">
        <v>347</v>
      </c>
      <c r="F743" t="s">
        <v>224</v>
      </c>
      <c r="G743" t="s">
        <v>225</v>
      </c>
      <c r="H743" t="s">
        <v>17</v>
      </c>
      <c r="I743" t="s">
        <v>18</v>
      </c>
      <c r="J743" t="s">
        <v>19</v>
      </c>
      <c r="K743">
        <v>129</v>
      </c>
      <c r="L743">
        <v>0</v>
      </c>
      <c r="M743" t="s">
        <v>20</v>
      </c>
    </row>
    <row r="744" spans="1:13" x14ac:dyDescent="0.35">
      <c r="A744">
        <v>743</v>
      </c>
      <c r="B744">
        <v>583006055</v>
      </c>
      <c r="C744">
        <v>37153</v>
      </c>
      <c r="D744" t="s">
        <v>354</v>
      </c>
      <c r="E744" t="s">
        <v>347</v>
      </c>
      <c r="F744" t="s">
        <v>355</v>
      </c>
      <c r="G744" t="s">
        <v>356</v>
      </c>
      <c r="H744" t="s">
        <v>17</v>
      </c>
      <c r="I744" t="s">
        <v>135</v>
      </c>
      <c r="J744" t="s">
        <v>19</v>
      </c>
      <c r="K744">
        <v>675</v>
      </c>
      <c r="L744">
        <v>0</v>
      </c>
      <c r="M744" t="s">
        <v>20</v>
      </c>
    </row>
    <row r="745" spans="1:13" x14ac:dyDescent="0.35">
      <c r="A745">
        <v>744</v>
      </c>
      <c r="B745">
        <v>583006066</v>
      </c>
      <c r="C745">
        <v>37167</v>
      </c>
      <c r="D745" t="s">
        <v>107</v>
      </c>
      <c r="E745" t="s">
        <v>347</v>
      </c>
      <c r="F745" t="s">
        <v>108</v>
      </c>
      <c r="G745" t="s">
        <v>109</v>
      </c>
      <c r="H745" t="s">
        <v>17</v>
      </c>
      <c r="I745" t="s">
        <v>63</v>
      </c>
      <c r="J745" t="s">
        <v>64</v>
      </c>
      <c r="K745">
        <v>48</v>
      </c>
      <c r="L745">
        <v>79.2</v>
      </c>
      <c r="M745" t="s">
        <v>20</v>
      </c>
    </row>
    <row r="746" spans="1:13" x14ac:dyDescent="0.35">
      <c r="A746">
        <v>745</v>
      </c>
      <c r="B746">
        <v>583006049</v>
      </c>
      <c r="C746">
        <v>37146</v>
      </c>
      <c r="D746" t="s">
        <v>351</v>
      </c>
      <c r="E746" t="s">
        <v>347</v>
      </c>
      <c r="F746" t="s">
        <v>352</v>
      </c>
      <c r="G746" t="s">
        <v>353</v>
      </c>
      <c r="H746" t="s">
        <v>17</v>
      </c>
      <c r="I746" t="s">
        <v>90</v>
      </c>
      <c r="J746" t="s">
        <v>74</v>
      </c>
      <c r="K746">
        <v>34</v>
      </c>
      <c r="L746">
        <v>0</v>
      </c>
      <c r="M746" t="s">
        <v>20</v>
      </c>
    </row>
    <row r="747" spans="1:13" x14ac:dyDescent="0.35">
      <c r="A747">
        <v>746</v>
      </c>
      <c r="B747">
        <v>583006084</v>
      </c>
      <c r="C747">
        <v>37186</v>
      </c>
      <c r="D747" t="s">
        <v>203</v>
      </c>
      <c r="E747" t="s">
        <v>347</v>
      </c>
      <c r="F747" t="s">
        <v>204</v>
      </c>
      <c r="G747" t="s">
        <v>205</v>
      </c>
      <c r="H747" t="s">
        <v>17</v>
      </c>
      <c r="I747" t="s">
        <v>18</v>
      </c>
      <c r="J747" t="s">
        <v>19</v>
      </c>
      <c r="K747">
        <v>339</v>
      </c>
      <c r="L747">
        <v>0</v>
      </c>
      <c r="M747" t="s">
        <v>20</v>
      </c>
    </row>
    <row r="748" spans="1:13" x14ac:dyDescent="0.35">
      <c r="A748">
        <v>747</v>
      </c>
      <c r="B748">
        <v>583006064</v>
      </c>
      <c r="C748">
        <v>37164</v>
      </c>
      <c r="D748" t="s">
        <v>231</v>
      </c>
      <c r="E748" t="s">
        <v>347</v>
      </c>
      <c r="F748" t="s">
        <v>232</v>
      </c>
      <c r="G748" t="s">
        <v>233</v>
      </c>
      <c r="H748" t="s">
        <v>17</v>
      </c>
      <c r="I748" t="s">
        <v>63</v>
      </c>
      <c r="J748" t="s">
        <v>64</v>
      </c>
      <c r="K748">
        <v>24</v>
      </c>
      <c r="L748">
        <v>42.48</v>
      </c>
      <c r="M748" t="s">
        <v>20</v>
      </c>
    </row>
    <row r="749" spans="1:13" x14ac:dyDescent="0.35">
      <c r="A749">
        <v>748</v>
      </c>
      <c r="B749">
        <v>583006072</v>
      </c>
      <c r="C749">
        <v>37173</v>
      </c>
      <c r="D749" t="s">
        <v>289</v>
      </c>
      <c r="E749" t="s">
        <v>347</v>
      </c>
      <c r="F749" t="s">
        <v>290</v>
      </c>
      <c r="G749" t="s">
        <v>291</v>
      </c>
      <c r="H749" t="s">
        <v>17</v>
      </c>
      <c r="I749" t="s">
        <v>35</v>
      </c>
      <c r="J749" t="s">
        <v>59</v>
      </c>
      <c r="K749">
        <v>10</v>
      </c>
      <c r="L749">
        <v>0</v>
      </c>
      <c r="M749" t="s">
        <v>20</v>
      </c>
    </row>
    <row r="750" spans="1:13" x14ac:dyDescent="0.35">
      <c r="A750">
        <v>749</v>
      </c>
      <c r="B750">
        <v>583006060</v>
      </c>
      <c r="C750">
        <v>37158</v>
      </c>
      <c r="D750" t="s">
        <v>357</v>
      </c>
      <c r="E750" t="s">
        <v>347</v>
      </c>
      <c r="F750" t="s">
        <v>358</v>
      </c>
      <c r="G750" t="s">
        <v>359</v>
      </c>
      <c r="H750" t="s">
        <v>17</v>
      </c>
      <c r="I750" t="s">
        <v>63</v>
      </c>
      <c r="J750" t="s">
        <v>64</v>
      </c>
      <c r="K750">
        <v>17</v>
      </c>
      <c r="L750">
        <v>30.09</v>
      </c>
      <c r="M750" t="s">
        <v>20</v>
      </c>
    </row>
    <row r="751" spans="1:13" x14ac:dyDescent="0.35">
      <c r="A751">
        <v>750</v>
      </c>
      <c r="B751">
        <v>583006071</v>
      </c>
      <c r="C751">
        <v>37172</v>
      </c>
      <c r="D751" t="s">
        <v>147</v>
      </c>
      <c r="E751" t="s">
        <v>347</v>
      </c>
      <c r="F751" t="s">
        <v>148</v>
      </c>
      <c r="G751" t="s">
        <v>149</v>
      </c>
      <c r="H751" t="s">
        <v>17</v>
      </c>
      <c r="I751" t="s">
        <v>18</v>
      </c>
      <c r="J751" t="s">
        <v>19</v>
      </c>
      <c r="K751">
        <v>36</v>
      </c>
      <c r="L751">
        <v>0</v>
      </c>
      <c r="M751" t="s">
        <v>20</v>
      </c>
    </row>
    <row r="752" spans="1:13" x14ac:dyDescent="0.35">
      <c r="A752">
        <v>751</v>
      </c>
      <c r="B752">
        <v>583006087</v>
      </c>
      <c r="C752">
        <v>37190</v>
      </c>
      <c r="D752" t="s">
        <v>247</v>
      </c>
      <c r="E752" t="s">
        <v>347</v>
      </c>
      <c r="F752" t="s">
        <v>248</v>
      </c>
      <c r="G752" t="s">
        <v>249</v>
      </c>
      <c r="H752" t="s">
        <v>17</v>
      </c>
      <c r="I752" t="s">
        <v>135</v>
      </c>
      <c r="J752" t="s">
        <v>19</v>
      </c>
      <c r="K752">
        <v>75</v>
      </c>
      <c r="L752">
        <v>0</v>
      </c>
      <c r="M752" t="s">
        <v>20</v>
      </c>
    </row>
    <row r="753" spans="1:13" x14ac:dyDescent="0.35">
      <c r="A753">
        <v>752</v>
      </c>
      <c r="B753">
        <v>583006083</v>
      </c>
      <c r="C753">
        <v>37185</v>
      </c>
      <c r="D753" t="s">
        <v>75</v>
      </c>
      <c r="E753" t="s">
        <v>347</v>
      </c>
      <c r="F753" t="s">
        <v>76</v>
      </c>
      <c r="G753" t="s">
        <v>77</v>
      </c>
      <c r="H753" t="s">
        <v>17</v>
      </c>
      <c r="I753" t="s">
        <v>18</v>
      </c>
      <c r="J753" t="s">
        <v>19</v>
      </c>
      <c r="K753">
        <v>135</v>
      </c>
      <c r="L753">
        <v>0</v>
      </c>
      <c r="M753" t="s">
        <v>20</v>
      </c>
    </row>
    <row r="754" spans="1:13" x14ac:dyDescent="0.35">
      <c r="A754">
        <v>753</v>
      </c>
      <c r="B754">
        <v>583006073</v>
      </c>
      <c r="C754">
        <v>37174</v>
      </c>
      <c r="D754" t="s">
        <v>147</v>
      </c>
      <c r="E754" t="s">
        <v>347</v>
      </c>
      <c r="F754" t="s">
        <v>148</v>
      </c>
      <c r="G754" t="s">
        <v>149</v>
      </c>
      <c r="H754" t="s">
        <v>17</v>
      </c>
      <c r="I754" t="s">
        <v>18</v>
      </c>
      <c r="J754" t="s">
        <v>19</v>
      </c>
      <c r="K754">
        <v>48</v>
      </c>
      <c r="L754">
        <v>0</v>
      </c>
      <c r="M754" t="s">
        <v>20</v>
      </c>
    </row>
    <row r="755" spans="1:13" x14ac:dyDescent="0.35">
      <c r="A755">
        <v>754</v>
      </c>
      <c r="B755">
        <v>583006102</v>
      </c>
      <c r="C755">
        <v>37207</v>
      </c>
      <c r="D755" t="s">
        <v>116</v>
      </c>
      <c r="E755" t="s">
        <v>347</v>
      </c>
      <c r="F755" t="s">
        <v>117</v>
      </c>
      <c r="G755" t="s">
        <v>118</v>
      </c>
      <c r="H755" t="s">
        <v>17</v>
      </c>
      <c r="I755" t="s">
        <v>24</v>
      </c>
      <c r="J755" t="s">
        <v>25</v>
      </c>
      <c r="K755">
        <v>9</v>
      </c>
      <c r="L755">
        <v>0</v>
      </c>
      <c r="M755" t="s">
        <v>20</v>
      </c>
    </row>
    <row r="756" spans="1:13" x14ac:dyDescent="0.35">
      <c r="A756">
        <v>755</v>
      </c>
      <c r="B756">
        <v>583006102</v>
      </c>
      <c r="C756">
        <v>37207</v>
      </c>
      <c r="D756" t="s">
        <v>116</v>
      </c>
      <c r="E756" t="s">
        <v>347</v>
      </c>
      <c r="F756" t="s">
        <v>117</v>
      </c>
      <c r="G756" t="s">
        <v>118</v>
      </c>
      <c r="H756" t="s">
        <v>17</v>
      </c>
      <c r="I756" t="s">
        <v>24</v>
      </c>
      <c r="J756" t="s">
        <v>74</v>
      </c>
      <c r="K756">
        <v>2</v>
      </c>
      <c r="L756">
        <v>0</v>
      </c>
      <c r="M756" t="s">
        <v>20</v>
      </c>
    </row>
    <row r="757" spans="1:13" x14ac:dyDescent="0.35">
      <c r="A757">
        <v>756</v>
      </c>
      <c r="B757">
        <v>583006077</v>
      </c>
      <c r="C757">
        <v>37178</v>
      </c>
      <c r="D757" t="s">
        <v>289</v>
      </c>
      <c r="E757" t="s">
        <v>347</v>
      </c>
      <c r="F757" t="s">
        <v>290</v>
      </c>
      <c r="G757" t="s">
        <v>291</v>
      </c>
      <c r="H757" t="s">
        <v>17</v>
      </c>
      <c r="I757" t="s">
        <v>18</v>
      </c>
      <c r="J757" t="s">
        <v>19</v>
      </c>
      <c r="K757">
        <v>1746</v>
      </c>
      <c r="L757">
        <v>0</v>
      </c>
      <c r="M757" t="s">
        <v>20</v>
      </c>
    </row>
    <row r="758" spans="1:13" x14ac:dyDescent="0.35">
      <c r="A758">
        <v>757</v>
      </c>
      <c r="B758">
        <v>583006077</v>
      </c>
      <c r="C758">
        <v>37178</v>
      </c>
      <c r="D758" t="s">
        <v>289</v>
      </c>
      <c r="E758" t="s">
        <v>347</v>
      </c>
      <c r="F758" t="s">
        <v>290</v>
      </c>
      <c r="G758" t="s">
        <v>291</v>
      </c>
      <c r="H758" t="s">
        <v>17</v>
      </c>
      <c r="I758" t="s">
        <v>18</v>
      </c>
      <c r="J758" t="s">
        <v>19</v>
      </c>
      <c r="K758">
        <v>144</v>
      </c>
      <c r="L758">
        <v>0</v>
      </c>
      <c r="M758" t="s">
        <v>20</v>
      </c>
    </row>
    <row r="759" spans="1:13" x14ac:dyDescent="0.35">
      <c r="A759">
        <v>758</v>
      </c>
      <c r="B759">
        <v>583006061</v>
      </c>
      <c r="C759">
        <v>37161</v>
      </c>
      <c r="D759" t="s">
        <v>116</v>
      </c>
      <c r="E759" t="s">
        <v>347</v>
      </c>
      <c r="F759" t="s">
        <v>117</v>
      </c>
      <c r="G759" t="s">
        <v>118</v>
      </c>
      <c r="H759" t="s">
        <v>17</v>
      </c>
      <c r="I759" t="s">
        <v>18</v>
      </c>
      <c r="J759" t="s">
        <v>19</v>
      </c>
      <c r="K759">
        <v>1836</v>
      </c>
      <c r="L759">
        <v>0</v>
      </c>
      <c r="M759" t="s">
        <v>20</v>
      </c>
    </row>
    <row r="760" spans="1:13" x14ac:dyDescent="0.35">
      <c r="A760">
        <v>759</v>
      </c>
      <c r="B760">
        <v>583006077</v>
      </c>
      <c r="C760">
        <v>37178</v>
      </c>
      <c r="D760" t="s">
        <v>289</v>
      </c>
      <c r="E760" t="s">
        <v>347</v>
      </c>
      <c r="F760" t="s">
        <v>290</v>
      </c>
      <c r="G760" t="s">
        <v>291</v>
      </c>
      <c r="H760" t="s">
        <v>17</v>
      </c>
      <c r="I760" t="s">
        <v>18</v>
      </c>
      <c r="J760" t="s">
        <v>19</v>
      </c>
      <c r="K760">
        <v>144</v>
      </c>
      <c r="L760">
        <v>0</v>
      </c>
      <c r="M760" t="s">
        <v>20</v>
      </c>
    </row>
    <row r="761" spans="1:13" x14ac:dyDescent="0.35">
      <c r="A761">
        <v>760</v>
      </c>
      <c r="B761">
        <v>583006100</v>
      </c>
      <c r="C761">
        <v>37205</v>
      </c>
      <c r="D761" t="s">
        <v>199</v>
      </c>
      <c r="E761" t="s">
        <v>347</v>
      </c>
      <c r="F761" t="s">
        <v>201</v>
      </c>
      <c r="G761" t="s">
        <v>202</v>
      </c>
      <c r="H761" t="s">
        <v>17</v>
      </c>
      <c r="I761" t="s">
        <v>18</v>
      </c>
      <c r="J761" t="s">
        <v>19</v>
      </c>
      <c r="K761">
        <v>360</v>
      </c>
      <c r="L761">
        <v>0</v>
      </c>
      <c r="M761" t="s">
        <v>20</v>
      </c>
    </row>
    <row r="762" spans="1:13" x14ac:dyDescent="0.35">
      <c r="A762">
        <v>761</v>
      </c>
      <c r="B762">
        <v>583006089</v>
      </c>
      <c r="C762">
        <v>37192</v>
      </c>
      <c r="D762" t="s">
        <v>289</v>
      </c>
      <c r="E762" t="s">
        <v>347</v>
      </c>
      <c r="F762" t="s">
        <v>290</v>
      </c>
      <c r="G762" t="s">
        <v>291</v>
      </c>
      <c r="H762" t="s">
        <v>17</v>
      </c>
      <c r="I762" t="s">
        <v>135</v>
      </c>
      <c r="J762" t="s">
        <v>19</v>
      </c>
      <c r="K762">
        <v>2101.8000000000002</v>
      </c>
      <c r="L762">
        <v>0</v>
      </c>
      <c r="M762" t="s">
        <v>20</v>
      </c>
    </row>
    <row r="763" spans="1:13" x14ac:dyDescent="0.35">
      <c r="A763">
        <v>762</v>
      </c>
      <c r="B763">
        <v>583006042</v>
      </c>
      <c r="C763">
        <v>37131</v>
      </c>
      <c r="D763" t="s">
        <v>354</v>
      </c>
      <c r="E763" t="s">
        <v>347</v>
      </c>
      <c r="F763" t="s">
        <v>355</v>
      </c>
      <c r="G763" t="s">
        <v>356</v>
      </c>
      <c r="H763" t="s">
        <v>17</v>
      </c>
      <c r="I763" t="s">
        <v>18</v>
      </c>
      <c r="J763" t="s">
        <v>19</v>
      </c>
      <c r="K763">
        <v>144</v>
      </c>
      <c r="L763">
        <v>0</v>
      </c>
      <c r="M763" t="s">
        <v>20</v>
      </c>
    </row>
    <row r="764" spans="1:13" x14ac:dyDescent="0.35">
      <c r="A764">
        <v>763</v>
      </c>
      <c r="B764">
        <v>583006042</v>
      </c>
      <c r="C764">
        <v>37131</v>
      </c>
      <c r="D764" t="s">
        <v>354</v>
      </c>
      <c r="E764" t="s">
        <v>347</v>
      </c>
      <c r="F764" t="s">
        <v>355</v>
      </c>
      <c r="G764" t="s">
        <v>356</v>
      </c>
      <c r="H764" t="s">
        <v>17</v>
      </c>
      <c r="I764" t="s">
        <v>18</v>
      </c>
      <c r="J764" t="s">
        <v>19</v>
      </c>
      <c r="K764">
        <v>1116</v>
      </c>
      <c r="L764">
        <v>0</v>
      </c>
      <c r="M764" t="s">
        <v>20</v>
      </c>
    </row>
    <row r="765" spans="1:13" x14ac:dyDescent="0.35">
      <c r="A765">
        <v>764</v>
      </c>
      <c r="B765">
        <v>583006042</v>
      </c>
      <c r="C765">
        <v>37131</v>
      </c>
      <c r="D765" t="s">
        <v>354</v>
      </c>
      <c r="E765" t="s">
        <v>347</v>
      </c>
      <c r="F765" t="s">
        <v>355</v>
      </c>
      <c r="G765" t="s">
        <v>356</v>
      </c>
      <c r="H765" t="s">
        <v>17</v>
      </c>
      <c r="I765" t="s">
        <v>18</v>
      </c>
      <c r="J765" t="s">
        <v>19</v>
      </c>
      <c r="K765">
        <v>180</v>
      </c>
      <c r="L765">
        <v>0</v>
      </c>
      <c r="M765" t="s">
        <v>20</v>
      </c>
    </row>
    <row r="766" spans="1:13" x14ac:dyDescent="0.35">
      <c r="A766">
        <v>765</v>
      </c>
      <c r="B766">
        <v>583006100</v>
      </c>
      <c r="C766">
        <v>37205</v>
      </c>
      <c r="D766" t="s">
        <v>199</v>
      </c>
      <c r="E766" t="s">
        <v>347</v>
      </c>
      <c r="F766" t="s">
        <v>201</v>
      </c>
      <c r="G766" t="s">
        <v>202</v>
      </c>
      <c r="H766" t="s">
        <v>17</v>
      </c>
      <c r="I766" t="s">
        <v>18</v>
      </c>
      <c r="J766" t="s">
        <v>19</v>
      </c>
      <c r="K766">
        <v>1635</v>
      </c>
      <c r="L766">
        <v>0</v>
      </c>
      <c r="M766" t="s">
        <v>20</v>
      </c>
    </row>
    <row r="767" spans="1:13" x14ac:dyDescent="0.35">
      <c r="A767">
        <v>766</v>
      </c>
      <c r="B767">
        <v>583006100</v>
      </c>
      <c r="C767">
        <v>37205</v>
      </c>
      <c r="D767" t="s">
        <v>199</v>
      </c>
      <c r="E767" t="s">
        <v>347</v>
      </c>
      <c r="F767" t="s">
        <v>201</v>
      </c>
      <c r="G767" t="s">
        <v>202</v>
      </c>
      <c r="H767" t="s">
        <v>17</v>
      </c>
      <c r="I767" t="s">
        <v>18</v>
      </c>
      <c r="J767" t="s">
        <v>19</v>
      </c>
      <c r="K767">
        <v>2211</v>
      </c>
      <c r="L767">
        <v>0</v>
      </c>
      <c r="M767" t="s">
        <v>20</v>
      </c>
    </row>
    <row r="768" spans="1:13" x14ac:dyDescent="0.35">
      <c r="A768">
        <v>767</v>
      </c>
      <c r="B768">
        <v>583006100</v>
      </c>
      <c r="C768">
        <v>37205</v>
      </c>
      <c r="D768" t="s">
        <v>199</v>
      </c>
      <c r="E768" t="s">
        <v>347</v>
      </c>
      <c r="F768" t="s">
        <v>201</v>
      </c>
      <c r="G768" t="s">
        <v>202</v>
      </c>
      <c r="H768" t="s">
        <v>17</v>
      </c>
      <c r="I768" t="s">
        <v>18</v>
      </c>
      <c r="J768" t="s">
        <v>19</v>
      </c>
      <c r="K768">
        <v>198</v>
      </c>
      <c r="L768">
        <v>0</v>
      </c>
      <c r="M768" t="s">
        <v>20</v>
      </c>
    </row>
    <row r="769" spans="1:13" x14ac:dyDescent="0.35">
      <c r="A769">
        <v>768</v>
      </c>
      <c r="B769">
        <v>583006057</v>
      </c>
      <c r="C769">
        <v>37155</v>
      </c>
      <c r="D769" t="s">
        <v>21</v>
      </c>
      <c r="E769" t="s">
        <v>347</v>
      </c>
      <c r="F769" t="s">
        <v>22</v>
      </c>
      <c r="G769" t="s">
        <v>23</v>
      </c>
      <c r="H769" t="s">
        <v>17</v>
      </c>
      <c r="I769" t="s">
        <v>18</v>
      </c>
      <c r="J769" t="s">
        <v>19</v>
      </c>
      <c r="K769">
        <v>3006</v>
      </c>
      <c r="L769">
        <v>0</v>
      </c>
      <c r="M769" t="s">
        <v>20</v>
      </c>
    </row>
    <row r="770" spans="1:13" x14ac:dyDescent="0.35">
      <c r="A770">
        <v>769</v>
      </c>
      <c r="B770">
        <v>583006078</v>
      </c>
      <c r="C770">
        <v>37179</v>
      </c>
      <c r="D770" t="s">
        <v>21</v>
      </c>
      <c r="E770" t="s">
        <v>347</v>
      </c>
      <c r="F770" t="s">
        <v>22</v>
      </c>
      <c r="G770" t="s">
        <v>23</v>
      </c>
      <c r="H770" t="s">
        <v>17</v>
      </c>
      <c r="I770" t="s">
        <v>18</v>
      </c>
      <c r="J770" t="s">
        <v>19</v>
      </c>
      <c r="K770">
        <v>2502</v>
      </c>
      <c r="L770">
        <v>0</v>
      </c>
      <c r="M770" t="s">
        <v>20</v>
      </c>
    </row>
    <row r="771" spans="1:13" x14ac:dyDescent="0.35">
      <c r="A771">
        <v>770</v>
      </c>
      <c r="B771">
        <v>583006078</v>
      </c>
      <c r="C771">
        <v>37179</v>
      </c>
      <c r="D771" t="s">
        <v>21</v>
      </c>
      <c r="E771" t="s">
        <v>347</v>
      </c>
      <c r="F771" t="s">
        <v>22</v>
      </c>
      <c r="G771" t="s">
        <v>23</v>
      </c>
      <c r="H771" t="s">
        <v>17</v>
      </c>
      <c r="I771" t="s">
        <v>18</v>
      </c>
      <c r="J771" t="s">
        <v>19</v>
      </c>
      <c r="K771">
        <v>72</v>
      </c>
      <c r="L771">
        <v>0</v>
      </c>
      <c r="M771" t="s">
        <v>20</v>
      </c>
    </row>
    <row r="772" spans="1:13" x14ac:dyDescent="0.35">
      <c r="A772">
        <v>771</v>
      </c>
      <c r="B772">
        <v>583006057</v>
      </c>
      <c r="C772">
        <v>37155</v>
      </c>
      <c r="D772" t="s">
        <v>21</v>
      </c>
      <c r="E772" t="s">
        <v>347</v>
      </c>
      <c r="F772" t="s">
        <v>22</v>
      </c>
      <c r="G772" t="s">
        <v>23</v>
      </c>
      <c r="H772" t="s">
        <v>17</v>
      </c>
      <c r="I772" t="s">
        <v>18</v>
      </c>
      <c r="J772" t="s">
        <v>19</v>
      </c>
      <c r="K772">
        <v>198</v>
      </c>
      <c r="L772">
        <v>0</v>
      </c>
      <c r="M772" t="s">
        <v>20</v>
      </c>
    </row>
    <row r="773" spans="1:13" x14ac:dyDescent="0.35">
      <c r="A773">
        <v>772</v>
      </c>
      <c r="B773">
        <v>583006105</v>
      </c>
      <c r="C773">
        <v>37211</v>
      </c>
      <c r="D773" t="s">
        <v>223</v>
      </c>
      <c r="E773" t="s">
        <v>347</v>
      </c>
      <c r="F773" t="s">
        <v>224</v>
      </c>
      <c r="G773" t="s">
        <v>225</v>
      </c>
      <c r="H773" t="s">
        <v>17</v>
      </c>
      <c r="I773" t="s">
        <v>18</v>
      </c>
      <c r="J773" t="s">
        <v>19</v>
      </c>
      <c r="K773">
        <v>1167</v>
      </c>
      <c r="L773">
        <v>0</v>
      </c>
      <c r="M773" t="s">
        <v>20</v>
      </c>
    </row>
    <row r="774" spans="1:13" x14ac:dyDescent="0.35">
      <c r="A774">
        <v>773</v>
      </c>
      <c r="B774">
        <v>583006052</v>
      </c>
      <c r="C774">
        <v>37149</v>
      </c>
      <c r="D774" t="s">
        <v>351</v>
      </c>
      <c r="E774" t="s">
        <v>347</v>
      </c>
      <c r="F774" t="s">
        <v>352</v>
      </c>
      <c r="G774" t="s">
        <v>353</v>
      </c>
      <c r="H774" t="s">
        <v>17</v>
      </c>
      <c r="I774" t="s">
        <v>18</v>
      </c>
      <c r="J774" t="s">
        <v>19</v>
      </c>
      <c r="K774">
        <v>786</v>
      </c>
      <c r="L774">
        <v>0</v>
      </c>
      <c r="M774" t="s">
        <v>20</v>
      </c>
    </row>
    <row r="775" spans="1:13" x14ac:dyDescent="0.35">
      <c r="A775">
        <v>774</v>
      </c>
      <c r="B775">
        <v>583006052</v>
      </c>
      <c r="C775">
        <v>37149</v>
      </c>
      <c r="D775" t="s">
        <v>351</v>
      </c>
      <c r="E775" t="s">
        <v>347</v>
      </c>
      <c r="F775" t="s">
        <v>352</v>
      </c>
      <c r="G775" t="s">
        <v>353</v>
      </c>
      <c r="H775" t="s">
        <v>17</v>
      </c>
      <c r="I775" t="s">
        <v>18</v>
      </c>
      <c r="J775" t="s">
        <v>19</v>
      </c>
      <c r="K775">
        <v>621</v>
      </c>
      <c r="L775">
        <v>0</v>
      </c>
      <c r="M775" t="s">
        <v>20</v>
      </c>
    </row>
    <row r="776" spans="1:13" x14ac:dyDescent="0.35">
      <c r="A776">
        <v>775</v>
      </c>
      <c r="B776">
        <v>583006057</v>
      </c>
      <c r="C776">
        <v>37155</v>
      </c>
      <c r="D776" t="s">
        <v>21</v>
      </c>
      <c r="E776" t="s">
        <v>347</v>
      </c>
      <c r="F776" t="s">
        <v>22</v>
      </c>
      <c r="G776" t="s">
        <v>23</v>
      </c>
      <c r="H776" t="s">
        <v>17</v>
      </c>
      <c r="I776" t="s">
        <v>18</v>
      </c>
      <c r="J776" t="s">
        <v>19</v>
      </c>
      <c r="K776">
        <v>144</v>
      </c>
      <c r="L776">
        <v>0</v>
      </c>
      <c r="M776" t="s">
        <v>20</v>
      </c>
    </row>
    <row r="777" spans="1:13" x14ac:dyDescent="0.35">
      <c r="A777">
        <v>776</v>
      </c>
      <c r="B777">
        <v>583006067</v>
      </c>
      <c r="C777">
        <v>37168</v>
      </c>
      <c r="D777" t="s">
        <v>116</v>
      </c>
      <c r="E777" t="s">
        <v>347</v>
      </c>
      <c r="F777" t="s">
        <v>117</v>
      </c>
      <c r="G777" t="s">
        <v>118</v>
      </c>
      <c r="H777" t="s">
        <v>17</v>
      </c>
      <c r="I777" t="s">
        <v>18</v>
      </c>
      <c r="J777" t="s">
        <v>19</v>
      </c>
      <c r="K777">
        <v>1845</v>
      </c>
      <c r="L777">
        <v>0</v>
      </c>
      <c r="M777" t="s">
        <v>20</v>
      </c>
    </row>
    <row r="778" spans="1:13" x14ac:dyDescent="0.35">
      <c r="A778">
        <v>777</v>
      </c>
      <c r="B778">
        <v>583006078</v>
      </c>
      <c r="C778">
        <v>37179</v>
      </c>
      <c r="D778" t="s">
        <v>21</v>
      </c>
      <c r="E778" t="s">
        <v>347</v>
      </c>
      <c r="F778" t="s">
        <v>22</v>
      </c>
      <c r="G778" t="s">
        <v>23</v>
      </c>
      <c r="H778" t="s">
        <v>17</v>
      </c>
      <c r="I778" t="s">
        <v>18</v>
      </c>
      <c r="J778" t="s">
        <v>19</v>
      </c>
      <c r="K778">
        <v>588</v>
      </c>
      <c r="L778">
        <v>0</v>
      </c>
      <c r="M778" t="s">
        <v>20</v>
      </c>
    </row>
    <row r="779" spans="1:13" x14ac:dyDescent="0.35">
      <c r="A779">
        <v>778</v>
      </c>
      <c r="B779">
        <v>583006078</v>
      </c>
      <c r="C779">
        <v>37179</v>
      </c>
      <c r="D779" t="s">
        <v>21</v>
      </c>
      <c r="E779" t="s">
        <v>347</v>
      </c>
      <c r="F779" t="s">
        <v>22</v>
      </c>
      <c r="G779" t="s">
        <v>23</v>
      </c>
      <c r="H779" t="s">
        <v>17</v>
      </c>
      <c r="I779" t="s">
        <v>18</v>
      </c>
      <c r="J779" t="s">
        <v>19</v>
      </c>
      <c r="K779">
        <v>489</v>
      </c>
      <c r="L779">
        <v>0</v>
      </c>
      <c r="M779" t="s">
        <v>20</v>
      </c>
    </row>
    <row r="780" spans="1:13" x14ac:dyDescent="0.35">
      <c r="A780">
        <v>779</v>
      </c>
      <c r="B780">
        <v>583006057</v>
      </c>
      <c r="C780">
        <v>37155</v>
      </c>
      <c r="D780" t="s">
        <v>21</v>
      </c>
      <c r="E780" t="s">
        <v>347</v>
      </c>
      <c r="F780" t="s">
        <v>22</v>
      </c>
      <c r="G780" t="s">
        <v>23</v>
      </c>
      <c r="H780" t="s">
        <v>17</v>
      </c>
      <c r="I780" t="s">
        <v>18</v>
      </c>
      <c r="J780" t="s">
        <v>19</v>
      </c>
      <c r="K780">
        <v>612</v>
      </c>
      <c r="L780">
        <v>0</v>
      </c>
      <c r="M780" t="s">
        <v>20</v>
      </c>
    </row>
    <row r="781" spans="1:13" x14ac:dyDescent="0.35">
      <c r="A781">
        <v>780</v>
      </c>
      <c r="B781">
        <v>583006179</v>
      </c>
      <c r="C781">
        <v>37310</v>
      </c>
      <c r="D781" t="s">
        <v>29</v>
      </c>
      <c r="E781" t="s">
        <v>360</v>
      </c>
      <c r="F781" t="s">
        <v>30</v>
      </c>
      <c r="G781" t="s">
        <v>31</v>
      </c>
      <c r="H781" t="s">
        <v>17</v>
      </c>
      <c r="I781" t="s">
        <v>18</v>
      </c>
      <c r="J781" t="s">
        <v>19</v>
      </c>
      <c r="K781">
        <v>105</v>
      </c>
      <c r="L781">
        <v>0</v>
      </c>
      <c r="M781" t="s">
        <v>20</v>
      </c>
    </row>
    <row r="782" spans="1:13" x14ac:dyDescent="0.35">
      <c r="A782">
        <v>781</v>
      </c>
      <c r="B782">
        <v>583006178</v>
      </c>
      <c r="C782">
        <v>37309</v>
      </c>
      <c r="D782" t="s">
        <v>29</v>
      </c>
      <c r="E782" t="s">
        <v>360</v>
      </c>
      <c r="F782" t="s">
        <v>30</v>
      </c>
      <c r="G782" t="s">
        <v>31</v>
      </c>
      <c r="H782" t="s">
        <v>17</v>
      </c>
      <c r="I782" t="s">
        <v>18</v>
      </c>
      <c r="J782" t="s">
        <v>19</v>
      </c>
      <c r="K782">
        <v>102</v>
      </c>
      <c r="L782">
        <v>0</v>
      </c>
      <c r="M782" t="s">
        <v>20</v>
      </c>
    </row>
    <row r="783" spans="1:13" x14ac:dyDescent="0.35">
      <c r="A783">
        <v>782</v>
      </c>
      <c r="B783">
        <v>583006176</v>
      </c>
      <c r="C783">
        <v>37307</v>
      </c>
      <c r="D783" t="s">
        <v>29</v>
      </c>
      <c r="E783" t="s">
        <v>360</v>
      </c>
      <c r="F783" t="s">
        <v>30</v>
      </c>
      <c r="G783" t="s">
        <v>31</v>
      </c>
      <c r="H783" t="s">
        <v>17</v>
      </c>
      <c r="I783" t="s">
        <v>18</v>
      </c>
      <c r="J783" t="s">
        <v>19</v>
      </c>
      <c r="K783">
        <v>135</v>
      </c>
      <c r="L783">
        <v>0</v>
      </c>
      <c r="M783" t="s">
        <v>20</v>
      </c>
    </row>
    <row r="784" spans="1:13" x14ac:dyDescent="0.35">
      <c r="A784">
        <v>783</v>
      </c>
      <c r="B784">
        <v>583006176</v>
      </c>
      <c r="C784">
        <v>37307</v>
      </c>
      <c r="D784" t="s">
        <v>29</v>
      </c>
      <c r="E784" t="s">
        <v>360</v>
      </c>
      <c r="F784" t="s">
        <v>30</v>
      </c>
      <c r="G784" t="s">
        <v>31</v>
      </c>
      <c r="H784" t="s">
        <v>17</v>
      </c>
      <c r="I784" t="s">
        <v>18</v>
      </c>
      <c r="J784" t="s">
        <v>19</v>
      </c>
      <c r="K784">
        <v>90</v>
      </c>
      <c r="L784">
        <v>0</v>
      </c>
      <c r="M784" t="s">
        <v>20</v>
      </c>
    </row>
    <row r="785" spans="1:13" x14ac:dyDescent="0.35">
      <c r="A785">
        <v>784</v>
      </c>
      <c r="B785">
        <v>583006183</v>
      </c>
      <c r="C785">
        <v>37314</v>
      </c>
      <c r="D785" t="s">
        <v>29</v>
      </c>
      <c r="E785" t="s">
        <v>360</v>
      </c>
      <c r="F785" t="s">
        <v>30</v>
      </c>
      <c r="G785" t="s">
        <v>31</v>
      </c>
      <c r="H785" t="s">
        <v>17</v>
      </c>
      <c r="I785" t="s">
        <v>18</v>
      </c>
      <c r="J785" t="s">
        <v>19</v>
      </c>
      <c r="K785">
        <v>180</v>
      </c>
      <c r="L785">
        <v>0</v>
      </c>
      <c r="M785" t="s">
        <v>20</v>
      </c>
    </row>
    <row r="786" spans="1:13" x14ac:dyDescent="0.35">
      <c r="A786">
        <v>785</v>
      </c>
      <c r="B786">
        <v>583006165</v>
      </c>
      <c r="C786">
        <v>37295</v>
      </c>
      <c r="D786" t="s">
        <v>60</v>
      </c>
      <c r="E786" t="s">
        <v>360</v>
      </c>
      <c r="F786" t="s">
        <v>61</v>
      </c>
      <c r="G786" t="s">
        <v>62</v>
      </c>
      <c r="H786" t="s">
        <v>17</v>
      </c>
      <c r="I786" t="s">
        <v>18</v>
      </c>
      <c r="J786" t="s">
        <v>19</v>
      </c>
      <c r="K786">
        <v>120</v>
      </c>
      <c r="L786">
        <v>0</v>
      </c>
      <c r="M786" t="s">
        <v>20</v>
      </c>
    </row>
    <row r="787" spans="1:13" x14ac:dyDescent="0.35">
      <c r="A787">
        <v>786</v>
      </c>
      <c r="B787">
        <v>583006165</v>
      </c>
      <c r="C787">
        <v>37295</v>
      </c>
      <c r="D787" t="s">
        <v>60</v>
      </c>
      <c r="E787" t="s">
        <v>360</v>
      </c>
      <c r="F787" t="s">
        <v>61</v>
      </c>
      <c r="G787" t="s">
        <v>62</v>
      </c>
      <c r="H787" t="s">
        <v>17</v>
      </c>
      <c r="I787" t="s">
        <v>18</v>
      </c>
      <c r="J787" t="s">
        <v>19</v>
      </c>
      <c r="K787">
        <v>45</v>
      </c>
      <c r="L787">
        <v>0</v>
      </c>
      <c r="M787" t="s">
        <v>20</v>
      </c>
    </row>
    <row r="788" spans="1:13" x14ac:dyDescent="0.35">
      <c r="A788">
        <v>787</v>
      </c>
      <c r="B788">
        <v>583006156</v>
      </c>
      <c r="C788">
        <v>37286</v>
      </c>
      <c r="D788" t="s">
        <v>29</v>
      </c>
      <c r="E788" t="s">
        <v>360</v>
      </c>
      <c r="F788" t="s">
        <v>30</v>
      </c>
      <c r="G788" t="s">
        <v>31</v>
      </c>
      <c r="H788" t="s">
        <v>17</v>
      </c>
      <c r="I788" t="s">
        <v>63</v>
      </c>
      <c r="J788" t="s">
        <v>64</v>
      </c>
      <c r="K788">
        <v>50</v>
      </c>
      <c r="L788">
        <v>88.5</v>
      </c>
      <c r="M788" t="s">
        <v>20</v>
      </c>
    </row>
    <row r="789" spans="1:13" x14ac:dyDescent="0.35">
      <c r="A789">
        <v>788</v>
      </c>
      <c r="B789">
        <v>583006177</v>
      </c>
      <c r="C789">
        <v>37308</v>
      </c>
      <c r="D789" t="s">
        <v>29</v>
      </c>
      <c r="E789" t="s">
        <v>360</v>
      </c>
      <c r="F789" t="s">
        <v>30</v>
      </c>
      <c r="G789" t="s">
        <v>31</v>
      </c>
      <c r="H789" t="s">
        <v>17</v>
      </c>
      <c r="I789" t="s">
        <v>18</v>
      </c>
      <c r="J789" t="s">
        <v>19</v>
      </c>
      <c r="K789">
        <v>132</v>
      </c>
      <c r="L789">
        <v>0</v>
      </c>
      <c r="M789" t="s">
        <v>20</v>
      </c>
    </row>
    <row r="790" spans="1:13" x14ac:dyDescent="0.35">
      <c r="A790">
        <v>789</v>
      </c>
      <c r="B790">
        <v>583006172</v>
      </c>
      <c r="C790">
        <v>37303</v>
      </c>
      <c r="D790" t="s">
        <v>60</v>
      </c>
      <c r="E790" t="s">
        <v>360</v>
      </c>
      <c r="F790" t="s">
        <v>61</v>
      </c>
      <c r="G790" t="s">
        <v>62</v>
      </c>
      <c r="H790" t="s">
        <v>17</v>
      </c>
      <c r="I790" t="s">
        <v>18</v>
      </c>
      <c r="J790" t="s">
        <v>19</v>
      </c>
      <c r="K790">
        <v>42</v>
      </c>
      <c r="L790">
        <v>0</v>
      </c>
      <c r="M790" t="s">
        <v>20</v>
      </c>
    </row>
    <row r="791" spans="1:13" x14ac:dyDescent="0.35">
      <c r="A791">
        <v>790</v>
      </c>
      <c r="B791">
        <v>583006133</v>
      </c>
      <c r="C791">
        <v>37260</v>
      </c>
      <c r="D791" t="s">
        <v>253</v>
      </c>
      <c r="E791" t="s">
        <v>360</v>
      </c>
      <c r="F791" t="s">
        <v>255</v>
      </c>
      <c r="G791" t="s">
        <v>256</v>
      </c>
      <c r="H791" t="s">
        <v>17</v>
      </c>
      <c r="I791" t="s">
        <v>18</v>
      </c>
      <c r="J791" t="s">
        <v>19</v>
      </c>
      <c r="K791">
        <v>171</v>
      </c>
      <c r="L791">
        <v>0</v>
      </c>
      <c r="M791" t="s">
        <v>20</v>
      </c>
    </row>
    <row r="792" spans="1:13" x14ac:dyDescent="0.35">
      <c r="A792">
        <v>791</v>
      </c>
      <c r="B792">
        <v>583006170</v>
      </c>
      <c r="C792">
        <v>37301</v>
      </c>
      <c r="D792" t="s">
        <v>60</v>
      </c>
      <c r="E792" t="s">
        <v>360</v>
      </c>
      <c r="F792" t="s">
        <v>61</v>
      </c>
      <c r="G792" t="s">
        <v>62</v>
      </c>
      <c r="H792" t="s">
        <v>17</v>
      </c>
      <c r="I792" t="s">
        <v>18</v>
      </c>
      <c r="J792" t="s">
        <v>19</v>
      </c>
      <c r="K792">
        <v>87</v>
      </c>
      <c r="L792">
        <v>0</v>
      </c>
      <c r="M792" t="s">
        <v>20</v>
      </c>
    </row>
    <row r="793" spans="1:13" x14ac:dyDescent="0.35">
      <c r="A793">
        <v>792</v>
      </c>
      <c r="B793">
        <v>583006166</v>
      </c>
      <c r="C793">
        <v>37297</v>
      </c>
      <c r="D793" t="s">
        <v>60</v>
      </c>
      <c r="E793" t="s">
        <v>360</v>
      </c>
      <c r="F793" t="s">
        <v>61</v>
      </c>
      <c r="G793" t="s">
        <v>62</v>
      </c>
      <c r="H793" t="s">
        <v>17</v>
      </c>
      <c r="I793" t="s">
        <v>18</v>
      </c>
      <c r="J793" t="s">
        <v>19</v>
      </c>
      <c r="K793">
        <v>51</v>
      </c>
      <c r="L793">
        <v>0</v>
      </c>
      <c r="M793" t="s">
        <v>20</v>
      </c>
    </row>
    <row r="794" spans="1:13" x14ac:dyDescent="0.35">
      <c r="A794">
        <v>793</v>
      </c>
      <c r="B794">
        <v>583006180</v>
      </c>
      <c r="C794">
        <v>37311</v>
      </c>
      <c r="D794" t="s">
        <v>29</v>
      </c>
      <c r="E794" t="s">
        <v>360</v>
      </c>
      <c r="F794" t="s">
        <v>30</v>
      </c>
      <c r="G794" t="s">
        <v>31</v>
      </c>
      <c r="H794" t="s">
        <v>17</v>
      </c>
      <c r="I794" t="s">
        <v>18</v>
      </c>
      <c r="J794" t="s">
        <v>19</v>
      </c>
      <c r="K794">
        <v>105</v>
      </c>
      <c r="L794">
        <v>0</v>
      </c>
      <c r="M794" t="s">
        <v>20</v>
      </c>
    </row>
    <row r="795" spans="1:13" x14ac:dyDescent="0.35">
      <c r="A795">
        <v>794</v>
      </c>
      <c r="B795">
        <v>583006166</v>
      </c>
      <c r="C795">
        <v>37297</v>
      </c>
      <c r="D795" t="s">
        <v>60</v>
      </c>
      <c r="E795" t="s">
        <v>360</v>
      </c>
      <c r="F795" t="s">
        <v>61</v>
      </c>
      <c r="G795" t="s">
        <v>62</v>
      </c>
      <c r="H795" t="s">
        <v>17</v>
      </c>
      <c r="I795" t="s">
        <v>18</v>
      </c>
      <c r="J795" t="s">
        <v>19</v>
      </c>
      <c r="K795">
        <v>45</v>
      </c>
      <c r="L795">
        <v>0</v>
      </c>
      <c r="M795" t="s">
        <v>20</v>
      </c>
    </row>
    <row r="796" spans="1:13" x14ac:dyDescent="0.35">
      <c r="A796">
        <v>795</v>
      </c>
      <c r="B796">
        <v>583006164</v>
      </c>
      <c r="C796">
        <v>37294</v>
      </c>
      <c r="D796" t="s">
        <v>60</v>
      </c>
      <c r="E796" t="s">
        <v>360</v>
      </c>
      <c r="F796" t="s">
        <v>61</v>
      </c>
      <c r="G796" t="s">
        <v>62</v>
      </c>
      <c r="H796" t="s">
        <v>17</v>
      </c>
      <c r="I796" t="s">
        <v>18</v>
      </c>
      <c r="J796" t="s">
        <v>19</v>
      </c>
      <c r="K796">
        <v>48</v>
      </c>
      <c r="L796">
        <v>0</v>
      </c>
      <c r="M796" t="s">
        <v>20</v>
      </c>
    </row>
    <row r="797" spans="1:13" x14ac:dyDescent="0.35">
      <c r="A797">
        <v>796</v>
      </c>
      <c r="B797">
        <v>583006152</v>
      </c>
      <c r="C797">
        <v>37282</v>
      </c>
      <c r="D797" t="s">
        <v>29</v>
      </c>
      <c r="E797" t="s">
        <v>360</v>
      </c>
      <c r="F797" t="s">
        <v>30</v>
      </c>
      <c r="G797" t="s">
        <v>31</v>
      </c>
      <c r="H797" t="s">
        <v>17</v>
      </c>
      <c r="I797" t="s">
        <v>63</v>
      </c>
      <c r="J797" t="s">
        <v>64</v>
      </c>
      <c r="K797">
        <v>19</v>
      </c>
      <c r="L797">
        <v>33.630000000000003</v>
      </c>
      <c r="M797" t="s">
        <v>20</v>
      </c>
    </row>
    <row r="798" spans="1:13" x14ac:dyDescent="0.35">
      <c r="A798">
        <v>797</v>
      </c>
      <c r="B798">
        <v>583006175</v>
      </c>
      <c r="C798">
        <v>37306</v>
      </c>
      <c r="D798" t="s">
        <v>29</v>
      </c>
      <c r="E798" t="s">
        <v>360</v>
      </c>
      <c r="F798" t="s">
        <v>30</v>
      </c>
      <c r="G798" t="s">
        <v>31</v>
      </c>
      <c r="H798" t="s">
        <v>17</v>
      </c>
      <c r="I798" t="s">
        <v>18</v>
      </c>
      <c r="J798" t="s">
        <v>19</v>
      </c>
      <c r="K798">
        <v>135</v>
      </c>
      <c r="L798">
        <v>0</v>
      </c>
      <c r="M798" t="s">
        <v>20</v>
      </c>
    </row>
    <row r="799" spans="1:13" x14ac:dyDescent="0.35">
      <c r="A799">
        <v>798</v>
      </c>
      <c r="B799">
        <v>583006181</v>
      </c>
      <c r="C799">
        <v>37312</v>
      </c>
      <c r="D799" t="s">
        <v>29</v>
      </c>
      <c r="E799" t="s">
        <v>360</v>
      </c>
      <c r="F799" t="s">
        <v>30</v>
      </c>
      <c r="G799" t="s">
        <v>31</v>
      </c>
      <c r="H799" t="s">
        <v>17</v>
      </c>
      <c r="I799" t="s">
        <v>18</v>
      </c>
      <c r="J799" t="s">
        <v>19</v>
      </c>
      <c r="K799">
        <v>45</v>
      </c>
      <c r="L799">
        <v>0</v>
      </c>
      <c r="M799" t="s">
        <v>20</v>
      </c>
    </row>
    <row r="800" spans="1:13" x14ac:dyDescent="0.35">
      <c r="A800">
        <v>799</v>
      </c>
      <c r="B800">
        <v>583006164</v>
      </c>
      <c r="C800">
        <v>37294</v>
      </c>
      <c r="D800" t="s">
        <v>60</v>
      </c>
      <c r="E800" t="s">
        <v>360</v>
      </c>
      <c r="F800" t="s">
        <v>61</v>
      </c>
      <c r="G800" t="s">
        <v>62</v>
      </c>
      <c r="H800" t="s">
        <v>17</v>
      </c>
      <c r="I800" t="s">
        <v>18</v>
      </c>
      <c r="J800" t="s">
        <v>19</v>
      </c>
      <c r="K800">
        <v>102</v>
      </c>
      <c r="L800">
        <v>0</v>
      </c>
      <c r="M800" t="s">
        <v>20</v>
      </c>
    </row>
    <row r="801" spans="1:13" x14ac:dyDescent="0.35">
      <c r="A801">
        <v>800</v>
      </c>
      <c r="B801">
        <v>583006160</v>
      </c>
      <c r="C801">
        <v>37290</v>
      </c>
      <c r="D801" t="s">
        <v>60</v>
      </c>
      <c r="E801" t="s">
        <v>360</v>
      </c>
      <c r="F801" t="s">
        <v>61</v>
      </c>
      <c r="G801" t="s">
        <v>62</v>
      </c>
      <c r="H801" t="s">
        <v>17</v>
      </c>
      <c r="I801" t="s">
        <v>18</v>
      </c>
      <c r="J801" t="s">
        <v>19</v>
      </c>
      <c r="K801">
        <v>39</v>
      </c>
      <c r="L801">
        <v>0</v>
      </c>
      <c r="M801" t="s">
        <v>20</v>
      </c>
    </row>
    <row r="802" spans="1:13" x14ac:dyDescent="0.35">
      <c r="A802">
        <v>801</v>
      </c>
      <c r="B802">
        <v>583006160</v>
      </c>
      <c r="C802">
        <v>37290</v>
      </c>
      <c r="D802" t="s">
        <v>60</v>
      </c>
      <c r="E802" t="s">
        <v>360</v>
      </c>
      <c r="F802" t="s">
        <v>61</v>
      </c>
      <c r="G802" t="s">
        <v>62</v>
      </c>
      <c r="H802" t="s">
        <v>17</v>
      </c>
      <c r="I802" t="s">
        <v>18</v>
      </c>
      <c r="J802" t="s">
        <v>19</v>
      </c>
      <c r="K802">
        <v>45</v>
      </c>
      <c r="L802">
        <v>0</v>
      </c>
      <c r="M802" t="s">
        <v>20</v>
      </c>
    </row>
    <row r="803" spans="1:13" x14ac:dyDescent="0.35">
      <c r="A803">
        <v>802</v>
      </c>
      <c r="B803">
        <v>583006160</v>
      </c>
      <c r="C803">
        <v>37290</v>
      </c>
      <c r="D803" t="s">
        <v>60</v>
      </c>
      <c r="E803" t="s">
        <v>360</v>
      </c>
      <c r="F803" t="s">
        <v>61</v>
      </c>
      <c r="G803" t="s">
        <v>62</v>
      </c>
      <c r="H803" t="s">
        <v>17</v>
      </c>
      <c r="I803" t="s">
        <v>18</v>
      </c>
      <c r="J803" t="s">
        <v>19</v>
      </c>
      <c r="K803">
        <v>90</v>
      </c>
      <c r="L803">
        <v>0</v>
      </c>
      <c r="M803" t="s">
        <v>20</v>
      </c>
    </row>
    <row r="804" spans="1:13" x14ac:dyDescent="0.35">
      <c r="A804">
        <v>803</v>
      </c>
      <c r="B804">
        <v>583006181</v>
      </c>
      <c r="C804">
        <v>37312</v>
      </c>
      <c r="D804" t="s">
        <v>29</v>
      </c>
      <c r="E804" t="s">
        <v>360</v>
      </c>
      <c r="F804" t="s">
        <v>30</v>
      </c>
      <c r="G804" t="s">
        <v>31</v>
      </c>
      <c r="H804" t="s">
        <v>17</v>
      </c>
      <c r="I804" t="s">
        <v>18</v>
      </c>
      <c r="J804" t="s">
        <v>19</v>
      </c>
      <c r="K804">
        <v>45</v>
      </c>
      <c r="L804">
        <v>0</v>
      </c>
      <c r="M804" t="s">
        <v>20</v>
      </c>
    </row>
    <row r="805" spans="1:13" x14ac:dyDescent="0.35">
      <c r="A805">
        <v>804</v>
      </c>
      <c r="B805">
        <v>583006182</v>
      </c>
      <c r="C805">
        <v>37313</v>
      </c>
      <c r="D805" t="s">
        <v>29</v>
      </c>
      <c r="E805" t="s">
        <v>360</v>
      </c>
      <c r="F805" t="s">
        <v>30</v>
      </c>
      <c r="G805" t="s">
        <v>31</v>
      </c>
      <c r="H805" t="s">
        <v>17</v>
      </c>
      <c r="I805" t="s">
        <v>18</v>
      </c>
      <c r="J805" t="s">
        <v>19</v>
      </c>
      <c r="K805">
        <v>135</v>
      </c>
      <c r="L805">
        <v>0</v>
      </c>
      <c r="M805" t="s">
        <v>20</v>
      </c>
    </row>
    <row r="806" spans="1:13" x14ac:dyDescent="0.35">
      <c r="A806">
        <v>805</v>
      </c>
      <c r="B806">
        <v>583006118</v>
      </c>
      <c r="C806">
        <v>37238</v>
      </c>
      <c r="D806" t="s">
        <v>21</v>
      </c>
      <c r="E806" t="s">
        <v>360</v>
      </c>
      <c r="F806" t="s">
        <v>22</v>
      </c>
      <c r="G806" t="s">
        <v>23</v>
      </c>
      <c r="H806" t="s">
        <v>17</v>
      </c>
      <c r="I806" t="s">
        <v>18</v>
      </c>
      <c r="J806" t="s">
        <v>19</v>
      </c>
      <c r="K806">
        <v>252</v>
      </c>
      <c r="L806">
        <v>0</v>
      </c>
      <c r="M806" t="s">
        <v>20</v>
      </c>
    </row>
    <row r="807" spans="1:13" x14ac:dyDescent="0.35">
      <c r="A807">
        <v>806</v>
      </c>
      <c r="B807">
        <v>583006118</v>
      </c>
      <c r="C807">
        <v>37238</v>
      </c>
      <c r="D807" t="s">
        <v>21</v>
      </c>
      <c r="E807" t="s">
        <v>360</v>
      </c>
      <c r="F807" t="s">
        <v>22</v>
      </c>
      <c r="G807" t="s">
        <v>23</v>
      </c>
      <c r="H807" t="s">
        <v>17</v>
      </c>
      <c r="I807" t="s">
        <v>18</v>
      </c>
      <c r="J807" t="s">
        <v>19</v>
      </c>
      <c r="K807">
        <v>2751</v>
      </c>
      <c r="L807">
        <v>0</v>
      </c>
      <c r="M807" t="s">
        <v>20</v>
      </c>
    </row>
    <row r="808" spans="1:13" x14ac:dyDescent="0.35">
      <c r="A808">
        <v>807</v>
      </c>
      <c r="B808">
        <v>583006118</v>
      </c>
      <c r="C808">
        <v>37238</v>
      </c>
      <c r="D808" t="s">
        <v>21</v>
      </c>
      <c r="E808" t="s">
        <v>360</v>
      </c>
      <c r="F808" t="s">
        <v>22</v>
      </c>
      <c r="G808" t="s">
        <v>23</v>
      </c>
      <c r="H808" t="s">
        <v>17</v>
      </c>
      <c r="I808" t="s">
        <v>18</v>
      </c>
      <c r="J808" t="s">
        <v>19</v>
      </c>
      <c r="K808">
        <v>810</v>
      </c>
      <c r="L808">
        <v>0</v>
      </c>
      <c r="M808" t="s">
        <v>20</v>
      </c>
    </row>
    <row r="809" spans="1:13" x14ac:dyDescent="0.35">
      <c r="A809">
        <v>808</v>
      </c>
      <c r="B809">
        <v>583006153</v>
      </c>
      <c r="C809">
        <v>37283</v>
      </c>
      <c r="D809" t="s">
        <v>162</v>
      </c>
      <c r="E809" t="s">
        <v>360</v>
      </c>
      <c r="F809" t="s">
        <v>163</v>
      </c>
      <c r="G809" t="s">
        <v>164</v>
      </c>
      <c r="H809" t="s">
        <v>17</v>
      </c>
      <c r="I809" t="s">
        <v>18</v>
      </c>
      <c r="J809" t="s">
        <v>19</v>
      </c>
      <c r="K809">
        <v>720</v>
      </c>
      <c r="L809">
        <v>0</v>
      </c>
      <c r="M809" t="s">
        <v>20</v>
      </c>
    </row>
    <row r="810" spans="1:13" x14ac:dyDescent="0.35">
      <c r="A810">
        <v>809</v>
      </c>
      <c r="B810">
        <v>583006131</v>
      </c>
      <c r="C810">
        <v>37256</v>
      </c>
      <c r="D810" t="s">
        <v>82</v>
      </c>
      <c r="E810" t="s">
        <v>360</v>
      </c>
      <c r="F810" t="s">
        <v>83</v>
      </c>
      <c r="G810" t="s">
        <v>84</v>
      </c>
      <c r="H810" t="s">
        <v>17</v>
      </c>
      <c r="I810" t="s">
        <v>18</v>
      </c>
      <c r="J810" t="s">
        <v>19</v>
      </c>
      <c r="K810">
        <v>2331</v>
      </c>
      <c r="L810">
        <v>0</v>
      </c>
      <c r="M810" t="s">
        <v>20</v>
      </c>
    </row>
    <row r="811" spans="1:13" x14ac:dyDescent="0.35">
      <c r="A811">
        <v>810</v>
      </c>
      <c r="B811">
        <v>583006143</v>
      </c>
      <c r="C811">
        <v>37270</v>
      </c>
      <c r="D811" t="s">
        <v>361</v>
      </c>
      <c r="E811" t="s">
        <v>360</v>
      </c>
      <c r="F811" t="s">
        <v>362</v>
      </c>
      <c r="G811" t="s">
        <v>363</v>
      </c>
      <c r="H811" t="s">
        <v>17</v>
      </c>
      <c r="I811" t="s">
        <v>135</v>
      </c>
      <c r="J811" t="s">
        <v>19</v>
      </c>
      <c r="K811">
        <v>480</v>
      </c>
      <c r="L811">
        <v>0</v>
      </c>
      <c r="M811" t="s">
        <v>20</v>
      </c>
    </row>
    <row r="812" spans="1:13" x14ac:dyDescent="0.35">
      <c r="A812">
        <v>811</v>
      </c>
      <c r="B812">
        <v>583006161</v>
      </c>
      <c r="C812">
        <v>37291</v>
      </c>
      <c r="D812" t="s">
        <v>21</v>
      </c>
      <c r="E812" t="s">
        <v>360</v>
      </c>
      <c r="F812" t="s">
        <v>22</v>
      </c>
      <c r="G812" t="s">
        <v>23</v>
      </c>
      <c r="H812" t="s">
        <v>17</v>
      </c>
      <c r="I812" t="s">
        <v>18</v>
      </c>
      <c r="J812" t="s">
        <v>19</v>
      </c>
      <c r="K812">
        <v>1230</v>
      </c>
      <c r="L812">
        <v>0</v>
      </c>
      <c r="M812" t="s">
        <v>20</v>
      </c>
    </row>
    <row r="813" spans="1:13" x14ac:dyDescent="0.35">
      <c r="A813">
        <v>812</v>
      </c>
      <c r="B813">
        <v>583006154</v>
      </c>
      <c r="C813">
        <v>37284</v>
      </c>
      <c r="D813" t="s">
        <v>29</v>
      </c>
      <c r="E813" t="s">
        <v>360</v>
      </c>
      <c r="F813" t="s">
        <v>30</v>
      </c>
      <c r="G813" t="s">
        <v>31</v>
      </c>
      <c r="H813" t="s">
        <v>17</v>
      </c>
      <c r="I813" t="s">
        <v>63</v>
      </c>
      <c r="J813" t="s">
        <v>64</v>
      </c>
      <c r="K813">
        <v>100</v>
      </c>
      <c r="L813">
        <v>165</v>
      </c>
      <c r="M813" t="s">
        <v>20</v>
      </c>
    </row>
    <row r="814" spans="1:13" x14ac:dyDescent="0.35">
      <c r="A814">
        <v>813</v>
      </c>
      <c r="B814">
        <v>583006161</v>
      </c>
      <c r="C814">
        <v>37291</v>
      </c>
      <c r="D814" t="s">
        <v>21</v>
      </c>
      <c r="E814" t="s">
        <v>360</v>
      </c>
      <c r="F814" t="s">
        <v>22</v>
      </c>
      <c r="G814" t="s">
        <v>23</v>
      </c>
      <c r="H814" t="s">
        <v>17</v>
      </c>
      <c r="I814" t="s">
        <v>18</v>
      </c>
      <c r="J814" t="s">
        <v>19</v>
      </c>
      <c r="K814">
        <v>738</v>
      </c>
      <c r="L814">
        <v>0</v>
      </c>
      <c r="M814" t="s">
        <v>20</v>
      </c>
    </row>
    <row r="815" spans="1:13" x14ac:dyDescent="0.35">
      <c r="A815">
        <v>814</v>
      </c>
      <c r="B815">
        <v>583006161</v>
      </c>
      <c r="C815">
        <v>37291</v>
      </c>
      <c r="D815" t="s">
        <v>21</v>
      </c>
      <c r="E815" t="s">
        <v>360</v>
      </c>
      <c r="F815" t="s">
        <v>22</v>
      </c>
      <c r="G815" t="s">
        <v>23</v>
      </c>
      <c r="H815" t="s">
        <v>17</v>
      </c>
      <c r="I815" t="s">
        <v>18</v>
      </c>
      <c r="J815" t="s">
        <v>19</v>
      </c>
      <c r="K815">
        <v>1920</v>
      </c>
      <c r="L815">
        <v>0</v>
      </c>
      <c r="M815" t="s">
        <v>20</v>
      </c>
    </row>
    <row r="816" spans="1:13" x14ac:dyDescent="0.35">
      <c r="A816">
        <v>815</v>
      </c>
      <c r="B816">
        <v>583006131</v>
      </c>
      <c r="C816">
        <v>37256</v>
      </c>
      <c r="D816" t="s">
        <v>82</v>
      </c>
      <c r="E816" t="s">
        <v>360</v>
      </c>
      <c r="F816" t="s">
        <v>83</v>
      </c>
      <c r="G816" t="s">
        <v>84</v>
      </c>
      <c r="H816" t="s">
        <v>17</v>
      </c>
      <c r="I816" t="s">
        <v>18</v>
      </c>
      <c r="J816" t="s">
        <v>19</v>
      </c>
      <c r="K816">
        <v>729</v>
      </c>
      <c r="L816">
        <v>0</v>
      </c>
      <c r="M816" t="s">
        <v>20</v>
      </c>
    </row>
    <row r="817" spans="1:13" x14ac:dyDescent="0.35">
      <c r="A817">
        <v>816</v>
      </c>
      <c r="B817">
        <v>583006131</v>
      </c>
      <c r="C817">
        <v>37256</v>
      </c>
      <c r="D817" t="s">
        <v>82</v>
      </c>
      <c r="E817" t="s">
        <v>360</v>
      </c>
      <c r="F817" t="s">
        <v>83</v>
      </c>
      <c r="G817" t="s">
        <v>84</v>
      </c>
      <c r="H817" t="s">
        <v>17</v>
      </c>
      <c r="I817" t="s">
        <v>18</v>
      </c>
      <c r="J817" t="s">
        <v>19</v>
      </c>
      <c r="K817">
        <v>585</v>
      </c>
      <c r="L817">
        <v>0</v>
      </c>
      <c r="M817" t="s">
        <v>20</v>
      </c>
    </row>
    <row r="818" spans="1:13" x14ac:dyDescent="0.35">
      <c r="A818">
        <v>817</v>
      </c>
      <c r="B818">
        <v>583006158</v>
      </c>
      <c r="C818">
        <v>37288</v>
      </c>
      <c r="D818" t="s">
        <v>29</v>
      </c>
      <c r="E818" t="s">
        <v>360</v>
      </c>
      <c r="F818" t="s">
        <v>30</v>
      </c>
      <c r="G818" t="s">
        <v>31</v>
      </c>
      <c r="H818" t="s">
        <v>17</v>
      </c>
      <c r="I818" t="s">
        <v>63</v>
      </c>
      <c r="J818" t="s">
        <v>64</v>
      </c>
      <c r="K818">
        <v>112</v>
      </c>
      <c r="L818">
        <v>184.8</v>
      </c>
      <c r="M818" t="s">
        <v>20</v>
      </c>
    </row>
    <row r="819" spans="1:13" x14ac:dyDescent="0.35">
      <c r="A819">
        <v>818</v>
      </c>
      <c r="B819">
        <v>583006150</v>
      </c>
      <c r="C819">
        <v>37280</v>
      </c>
      <c r="D819" t="s">
        <v>29</v>
      </c>
      <c r="E819" t="s">
        <v>360</v>
      </c>
      <c r="F819" t="s">
        <v>30</v>
      </c>
      <c r="G819" t="s">
        <v>31</v>
      </c>
      <c r="H819" t="s">
        <v>17</v>
      </c>
      <c r="I819" t="s">
        <v>63</v>
      </c>
      <c r="J819" t="s">
        <v>64</v>
      </c>
      <c r="K819">
        <v>112</v>
      </c>
      <c r="L819">
        <v>184.8</v>
      </c>
      <c r="M819" t="s">
        <v>20</v>
      </c>
    </row>
    <row r="820" spans="1:13" x14ac:dyDescent="0.35">
      <c r="A820">
        <v>819</v>
      </c>
      <c r="B820">
        <v>583006131</v>
      </c>
      <c r="C820">
        <v>37256</v>
      </c>
      <c r="D820" t="s">
        <v>82</v>
      </c>
      <c r="E820" t="s">
        <v>360</v>
      </c>
      <c r="F820" t="s">
        <v>83</v>
      </c>
      <c r="G820" t="s">
        <v>84</v>
      </c>
      <c r="H820" t="s">
        <v>17</v>
      </c>
      <c r="I820" t="s">
        <v>18</v>
      </c>
      <c r="J820" t="s">
        <v>19</v>
      </c>
      <c r="K820">
        <v>144</v>
      </c>
      <c r="L820">
        <v>0</v>
      </c>
      <c r="M820" t="s">
        <v>20</v>
      </c>
    </row>
    <row r="821" spans="1:13" x14ac:dyDescent="0.35">
      <c r="A821">
        <v>820</v>
      </c>
      <c r="B821">
        <v>583006119</v>
      </c>
      <c r="C821">
        <v>37239</v>
      </c>
      <c r="D821" t="s">
        <v>21</v>
      </c>
      <c r="E821" t="s">
        <v>360</v>
      </c>
      <c r="F821" t="s">
        <v>22</v>
      </c>
      <c r="G821" t="s">
        <v>23</v>
      </c>
      <c r="H821" t="s">
        <v>17</v>
      </c>
      <c r="I821" t="s">
        <v>18</v>
      </c>
      <c r="J821" t="s">
        <v>19</v>
      </c>
      <c r="K821">
        <v>1128</v>
      </c>
      <c r="L821">
        <v>0</v>
      </c>
      <c r="M821" t="s">
        <v>20</v>
      </c>
    </row>
    <row r="822" spans="1:13" x14ac:dyDescent="0.35">
      <c r="A822">
        <v>821</v>
      </c>
      <c r="B822">
        <v>583006119</v>
      </c>
      <c r="C822">
        <v>37239</v>
      </c>
      <c r="D822" t="s">
        <v>21</v>
      </c>
      <c r="E822" t="s">
        <v>360</v>
      </c>
      <c r="F822" t="s">
        <v>22</v>
      </c>
      <c r="G822" t="s">
        <v>23</v>
      </c>
      <c r="H822" t="s">
        <v>17</v>
      </c>
      <c r="I822" t="s">
        <v>18</v>
      </c>
      <c r="J822" t="s">
        <v>19</v>
      </c>
      <c r="K822">
        <v>633</v>
      </c>
      <c r="L822">
        <v>0</v>
      </c>
      <c r="M822" t="s">
        <v>20</v>
      </c>
    </row>
    <row r="823" spans="1:13" x14ac:dyDescent="0.35">
      <c r="A823">
        <v>822</v>
      </c>
      <c r="B823">
        <v>583006119</v>
      </c>
      <c r="C823">
        <v>37239</v>
      </c>
      <c r="D823" t="s">
        <v>21</v>
      </c>
      <c r="E823" t="s">
        <v>360</v>
      </c>
      <c r="F823" t="s">
        <v>22</v>
      </c>
      <c r="G823" t="s">
        <v>23</v>
      </c>
      <c r="H823" t="s">
        <v>17</v>
      </c>
      <c r="I823" t="s">
        <v>18</v>
      </c>
      <c r="J823" t="s">
        <v>19</v>
      </c>
      <c r="K823">
        <v>2646</v>
      </c>
      <c r="L823">
        <v>0</v>
      </c>
      <c r="M823" t="s">
        <v>20</v>
      </c>
    </row>
    <row r="824" spans="1:13" x14ac:dyDescent="0.35">
      <c r="A824">
        <v>823</v>
      </c>
      <c r="B824">
        <v>583006185</v>
      </c>
      <c r="C824">
        <v>37316</v>
      </c>
      <c r="D824" t="s">
        <v>29</v>
      </c>
      <c r="E824" t="s">
        <v>360</v>
      </c>
      <c r="F824" t="s">
        <v>30</v>
      </c>
      <c r="G824" t="s">
        <v>31</v>
      </c>
      <c r="H824" t="s">
        <v>17</v>
      </c>
      <c r="I824" t="s">
        <v>18</v>
      </c>
      <c r="J824" t="s">
        <v>19</v>
      </c>
      <c r="K824">
        <v>228</v>
      </c>
      <c r="L824">
        <v>0</v>
      </c>
      <c r="M824" t="s">
        <v>20</v>
      </c>
    </row>
    <row r="825" spans="1:13" x14ac:dyDescent="0.35">
      <c r="A825">
        <v>824</v>
      </c>
      <c r="B825">
        <v>583006163</v>
      </c>
      <c r="C825">
        <v>37293</v>
      </c>
      <c r="D825" t="s">
        <v>60</v>
      </c>
      <c r="E825" t="s">
        <v>360</v>
      </c>
      <c r="F825" t="s">
        <v>61</v>
      </c>
      <c r="G825" t="s">
        <v>62</v>
      </c>
      <c r="H825" t="s">
        <v>17</v>
      </c>
      <c r="I825" t="s">
        <v>18</v>
      </c>
      <c r="J825" t="s">
        <v>19</v>
      </c>
      <c r="K825">
        <v>237</v>
      </c>
      <c r="L825">
        <v>0</v>
      </c>
      <c r="M825" t="s">
        <v>20</v>
      </c>
    </row>
    <row r="826" spans="1:13" x14ac:dyDescent="0.35">
      <c r="A826">
        <v>825</v>
      </c>
      <c r="B826">
        <v>583006171</v>
      </c>
      <c r="C826">
        <v>37302</v>
      </c>
      <c r="D826" t="s">
        <v>216</v>
      </c>
      <c r="E826" t="s">
        <v>360</v>
      </c>
      <c r="F826" t="s">
        <v>218</v>
      </c>
      <c r="G826" t="s">
        <v>219</v>
      </c>
      <c r="H826" t="s">
        <v>17</v>
      </c>
      <c r="I826" t="s">
        <v>135</v>
      </c>
      <c r="J826" t="s">
        <v>19</v>
      </c>
      <c r="K826">
        <v>600</v>
      </c>
      <c r="L826">
        <v>0</v>
      </c>
      <c r="M826" t="s">
        <v>20</v>
      </c>
    </row>
    <row r="827" spans="1:13" x14ac:dyDescent="0.35">
      <c r="A827">
        <v>826</v>
      </c>
      <c r="B827">
        <v>583006155</v>
      </c>
      <c r="C827">
        <v>37285</v>
      </c>
      <c r="D827" t="s">
        <v>29</v>
      </c>
      <c r="E827" t="s">
        <v>360</v>
      </c>
      <c r="F827" t="s">
        <v>30</v>
      </c>
      <c r="G827" t="s">
        <v>31</v>
      </c>
      <c r="H827" t="s">
        <v>17</v>
      </c>
      <c r="I827" t="s">
        <v>63</v>
      </c>
      <c r="J827" t="s">
        <v>64</v>
      </c>
      <c r="K827">
        <v>84</v>
      </c>
      <c r="L827">
        <v>138.6</v>
      </c>
      <c r="M827" t="s">
        <v>20</v>
      </c>
    </row>
    <row r="828" spans="1:13" x14ac:dyDescent="0.35">
      <c r="A828">
        <v>827</v>
      </c>
      <c r="B828">
        <v>583006133</v>
      </c>
      <c r="C828">
        <v>37260</v>
      </c>
      <c r="D828" t="s">
        <v>253</v>
      </c>
      <c r="E828" t="s">
        <v>360</v>
      </c>
      <c r="F828" t="s">
        <v>255</v>
      </c>
      <c r="G828" t="s">
        <v>256</v>
      </c>
      <c r="H828" t="s">
        <v>17</v>
      </c>
      <c r="I828" t="s">
        <v>18</v>
      </c>
      <c r="J828" t="s">
        <v>19</v>
      </c>
      <c r="K828">
        <v>1233</v>
      </c>
      <c r="L828">
        <v>0</v>
      </c>
      <c r="M828" t="s">
        <v>20</v>
      </c>
    </row>
    <row r="829" spans="1:13" x14ac:dyDescent="0.35">
      <c r="A829">
        <v>828</v>
      </c>
      <c r="B829">
        <v>583006159</v>
      </c>
      <c r="C829">
        <v>37289</v>
      </c>
      <c r="D829" t="s">
        <v>60</v>
      </c>
      <c r="E829" t="s">
        <v>360</v>
      </c>
      <c r="F829" t="s">
        <v>61</v>
      </c>
      <c r="G829" t="s">
        <v>62</v>
      </c>
      <c r="H829" t="s">
        <v>17</v>
      </c>
      <c r="I829" t="s">
        <v>18</v>
      </c>
      <c r="J829" t="s">
        <v>19</v>
      </c>
      <c r="K829">
        <v>180</v>
      </c>
      <c r="L829">
        <v>0</v>
      </c>
      <c r="M829" t="s">
        <v>20</v>
      </c>
    </row>
    <row r="830" spans="1:13" x14ac:dyDescent="0.35">
      <c r="A830">
        <v>829</v>
      </c>
      <c r="B830">
        <v>583006159</v>
      </c>
      <c r="C830">
        <v>37289</v>
      </c>
      <c r="D830" t="s">
        <v>60</v>
      </c>
      <c r="E830" t="s">
        <v>360</v>
      </c>
      <c r="F830" t="s">
        <v>61</v>
      </c>
      <c r="G830" t="s">
        <v>62</v>
      </c>
      <c r="H830" t="s">
        <v>17</v>
      </c>
      <c r="I830" t="s">
        <v>18</v>
      </c>
      <c r="J830" t="s">
        <v>19</v>
      </c>
      <c r="K830">
        <v>90</v>
      </c>
      <c r="L830">
        <v>0</v>
      </c>
      <c r="M830" t="s">
        <v>20</v>
      </c>
    </row>
    <row r="831" spans="1:13" x14ac:dyDescent="0.35">
      <c r="A831">
        <v>830</v>
      </c>
      <c r="B831">
        <v>583006133</v>
      </c>
      <c r="C831">
        <v>37260</v>
      </c>
      <c r="D831" t="s">
        <v>253</v>
      </c>
      <c r="E831" t="s">
        <v>360</v>
      </c>
      <c r="F831" t="s">
        <v>255</v>
      </c>
      <c r="G831" t="s">
        <v>256</v>
      </c>
      <c r="H831" t="s">
        <v>17</v>
      </c>
      <c r="I831" t="s">
        <v>18</v>
      </c>
      <c r="J831" t="s">
        <v>19</v>
      </c>
      <c r="K831">
        <v>207</v>
      </c>
      <c r="L831">
        <v>0</v>
      </c>
      <c r="M831" t="s">
        <v>20</v>
      </c>
    </row>
    <row r="832" spans="1:13" x14ac:dyDescent="0.35">
      <c r="A832">
        <v>831</v>
      </c>
      <c r="B832">
        <v>583006142</v>
      </c>
      <c r="C832">
        <v>37269</v>
      </c>
      <c r="D832" t="s">
        <v>361</v>
      </c>
      <c r="E832" t="s">
        <v>360</v>
      </c>
      <c r="F832" t="s">
        <v>362</v>
      </c>
      <c r="G832" t="s">
        <v>363</v>
      </c>
      <c r="H832" t="s">
        <v>17</v>
      </c>
      <c r="I832" t="s">
        <v>18</v>
      </c>
      <c r="J832" t="s">
        <v>19</v>
      </c>
      <c r="K832">
        <v>42</v>
      </c>
      <c r="L832">
        <v>0</v>
      </c>
      <c r="M832" t="s">
        <v>20</v>
      </c>
    </row>
    <row r="833" spans="1:13" x14ac:dyDescent="0.35">
      <c r="A833">
        <v>832</v>
      </c>
      <c r="B833">
        <v>583006142</v>
      </c>
      <c r="C833">
        <v>37269</v>
      </c>
      <c r="D833" t="s">
        <v>361</v>
      </c>
      <c r="E833" t="s">
        <v>360</v>
      </c>
      <c r="F833" t="s">
        <v>362</v>
      </c>
      <c r="G833" t="s">
        <v>363</v>
      </c>
      <c r="H833" t="s">
        <v>17</v>
      </c>
      <c r="I833" t="s">
        <v>18</v>
      </c>
      <c r="J833" t="s">
        <v>19</v>
      </c>
      <c r="K833">
        <v>1335</v>
      </c>
      <c r="L833">
        <v>0</v>
      </c>
      <c r="M833" t="s">
        <v>20</v>
      </c>
    </row>
    <row r="834" spans="1:13" x14ac:dyDescent="0.35">
      <c r="A834">
        <v>833</v>
      </c>
      <c r="B834">
        <v>583006184</v>
      </c>
      <c r="C834">
        <v>37315</v>
      </c>
      <c r="D834" t="s">
        <v>21</v>
      </c>
      <c r="E834" t="s">
        <v>360</v>
      </c>
      <c r="F834" t="s">
        <v>22</v>
      </c>
      <c r="G834" t="s">
        <v>23</v>
      </c>
      <c r="H834" t="s">
        <v>17</v>
      </c>
      <c r="I834" t="s">
        <v>18</v>
      </c>
      <c r="J834" t="s">
        <v>19</v>
      </c>
      <c r="K834">
        <v>2892</v>
      </c>
      <c r="L834">
        <v>0</v>
      </c>
      <c r="M834" t="s">
        <v>20</v>
      </c>
    </row>
    <row r="835" spans="1:13" x14ac:dyDescent="0.35">
      <c r="A835">
        <v>834</v>
      </c>
      <c r="B835">
        <v>583006168</v>
      </c>
      <c r="C835">
        <v>37299</v>
      </c>
      <c r="D835" t="s">
        <v>216</v>
      </c>
      <c r="E835" t="s">
        <v>360</v>
      </c>
      <c r="F835" t="s">
        <v>218</v>
      </c>
      <c r="G835" t="s">
        <v>219</v>
      </c>
      <c r="H835" t="s">
        <v>17</v>
      </c>
      <c r="I835" t="s">
        <v>18</v>
      </c>
      <c r="J835" t="s">
        <v>19</v>
      </c>
      <c r="K835">
        <v>1305</v>
      </c>
      <c r="L835">
        <v>0</v>
      </c>
      <c r="M835" t="s">
        <v>20</v>
      </c>
    </row>
    <row r="836" spans="1:13" x14ac:dyDescent="0.35">
      <c r="A836">
        <v>835</v>
      </c>
      <c r="B836">
        <v>583006168</v>
      </c>
      <c r="C836">
        <v>37299</v>
      </c>
      <c r="D836" t="s">
        <v>216</v>
      </c>
      <c r="E836" t="s">
        <v>360</v>
      </c>
      <c r="F836" t="s">
        <v>218</v>
      </c>
      <c r="G836" t="s">
        <v>219</v>
      </c>
      <c r="H836" t="s">
        <v>17</v>
      </c>
      <c r="I836" t="s">
        <v>18</v>
      </c>
      <c r="J836" t="s">
        <v>19</v>
      </c>
      <c r="K836">
        <v>2175</v>
      </c>
      <c r="L836">
        <v>0</v>
      </c>
      <c r="M836" t="s">
        <v>20</v>
      </c>
    </row>
    <row r="837" spans="1:13" x14ac:dyDescent="0.35">
      <c r="A837">
        <v>836</v>
      </c>
      <c r="B837">
        <v>583006168</v>
      </c>
      <c r="C837">
        <v>37299</v>
      </c>
      <c r="D837" t="s">
        <v>216</v>
      </c>
      <c r="E837" t="s">
        <v>360</v>
      </c>
      <c r="F837" t="s">
        <v>218</v>
      </c>
      <c r="G837" t="s">
        <v>219</v>
      </c>
      <c r="H837" t="s">
        <v>17</v>
      </c>
      <c r="I837" t="s">
        <v>18</v>
      </c>
      <c r="J837" t="s">
        <v>19</v>
      </c>
      <c r="K837">
        <v>36</v>
      </c>
      <c r="L837">
        <v>0</v>
      </c>
      <c r="M837" t="s">
        <v>20</v>
      </c>
    </row>
    <row r="838" spans="1:13" x14ac:dyDescent="0.35">
      <c r="A838">
        <v>837</v>
      </c>
      <c r="B838">
        <v>583006184</v>
      </c>
      <c r="C838">
        <v>37315</v>
      </c>
      <c r="D838" t="s">
        <v>21</v>
      </c>
      <c r="E838" t="s">
        <v>360</v>
      </c>
      <c r="F838" t="s">
        <v>22</v>
      </c>
      <c r="G838" t="s">
        <v>23</v>
      </c>
      <c r="H838" t="s">
        <v>17</v>
      </c>
      <c r="I838" t="s">
        <v>18</v>
      </c>
      <c r="J838" t="s">
        <v>19</v>
      </c>
      <c r="K838">
        <v>606</v>
      </c>
      <c r="L838">
        <v>0</v>
      </c>
      <c r="M838" t="s">
        <v>20</v>
      </c>
    </row>
    <row r="839" spans="1:13" x14ac:dyDescent="0.35">
      <c r="A839">
        <v>838</v>
      </c>
      <c r="B839">
        <v>583006184</v>
      </c>
      <c r="C839">
        <v>37315</v>
      </c>
      <c r="D839" t="s">
        <v>21</v>
      </c>
      <c r="E839" t="s">
        <v>360</v>
      </c>
      <c r="F839" t="s">
        <v>22</v>
      </c>
      <c r="G839" t="s">
        <v>23</v>
      </c>
      <c r="H839" t="s">
        <v>17</v>
      </c>
      <c r="I839" t="s">
        <v>18</v>
      </c>
      <c r="J839" t="s">
        <v>19</v>
      </c>
      <c r="K839">
        <v>396</v>
      </c>
      <c r="L839">
        <v>0</v>
      </c>
      <c r="M839" t="s">
        <v>20</v>
      </c>
    </row>
    <row r="840" spans="1:13" x14ac:dyDescent="0.35">
      <c r="A840">
        <v>839</v>
      </c>
      <c r="B840">
        <v>583006134</v>
      </c>
      <c r="C840">
        <v>37261</v>
      </c>
      <c r="D840" t="s">
        <v>101</v>
      </c>
      <c r="E840" t="s">
        <v>360</v>
      </c>
      <c r="F840" t="s">
        <v>102</v>
      </c>
      <c r="G840" t="s">
        <v>103</v>
      </c>
      <c r="H840" t="s">
        <v>17</v>
      </c>
      <c r="I840" t="s">
        <v>63</v>
      </c>
      <c r="J840" t="s">
        <v>64</v>
      </c>
      <c r="K840">
        <v>56</v>
      </c>
      <c r="L840">
        <v>92.4</v>
      </c>
      <c r="M840" t="s">
        <v>20</v>
      </c>
    </row>
    <row r="841" spans="1:13" x14ac:dyDescent="0.35">
      <c r="A841">
        <v>840</v>
      </c>
      <c r="B841">
        <v>583006134</v>
      </c>
      <c r="C841">
        <v>37261</v>
      </c>
      <c r="D841" t="s">
        <v>101</v>
      </c>
      <c r="E841" t="s">
        <v>360</v>
      </c>
      <c r="F841" t="s">
        <v>102</v>
      </c>
      <c r="G841" t="s">
        <v>103</v>
      </c>
      <c r="H841" t="s">
        <v>17</v>
      </c>
      <c r="I841" t="s">
        <v>63</v>
      </c>
      <c r="J841" t="s">
        <v>64</v>
      </c>
      <c r="K841">
        <v>168</v>
      </c>
      <c r="L841">
        <v>297.36</v>
      </c>
      <c r="M841" t="s">
        <v>20</v>
      </c>
    </row>
    <row r="842" spans="1:13" x14ac:dyDescent="0.35">
      <c r="A842">
        <v>841</v>
      </c>
      <c r="B842">
        <v>583006190</v>
      </c>
      <c r="C842">
        <v>37323</v>
      </c>
      <c r="D842" t="s">
        <v>29</v>
      </c>
      <c r="E842" t="s">
        <v>360</v>
      </c>
      <c r="F842" t="s">
        <v>30</v>
      </c>
      <c r="G842" t="s">
        <v>31</v>
      </c>
      <c r="H842" t="s">
        <v>17</v>
      </c>
      <c r="I842" t="s">
        <v>18</v>
      </c>
      <c r="J842" t="s">
        <v>19</v>
      </c>
      <c r="K842">
        <v>66</v>
      </c>
      <c r="L842">
        <v>0</v>
      </c>
      <c r="M842" t="s">
        <v>20</v>
      </c>
    </row>
    <row r="843" spans="1:13" x14ac:dyDescent="0.35">
      <c r="A843">
        <v>842</v>
      </c>
      <c r="B843">
        <v>583006189</v>
      </c>
      <c r="C843">
        <v>37321</v>
      </c>
      <c r="D843" t="s">
        <v>29</v>
      </c>
      <c r="E843" t="s">
        <v>360</v>
      </c>
      <c r="F843" t="s">
        <v>30</v>
      </c>
      <c r="G843" t="s">
        <v>31</v>
      </c>
      <c r="H843" t="s">
        <v>17</v>
      </c>
      <c r="I843" t="s">
        <v>18</v>
      </c>
      <c r="J843" t="s">
        <v>19</v>
      </c>
      <c r="K843">
        <v>36</v>
      </c>
      <c r="L843">
        <v>0</v>
      </c>
      <c r="M843" t="s">
        <v>20</v>
      </c>
    </row>
    <row r="844" spans="1:13" x14ac:dyDescent="0.35">
      <c r="A844">
        <v>843</v>
      </c>
      <c r="B844">
        <v>583006112</v>
      </c>
      <c r="C844">
        <v>37229</v>
      </c>
      <c r="D844" t="s">
        <v>364</v>
      </c>
      <c r="E844" t="s">
        <v>360</v>
      </c>
      <c r="F844" t="s">
        <v>365</v>
      </c>
      <c r="G844" t="s">
        <v>366</v>
      </c>
      <c r="H844" t="s">
        <v>17</v>
      </c>
      <c r="I844" t="s">
        <v>18</v>
      </c>
      <c r="J844" t="s">
        <v>19</v>
      </c>
      <c r="K844">
        <v>36</v>
      </c>
      <c r="L844">
        <v>0</v>
      </c>
      <c r="M844" t="s">
        <v>20</v>
      </c>
    </row>
    <row r="845" spans="1:13" x14ac:dyDescent="0.35">
      <c r="A845">
        <v>844</v>
      </c>
      <c r="B845">
        <v>583006195</v>
      </c>
      <c r="C845">
        <v>37328</v>
      </c>
      <c r="D845" t="s">
        <v>29</v>
      </c>
      <c r="E845" t="s">
        <v>360</v>
      </c>
      <c r="F845" t="s">
        <v>30</v>
      </c>
      <c r="G845" t="s">
        <v>31</v>
      </c>
      <c r="H845" t="s">
        <v>17</v>
      </c>
      <c r="I845" t="s">
        <v>18</v>
      </c>
      <c r="J845" t="s">
        <v>19</v>
      </c>
      <c r="K845">
        <v>45</v>
      </c>
      <c r="L845">
        <v>0</v>
      </c>
      <c r="M845" t="s">
        <v>20</v>
      </c>
    </row>
    <row r="846" spans="1:13" x14ac:dyDescent="0.35">
      <c r="A846">
        <v>845</v>
      </c>
      <c r="B846">
        <v>583006140</v>
      </c>
      <c r="C846">
        <v>37267</v>
      </c>
      <c r="D846" t="s">
        <v>45</v>
      </c>
      <c r="E846" t="s">
        <v>360</v>
      </c>
      <c r="F846" t="s">
        <v>46</v>
      </c>
      <c r="G846" t="s">
        <v>47</v>
      </c>
      <c r="H846" t="s">
        <v>17</v>
      </c>
      <c r="I846" t="s">
        <v>18</v>
      </c>
      <c r="J846" t="s">
        <v>19</v>
      </c>
      <c r="K846">
        <v>108</v>
      </c>
      <c r="L846">
        <v>0</v>
      </c>
      <c r="M846" t="s">
        <v>20</v>
      </c>
    </row>
    <row r="847" spans="1:13" x14ac:dyDescent="0.35">
      <c r="A847">
        <v>846</v>
      </c>
      <c r="B847">
        <v>583006174</v>
      </c>
      <c r="C847">
        <v>37305</v>
      </c>
      <c r="D847" t="s">
        <v>60</v>
      </c>
      <c r="E847" t="s">
        <v>360</v>
      </c>
      <c r="F847" t="s">
        <v>61</v>
      </c>
      <c r="G847" t="s">
        <v>62</v>
      </c>
      <c r="H847" t="s">
        <v>17</v>
      </c>
      <c r="I847" t="s">
        <v>18</v>
      </c>
      <c r="J847" t="s">
        <v>19</v>
      </c>
      <c r="K847">
        <v>81</v>
      </c>
      <c r="L847">
        <v>0</v>
      </c>
      <c r="M847" t="s">
        <v>20</v>
      </c>
    </row>
    <row r="848" spans="1:13" x14ac:dyDescent="0.35">
      <c r="A848">
        <v>847</v>
      </c>
      <c r="B848">
        <v>583006193</v>
      </c>
      <c r="C848">
        <v>37326</v>
      </c>
      <c r="D848" t="s">
        <v>29</v>
      </c>
      <c r="E848" t="s">
        <v>360</v>
      </c>
      <c r="F848" t="s">
        <v>30</v>
      </c>
      <c r="G848" t="s">
        <v>31</v>
      </c>
      <c r="H848" t="s">
        <v>17</v>
      </c>
      <c r="I848" t="s">
        <v>18</v>
      </c>
      <c r="J848" t="s">
        <v>19</v>
      </c>
      <c r="K848">
        <v>15</v>
      </c>
      <c r="L848">
        <v>0</v>
      </c>
      <c r="M848" t="s">
        <v>20</v>
      </c>
    </row>
    <row r="849" spans="1:13" x14ac:dyDescent="0.35">
      <c r="A849">
        <v>848</v>
      </c>
      <c r="B849">
        <v>583006128</v>
      </c>
      <c r="C849">
        <v>37252</v>
      </c>
      <c r="D849" t="s">
        <v>116</v>
      </c>
      <c r="E849" t="s">
        <v>360</v>
      </c>
      <c r="F849" t="s">
        <v>117</v>
      </c>
      <c r="G849" t="s">
        <v>118</v>
      </c>
      <c r="H849" t="s">
        <v>17</v>
      </c>
      <c r="I849" t="s">
        <v>18</v>
      </c>
      <c r="J849" t="s">
        <v>19</v>
      </c>
      <c r="K849">
        <v>3963</v>
      </c>
      <c r="L849">
        <v>0</v>
      </c>
      <c r="M849" t="s">
        <v>20</v>
      </c>
    </row>
    <row r="850" spans="1:13" x14ac:dyDescent="0.35">
      <c r="A850">
        <v>849</v>
      </c>
      <c r="B850">
        <v>583006139</v>
      </c>
      <c r="C850">
        <v>37266</v>
      </c>
      <c r="D850" t="s">
        <v>45</v>
      </c>
      <c r="E850" t="s">
        <v>360</v>
      </c>
      <c r="F850" t="s">
        <v>46</v>
      </c>
      <c r="G850" t="s">
        <v>47</v>
      </c>
      <c r="H850" t="s">
        <v>17</v>
      </c>
      <c r="I850" t="s">
        <v>18</v>
      </c>
      <c r="J850" t="s">
        <v>19</v>
      </c>
      <c r="K850">
        <v>108</v>
      </c>
      <c r="L850">
        <v>0</v>
      </c>
      <c r="M850" t="s">
        <v>20</v>
      </c>
    </row>
    <row r="851" spans="1:13" x14ac:dyDescent="0.35">
      <c r="A851">
        <v>850</v>
      </c>
      <c r="B851">
        <v>583006138</v>
      </c>
      <c r="C851">
        <v>37265</v>
      </c>
      <c r="D851" t="s">
        <v>45</v>
      </c>
      <c r="E851" t="s">
        <v>360</v>
      </c>
      <c r="F851" t="s">
        <v>46</v>
      </c>
      <c r="G851" t="s">
        <v>47</v>
      </c>
      <c r="H851" t="s">
        <v>17</v>
      </c>
      <c r="I851" t="s">
        <v>18</v>
      </c>
      <c r="J851" t="s">
        <v>19</v>
      </c>
      <c r="K851">
        <v>48</v>
      </c>
      <c r="L851">
        <v>0</v>
      </c>
      <c r="M851" t="s">
        <v>20</v>
      </c>
    </row>
    <row r="852" spans="1:13" x14ac:dyDescent="0.35">
      <c r="A852">
        <v>851</v>
      </c>
      <c r="B852">
        <v>583006137</v>
      </c>
      <c r="C852">
        <v>37264</v>
      </c>
      <c r="D852" t="s">
        <v>45</v>
      </c>
      <c r="E852" t="s">
        <v>360</v>
      </c>
      <c r="F852" t="s">
        <v>46</v>
      </c>
      <c r="G852" t="s">
        <v>47</v>
      </c>
      <c r="H852" t="s">
        <v>17</v>
      </c>
      <c r="I852" t="s">
        <v>18</v>
      </c>
      <c r="J852" t="s">
        <v>19</v>
      </c>
      <c r="K852">
        <v>36</v>
      </c>
      <c r="L852">
        <v>0</v>
      </c>
      <c r="M852" t="s">
        <v>20</v>
      </c>
    </row>
    <row r="853" spans="1:13" x14ac:dyDescent="0.35">
      <c r="A853">
        <v>852</v>
      </c>
      <c r="B853">
        <v>583006141</v>
      </c>
      <c r="C853">
        <v>37268</v>
      </c>
      <c r="D853" t="s">
        <v>45</v>
      </c>
      <c r="E853" t="s">
        <v>360</v>
      </c>
      <c r="F853" t="s">
        <v>46</v>
      </c>
      <c r="G853" t="s">
        <v>47</v>
      </c>
      <c r="H853" t="s">
        <v>17</v>
      </c>
      <c r="I853" t="s">
        <v>18</v>
      </c>
      <c r="J853" t="s">
        <v>19</v>
      </c>
      <c r="K853">
        <v>108</v>
      </c>
      <c r="L853">
        <v>0</v>
      </c>
      <c r="M853" t="s">
        <v>20</v>
      </c>
    </row>
    <row r="854" spans="1:13" x14ac:dyDescent="0.35">
      <c r="A854">
        <v>853</v>
      </c>
      <c r="B854">
        <v>583006135</v>
      </c>
      <c r="C854">
        <v>37262</v>
      </c>
      <c r="D854" t="s">
        <v>45</v>
      </c>
      <c r="E854" t="s">
        <v>360</v>
      </c>
      <c r="F854" t="s">
        <v>46</v>
      </c>
      <c r="G854" t="s">
        <v>47</v>
      </c>
      <c r="H854" t="s">
        <v>17</v>
      </c>
      <c r="I854" t="s">
        <v>18</v>
      </c>
      <c r="J854" t="s">
        <v>19</v>
      </c>
      <c r="K854">
        <v>108</v>
      </c>
      <c r="L854">
        <v>0</v>
      </c>
      <c r="M854" t="s">
        <v>20</v>
      </c>
    </row>
    <row r="855" spans="1:13" x14ac:dyDescent="0.35">
      <c r="A855">
        <v>854</v>
      </c>
      <c r="B855">
        <v>583006130</v>
      </c>
      <c r="C855">
        <v>37254</v>
      </c>
      <c r="D855" t="s">
        <v>116</v>
      </c>
      <c r="E855" t="s">
        <v>360</v>
      </c>
      <c r="F855" t="s">
        <v>117</v>
      </c>
      <c r="G855" t="s">
        <v>118</v>
      </c>
      <c r="H855" t="s">
        <v>17</v>
      </c>
      <c r="I855" t="s">
        <v>24</v>
      </c>
      <c r="J855" t="s">
        <v>25</v>
      </c>
      <c r="K855">
        <v>5</v>
      </c>
      <c r="L855">
        <v>0</v>
      </c>
      <c r="M855" t="s">
        <v>20</v>
      </c>
    </row>
    <row r="856" spans="1:13" x14ac:dyDescent="0.35">
      <c r="A856">
        <v>855</v>
      </c>
      <c r="B856">
        <v>583006194</v>
      </c>
      <c r="C856">
        <v>37327</v>
      </c>
      <c r="D856" t="s">
        <v>29</v>
      </c>
      <c r="E856" t="s">
        <v>360</v>
      </c>
      <c r="F856" t="s">
        <v>30</v>
      </c>
      <c r="G856" t="s">
        <v>31</v>
      </c>
      <c r="H856" t="s">
        <v>17</v>
      </c>
      <c r="I856" t="s">
        <v>18</v>
      </c>
      <c r="J856" t="s">
        <v>19</v>
      </c>
      <c r="K856">
        <v>96</v>
      </c>
      <c r="L856">
        <v>0</v>
      </c>
      <c r="M856" t="s">
        <v>20</v>
      </c>
    </row>
    <row r="857" spans="1:13" x14ac:dyDescent="0.35">
      <c r="A857">
        <v>856</v>
      </c>
      <c r="B857">
        <v>583006162</v>
      </c>
      <c r="C857">
        <v>37292</v>
      </c>
      <c r="D857" t="s">
        <v>21</v>
      </c>
      <c r="E857" t="s">
        <v>360</v>
      </c>
      <c r="F857" t="s">
        <v>22</v>
      </c>
      <c r="G857" t="s">
        <v>23</v>
      </c>
      <c r="H857" t="s">
        <v>17</v>
      </c>
      <c r="I857" t="s">
        <v>24</v>
      </c>
      <c r="J857" t="s">
        <v>25</v>
      </c>
      <c r="K857">
        <v>10</v>
      </c>
      <c r="L857">
        <v>0</v>
      </c>
      <c r="M857" t="s">
        <v>20</v>
      </c>
    </row>
    <row r="858" spans="1:13" x14ac:dyDescent="0.35">
      <c r="A858">
        <v>857</v>
      </c>
      <c r="B858">
        <v>583006169</v>
      </c>
      <c r="C858">
        <v>37300</v>
      </c>
      <c r="D858" t="s">
        <v>216</v>
      </c>
      <c r="E858" t="s">
        <v>360</v>
      </c>
      <c r="F858" t="s">
        <v>218</v>
      </c>
      <c r="G858" t="s">
        <v>219</v>
      </c>
      <c r="H858" t="s">
        <v>17</v>
      </c>
      <c r="I858" t="s">
        <v>24</v>
      </c>
      <c r="J858" t="s">
        <v>25</v>
      </c>
      <c r="K858">
        <v>11</v>
      </c>
      <c r="L858">
        <v>0</v>
      </c>
      <c r="M858" t="s">
        <v>20</v>
      </c>
    </row>
    <row r="859" spans="1:13" x14ac:dyDescent="0.35">
      <c r="A859">
        <v>858</v>
      </c>
      <c r="B859">
        <v>583006117</v>
      </c>
      <c r="C859">
        <v>37237</v>
      </c>
      <c r="D859" t="s">
        <v>21</v>
      </c>
      <c r="E859" t="s">
        <v>360</v>
      </c>
      <c r="F859" t="s">
        <v>22</v>
      </c>
      <c r="G859" t="s">
        <v>23</v>
      </c>
      <c r="H859" t="s">
        <v>17</v>
      </c>
      <c r="I859" t="s">
        <v>24</v>
      </c>
      <c r="J859" t="s">
        <v>74</v>
      </c>
      <c r="K859">
        <v>1</v>
      </c>
      <c r="L859">
        <v>0</v>
      </c>
      <c r="M859" t="s">
        <v>20</v>
      </c>
    </row>
    <row r="860" spans="1:13" x14ac:dyDescent="0.35">
      <c r="A860">
        <v>859</v>
      </c>
      <c r="B860">
        <v>583006117</v>
      </c>
      <c r="C860">
        <v>37237</v>
      </c>
      <c r="D860" t="s">
        <v>21</v>
      </c>
      <c r="E860" t="s">
        <v>360</v>
      </c>
      <c r="F860" t="s">
        <v>22</v>
      </c>
      <c r="G860" t="s">
        <v>23</v>
      </c>
      <c r="H860" t="s">
        <v>17</v>
      </c>
      <c r="I860" t="s">
        <v>24</v>
      </c>
      <c r="J860" t="s">
        <v>25</v>
      </c>
      <c r="K860">
        <v>8</v>
      </c>
      <c r="L860">
        <v>0</v>
      </c>
      <c r="M860" t="s">
        <v>20</v>
      </c>
    </row>
    <row r="861" spans="1:13" x14ac:dyDescent="0.35">
      <c r="A861">
        <v>860</v>
      </c>
      <c r="B861">
        <v>583006172</v>
      </c>
      <c r="C861">
        <v>37303</v>
      </c>
      <c r="D861" t="s">
        <v>60</v>
      </c>
      <c r="E861" t="s">
        <v>360</v>
      </c>
      <c r="F861" t="s">
        <v>61</v>
      </c>
      <c r="G861" t="s">
        <v>62</v>
      </c>
      <c r="H861" t="s">
        <v>17</v>
      </c>
      <c r="I861" t="s">
        <v>18</v>
      </c>
      <c r="J861" t="s">
        <v>19</v>
      </c>
      <c r="K861">
        <v>72</v>
      </c>
      <c r="L861">
        <v>0</v>
      </c>
      <c r="M861" t="s">
        <v>20</v>
      </c>
    </row>
    <row r="862" spans="1:13" x14ac:dyDescent="0.35">
      <c r="A862">
        <v>861</v>
      </c>
      <c r="B862">
        <v>583006167</v>
      </c>
      <c r="C862">
        <v>37298</v>
      </c>
      <c r="D862" t="s">
        <v>60</v>
      </c>
      <c r="E862" t="s">
        <v>360</v>
      </c>
      <c r="F862" t="s">
        <v>61</v>
      </c>
      <c r="G862" t="s">
        <v>62</v>
      </c>
      <c r="H862" t="s">
        <v>17</v>
      </c>
      <c r="I862" t="s">
        <v>18</v>
      </c>
      <c r="J862" t="s">
        <v>19</v>
      </c>
      <c r="K862">
        <v>18</v>
      </c>
      <c r="L862">
        <v>0</v>
      </c>
      <c r="M862" t="s">
        <v>20</v>
      </c>
    </row>
    <row r="863" spans="1:13" x14ac:dyDescent="0.35">
      <c r="A863">
        <v>862</v>
      </c>
      <c r="B863">
        <v>583006173</v>
      </c>
      <c r="C863">
        <v>37304</v>
      </c>
      <c r="D863" t="s">
        <v>60</v>
      </c>
      <c r="E863" t="s">
        <v>360</v>
      </c>
      <c r="F863" t="s">
        <v>61</v>
      </c>
      <c r="G863" t="s">
        <v>62</v>
      </c>
      <c r="H863" t="s">
        <v>17</v>
      </c>
      <c r="I863" t="s">
        <v>18</v>
      </c>
      <c r="J863" t="s">
        <v>19</v>
      </c>
      <c r="K863">
        <v>90</v>
      </c>
      <c r="L863">
        <v>0</v>
      </c>
      <c r="M863" t="s">
        <v>20</v>
      </c>
    </row>
    <row r="864" spans="1:13" x14ac:dyDescent="0.35">
      <c r="A864">
        <v>863</v>
      </c>
      <c r="B864">
        <v>583006188</v>
      </c>
      <c r="C864">
        <v>37320</v>
      </c>
      <c r="D864" t="s">
        <v>29</v>
      </c>
      <c r="E864" t="s">
        <v>360</v>
      </c>
      <c r="F864" t="s">
        <v>30</v>
      </c>
      <c r="G864" t="s">
        <v>31</v>
      </c>
      <c r="H864" t="s">
        <v>17</v>
      </c>
      <c r="I864" t="s">
        <v>18</v>
      </c>
      <c r="J864" t="s">
        <v>19</v>
      </c>
      <c r="K864">
        <v>60</v>
      </c>
      <c r="L864">
        <v>0</v>
      </c>
      <c r="M864" t="s">
        <v>20</v>
      </c>
    </row>
    <row r="865" spans="1:13" x14ac:dyDescent="0.35">
      <c r="A865">
        <v>864</v>
      </c>
      <c r="B865">
        <v>583006187</v>
      </c>
      <c r="C865">
        <v>37319</v>
      </c>
      <c r="D865" t="s">
        <v>29</v>
      </c>
      <c r="E865" t="s">
        <v>360</v>
      </c>
      <c r="F865" t="s">
        <v>30</v>
      </c>
      <c r="G865" t="s">
        <v>31</v>
      </c>
      <c r="H865" t="s">
        <v>17</v>
      </c>
      <c r="I865" t="s">
        <v>18</v>
      </c>
      <c r="J865" t="s">
        <v>19</v>
      </c>
      <c r="K865">
        <v>90</v>
      </c>
      <c r="L865">
        <v>0</v>
      </c>
      <c r="M865" t="s">
        <v>20</v>
      </c>
    </row>
    <row r="866" spans="1:13" x14ac:dyDescent="0.35">
      <c r="A866">
        <v>865</v>
      </c>
      <c r="B866">
        <v>583006186</v>
      </c>
      <c r="C866">
        <v>37318</v>
      </c>
      <c r="D866" t="s">
        <v>29</v>
      </c>
      <c r="E866" t="s">
        <v>360</v>
      </c>
      <c r="F866" t="s">
        <v>30</v>
      </c>
      <c r="G866" t="s">
        <v>31</v>
      </c>
      <c r="H866" t="s">
        <v>17</v>
      </c>
      <c r="I866" t="s">
        <v>18</v>
      </c>
      <c r="J866" t="s">
        <v>19</v>
      </c>
      <c r="K866">
        <v>72</v>
      </c>
      <c r="L866">
        <v>0</v>
      </c>
      <c r="M866" t="s">
        <v>20</v>
      </c>
    </row>
    <row r="867" spans="1:13" x14ac:dyDescent="0.35">
      <c r="A867">
        <v>866</v>
      </c>
      <c r="B867">
        <v>583006192</v>
      </c>
      <c r="C867">
        <v>37325</v>
      </c>
      <c r="D867" t="s">
        <v>29</v>
      </c>
      <c r="E867" t="s">
        <v>360</v>
      </c>
      <c r="F867" t="s">
        <v>30</v>
      </c>
      <c r="G867" t="s">
        <v>31</v>
      </c>
      <c r="H867" t="s">
        <v>17</v>
      </c>
      <c r="I867" t="s">
        <v>18</v>
      </c>
      <c r="J867" t="s">
        <v>19</v>
      </c>
      <c r="K867">
        <v>180</v>
      </c>
      <c r="L867">
        <v>0</v>
      </c>
      <c r="M867" t="s">
        <v>20</v>
      </c>
    </row>
    <row r="868" spans="1:13" x14ac:dyDescent="0.35">
      <c r="A868">
        <v>867</v>
      </c>
      <c r="B868">
        <v>583006114</v>
      </c>
      <c r="C868">
        <v>37233</v>
      </c>
      <c r="D868" t="s">
        <v>122</v>
      </c>
      <c r="E868" t="s">
        <v>360</v>
      </c>
      <c r="F868" t="s">
        <v>123</v>
      </c>
      <c r="G868" t="s">
        <v>124</v>
      </c>
      <c r="H868" t="s">
        <v>17</v>
      </c>
      <c r="I868" t="s">
        <v>18</v>
      </c>
      <c r="J868" t="s">
        <v>19</v>
      </c>
      <c r="K868">
        <v>12</v>
      </c>
      <c r="L868">
        <v>0</v>
      </c>
      <c r="M868" t="s">
        <v>20</v>
      </c>
    </row>
    <row r="869" spans="1:13" x14ac:dyDescent="0.35">
      <c r="A869">
        <v>868</v>
      </c>
      <c r="B869">
        <v>583006255</v>
      </c>
      <c r="C869">
        <v>37406</v>
      </c>
      <c r="D869" t="s">
        <v>147</v>
      </c>
      <c r="E869" t="s">
        <v>367</v>
      </c>
      <c r="F869" t="s">
        <v>148</v>
      </c>
      <c r="G869" t="s">
        <v>149</v>
      </c>
      <c r="H869" t="s">
        <v>17</v>
      </c>
      <c r="I869" t="s">
        <v>18</v>
      </c>
      <c r="J869" t="s">
        <v>19</v>
      </c>
      <c r="K869">
        <v>18</v>
      </c>
      <c r="L869">
        <v>0</v>
      </c>
      <c r="M869" t="s">
        <v>20</v>
      </c>
    </row>
    <row r="870" spans="1:13" x14ac:dyDescent="0.35">
      <c r="A870">
        <v>869</v>
      </c>
      <c r="B870">
        <v>583006233</v>
      </c>
      <c r="C870">
        <v>37378</v>
      </c>
      <c r="D870" t="s">
        <v>328</v>
      </c>
      <c r="E870" t="s">
        <v>367</v>
      </c>
      <c r="F870" t="s">
        <v>329</v>
      </c>
      <c r="G870" t="s">
        <v>330</v>
      </c>
      <c r="H870" t="s">
        <v>17</v>
      </c>
      <c r="I870" t="s">
        <v>18</v>
      </c>
      <c r="J870" t="s">
        <v>19</v>
      </c>
      <c r="K870">
        <v>2943</v>
      </c>
      <c r="L870">
        <v>0</v>
      </c>
      <c r="M870" t="s">
        <v>20</v>
      </c>
    </row>
    <row r="871" spans="1:13" x14ac:dyDescent="0.35">
      <c r="A871">
        <v>870</v>
      </c>
      <c r="B871">
        <v>583006253</v>
      </c>
      <c r="C871">
        <v>37404</v>
      </c>
      <c r="D871" t="s">
        <v>147</v>
      </c>
      <c r="E871" t="s">
        <v>367</v>
      </c>
      <c r="F871" t="s">
        <v>148</v>
      </c>
      <c r="G871" t="s">
        <v>149</v>
      </c>
      <c r="H871" t="s">
        <v>17</v>
      </c>
      <c r="I871" t="s">
        <v>18</v>
      </c>
      <c r="J871" t="s">
        <v>19</v>
      </c>
      <c r="K871">
        <v>36</v>
      </c>
      <c r="L871">
        <v>0</v>
      </c>
      <c r="M871" t="s">
        <v>20</v>
      </c>
    </row>
    <row r="872" spans="1:13" x14ac:dyDescent="0.35">
      <c r="A872">
        <v>871</v>
      </c>
      <c r="B872">
        <v>583006253</v>
      </c>
      <c r="C872">
        <v>37404</v>
      </c>
      <c r="D872" t="s">
        <v>147</v>
      </c>
      <c r="E872" t="s">
        <v>367</v>
      </c>
      <c r="F872" t="s">
        <v>148</v>
      </c>
      <c r="G872" t="s">
        <v>149</v>
      </c>
      <c r="H872" t="s">
        <v>17</v>
      </c>
      <c r="I872" t="s">
        <v>18</v>
      </c>
      <c r="J872" t="s">
        <v>19</v>
      </c>
      <c r="K872">
        <v>144</v>
      </c>
      <c r="L872">
        <v>0</v>
      </c>
      <c r="M872" t="s">
        <v>20</v>
      </c>
    </row>
    <row r="873" spans="1:13" x14ac:dyDescent="0.35">
      <c r="A873">
        <v>872</v>
      </c>
      <c r="B873">
        <v>583006214</v>
      </c>
      <c r="C873">
        <v>37353</v>
      </c>
      <c r="D873" t="s">
        <v>368</v>
      </c>
      <c r="E873" t="s">
        <v>367</v>
      </c>
      <c r="F873" t="s">
        <v>369</v>
      </c>
      <c r="G873" t="s">
        <v>370</v>
      </c>
      <c r="H873" t="s">
        <v>17</v>
      </c>
      <c r="I873" t="s">
        <v>18</v>
      </c>
      <c r="J873" t="s">
        <v>19</v>
      </c>
      <c r="K873">
        <v>45</v>
      </c>
      <c r="L873">
        <v>0</v>
      </c>
      <c r="M873" t="s">
        <v>20</v>
      </c>
    </row>
    <row r="874" spans="1:13" x14ac:dyDescent="0.35">
      <c r="A874">
        <v>873</v>
      </c>
      <c r="B874">
        <v>583006217</v>
      </c>
      <c r="C874">
        <v>37356</v>
      </c>
      <c r="D874" t="s">
        <v>53</v>
      </c>
      <c r="E874" t="s">
        <v>367</v>
      </c>
      <c r="F874" t="s">
        <v>54</v>
      </c>
      <c r="G874" t="s">
        <v>55</v>
      </c>
      <c r="H874" t="s">
        <v>17</v>
      </c>
      <c r="I874" t="s">
        <v>18</v>
      </c>
      <c r="J874" t="s">
        <v>19</v>
      </c>
      <c r="K874">
        <v>9</v>
      </c>
      <c r="L874">
        <v>0</v>
      </c>
      <c r="M874" t="s">
        <v>20</v>
      </c>
    </row>
    <row r="875" spans="1:13" x14ac:dyDescent="0.35">
      <c r="A875">
        <v>874</v>
      </c>
      <c r="B875">
        <v>583006216</v>
      </c>
      <c r="C875">
        <v>37355</v>
      </c>
      <c r="D875" t="s">
        <v>53</v>
      </c>
      <c r="E875" t="s">
        <v>367</v>
      </c>
      <c r="F875" t="s">
        <v>54</v>
      </c>
      <c r="G875" t="s">
        <v>55</v>
      </c>
      <c r="H875" t="s">
        <v>17</v>
      </c>
      <c r="I875" t="s">
        <v>18</v>
      </c>
      <c r="J875" t="s">
        <v>19</v>
      </c>
      <c r="K875">
        <v>36</v>
      </c>
      <c r="L875">
        <v>0</v>
      </c>
      <c r="M875" t="s">
        <v>20</v>
      </c>
    </row>
    <row r="876" spans="1:13" x14ac:dyDescent="0.35">
      <c r="A876">
        <v>875</v>
      </c>
      <c r="B876">
        <v>583006254</v>
      </c>
      <c r="C876">
        <v>37405</v>
      </c>
      <c r="D876" t="s">
        <v>147</v>
      </c>
      <c r="E876" t="s">
        <v>367</v>
      </c>
      <c r="F876" t="s">
        <v>148</v>
      </c>
      <c r="G876" t="s">
        <v>149</v>
      </c>
      <c r="H876" t="s">
        <v>17</v>
      </c>
      <c r="I876" t="s">
        <v>18</v>
      </c>
      <c r="J876" t="s">
        <v>19</v>
      </c>
      <c r="K876">
        <v>72</v>
      </c>
      <c r="L876">
        <v>0</v>
      </c>
      <c r="M876" t="s">
        <v>20</v>
      </c>
    </row>
    <row r="877" spans="1:13" x14ac:dyDescent="0.35">
      <c r="A877">
        <v>876</v>
      </c>
      <c r="B877">
        <v>583006233</v>
      </c>
      <c r="C877">
        <v>37378</v>
      </c>
      <c r="D877" t="s">
        <v>328</v>
      </c>
      <c r="E877" t="s">
        <v>367</v>
      </c>
      <c r="F877" t="s">
        <v>329</v>
      </c>
      <c r="G877" t="s">
        <v>330</v>
      </c>
      <c r="H877" t="s">
        <v>17</v>
      </c>
      <c r="I877" t="s">
        <v>18</v>
      </c>
      <c r="J877" t="s">
        <v>19</v>
      </c>
      <c r="K877">
        <v>684</v>
      </c>
      <c r="L877">
        <v>0</v>
      </c>
      <c r="M877" t="s">
        <v>20</v>
      </c>
    </row>
    <row r="878" spans="1:13" x14ac:dyDescent="0.35">
      <c r="A878">
        <v>877</v>
      </c>
      <c r="B878">
        <v>583006233</v>
      </c>
      <c r="C878">
        <v>37378</v>
      </c>
      <c r="D878" t="s">
        <v>328</v>
      </c>
      <c r="E878" t="s">
        <v>367</v>
      </c>
      <c r="F878" t="s">
        <v>329</v>
      </c>
      <c r="G878" t="s">
        <v>330</v>
      </c>
      <c r="H878" t="s">
        <v>17</v>
      </c>
      <c r="I878" t="s">
        <v>18</v>
      </c>
      <c r="J878" t="s">
        <v>19</v>
      </c>
      <c r="K878">
        <v>252</v>
      </c>
      <c r="L878">
        <v>0</v>
      </c>
      <c r="M878" t="s">
        <v>20</v>
      </c>
    </row>
    <row r="879" spans="1:13" x14ac:dyDescent="0.35">
      <c r="A879">
        <v>878</v>
      </c>
      <c r="B879">
        <v>583006251</v>
      </c>
      <c r="C879">
        <v>37402</v>
      </c>
      <c r="D879" t="s">
        <v>147</v>
      </c>
      <c r="E879" t="s">
        <v>367</v>
      </c>
      <c r="F879" t="s">
        <v>148</v>
      </c>
      <c r="G879" t="s">
        <v>149</v>
      </c>
      <c r="H879" t="s">
        <v>17</v>
      </c>
      <c r="I879" t="s">
        <v>18</v>
      </c>
      <c r="J879" t="s">
        <v>19</v>
      </c>
      <c r="K879">
        <v>36</v>
      </c>
      <c r="L879">
        <v>0</v>
      </c>
      <c r="M879" t="s">
        <v>20</v>
      </c>
    </row>
    <row r="880" spans="1:13" x14ac:dyDescent="0.35">
      <c r="A880">
        <v>879</v>
      </c>
      <c r="B880">
        <v>583006244</v>
      </c>
      <c r="C880">
        <v>37395</v>
      </c>
      <c r="D880" t="s">
        <v>371</v>
      </c>
      <c r="E880" t="s">
        <v>367</v>
      </c>
      <c r="F880" t="s">
        <v>372</v>
      </c>
      <c r="G880" t="s">
        <v>373</v>
      </c>
      <c r="H880" t="s">
        <v>17</v>
      </c>
      <c r="I880" t="s">
        <v>18</v>
      </c>
      <c r="J880" t="s">
        <v>19</v>
      </c>
      <c r="K880">
        <v>924</v>
      </c>
      <c r="L880">
        <v>0</v>
      </c>
      <c r="M880" t="s">
        <v>20</v>
      </c>
    </row>
    <row r="881" spans="1:13" x14ac:dyDescent="0.35">
      <c r="A881">
        <v>880</v>
      </c>
      <c r="B881">
        <v>583006209</v>
      </c>
      <c r="C881">
        <v>37348</v>
      </c>
      <c r="D881" t="s">
        <v>110</v>
      </c>
      <c r="E881" t="s">
        <v>367</v>
      </c>
      <c r="F881" t="s">
        <v>111</v>
      </c>
      <c r="G881" t="s">
        <v>112</v>
      </c>
      <c r="H881" t="s">
        <v>17</v>
      </c>
      <c r="I881" t="s">
        <v>18</v>
      </c>
      <c r="J881" t="s">
        <v>19</v>
      </c>
      <c r="K881">
        <v>36</v>
      </c>
      <c r="L881">
        <v>0</v>
      </c>
      <c r="M881" t="s">
        <v>20</v>
      </c>
    </row>
    <row r="882" spans="1:13" x14ac:dyDescent="0.35">
      <c r="A882">
        <v>881</v>
      </c>
      <c r="B882">
        <v>583006244</v>
      </c>
      <c r="C882">
        <v>37395</v>
      </c>
      <c r="D882" t="s">
        <v>371</v>
      </c>
      <c r="E882" t="s">
        <v>367</v>
      </c>
      <c r="F882" t="s">
        <v>372</v>
      </c>
      <c r="G882" t="s">
        <v>373</v>
      </c>
      <c r="H882" t="s">
        <v>17</v>
      </c>
      <c r="I882" t="s">
        <v>18</v>
      </c>
      <c r="J882" t="s">
        <v>19</v>
      </c>
      <c r="K882">
        <v>576</v>
      </c>
      <c r="L882">
        <v>0</v>
      </c>
      <c r="M882" t="s">
        <v>20</v>
      </c>
    </row>
    <row r="883" spans="1:13" x14ac:dyDescent="0.35">
      <c r="A883">
        <v>882</v>
      </c>
      <c r="B883">
        <v>583006244</v>
      </c>
      <c r="C883">
        <v>37395</v>
      </c>
      <c r="D883" t="s">
        <v>371</v>
      </c>
      <c r="E883" t="s">
        <v>367</v>
      </c>
      <c r="F883" t="s">
        <v>372</v>
      </c>
      <c r="G883" t="s">
        <v>373</v>
      </c>
      <c r="H883" t="s">
        <v>17</v>
      </c>
      <c r="I883" t="s">
        <v>18</v>
      </c>
      <c r="J883" t="s">
        <v>19</v>
      </c>
      <c r="K883">
        <v>180</v>
      </c>
      <c r="L883">
        <v>0</v>
      </c>
      <c r="M883" t="s">
        <v>20</v>
      </c>
    </row>
    <row r="884" spans="1:13" x14ac:dyDescent="0.35">
      <c r="A884">
        <v>883</v>
      </c>
      <c r="B884">
        <v>583006244</v>
      </c>
      <c r="C884">
        <v>37395</v>
      </c>
      <c r="D884" t="s">
        <v>371</v>
      </c>
      <c r="E884" t="s">
        <v>367</v>
      </c>
      <c r="F884" t="s">
        <v>372</v>
      </c>
      <c r="G884" t="s">
        <v>373</v>
      </c>
      <c r="H884" t="s">
        <v>17</v>
      </c>
      <c r="I884" t="s">
        <v>18</v>
      </c>
      <c r="J884" t="s">
        <v>19</v>
      </c>
      <c r="K884">
        <v>216</v>
      </c>
      <c r="L884">
        <v>0</v>
      </c>
      <c r="M884" t="s">
        <v>20</v>
      </c>
    </row>
    <row r="885" spans="1:13" x14ac:dyDescent="0.35">
      <c r="A885">
        <v>884</v>
      </c>
      <c r="B885">
        <v>583006289</v>
      </c>
      <c r="C885">
        <v>37455</v>
      </c>
      <c r="D885" t="s">
        <v>116</v>
      </c>
      <c r="E885" t="s">
        <v>367</v>
      </c>
      <c r="F885" t="s">
        <v>117</v>
      </c>
      <c r="G885" t="s">
        <v>118</v>
      </c>
      <c r="H885" t="s">
        <v>17</v>
      </c>
      <c r="I885" t="s">
        <v>24</v>
      </c>
      <c r="J885" t="s">
        <v>74</v>
      </c>
      <c r="K885">
        <v>100</v>
      </c>
      <c r="L885">
        <v>0</v>
      </c>
      <c r="M885" t="s">
        <v>20</v>
      </c>
    </row>
    <row r="886" spans="1:13" x14ac:dyDescent="0.35">
      <c r="A886">
        <v>885</v>
      </c>
      <c r="B886">
        <v>583006246</v>
      </c>
      <c r="C886">
        <v>37397</v>
      </c>
      <c r="D886" t="s">
        <v>116</v>
      </c>
      <c r="E886" t="s">
        <v>367</v>
      </c>
      <c r="F886" t="s">
        <v>117</v>
      </c>
      <c r="G886" t="s">
        <v>118</v>
      </c>
      <c r="H886" t="s">
        <v>17</v>
      </c>
      <c r="I886" t="s">
        <v>18</v>
      </c>
      <c r="J886" t="s">
        <v>19</v>
      </c>
      <c r="K886">
        <v>3300</v>
      </c>
      <c r="L886">
        <v>0</v>
      </c>
      <c r="M886" t="s">
        <v>20</v>
      </c>
    </row>
    <row r="887" spans="1:13" x14ac:dyDescent="0.35">
      <c r="A887">
        <v>886</v>
      </c>
      <c r="B887">
        <v>583006249</v>
      </c>
      <c r="C887">
        <v>37400</v>
      </c>
      <c r="D887" t="s">
        <v>147</v>
      </c>
      <c r="E887" t="s">
        <v>367</v>
      </c>
      <c r="F887" t="s">
        <v>148</v>
      </c>
      <c r="G887" t="s">
        <v>149</v>
      </c>
      <c r="H887" t="s">
        <v>17</v>
      </c>
      <c r="I887" t="s">
        <v>18</v>
      </c>
      <c r="J887" t="s">
        <v>19</v>
      </c>
      <c r="K887">
        <v>72</v>
      </c>
      <c r="L887">
        <v>0</v>
      </c>
      <c r="M887" t="s">
        <v>20</v>
      </c>
    </row>
    <row r="888" spans="1:13" x14ac:dyDescent="0.35">
      <c r="A888">
        <v>887</v>
      </c>
      <c r="B888">
        <v>583006289</v>
      </c>
      <c r="C888">
        <v>37455</v>
      </c>
      <c r="D888" t="s">
        <v>116</v>
      </c>
      <c r="E888" t="s">
        <v>367</v>
      </c>
      <c r="F888" t="s">
        <v>117</v>
      </c>
      <c r="G888" t="s">
        <v>118</v>
      </c>
      <c r="H888" t="s">
        <v>17</v>
      </c>
      <c r="I888" t="s">
        <v>24</v>
      </c>
      <c r="J888" t="s">
        <v>25</v>
      </c>
      <c r="K888">
        <v>450</v>
      </c>
      <c r="L888">
        <v>0</v>
      </c>
      <c r="M888" t="s">
        <v>20</v>
      </c>
    </row>
    <row r="889" spans="1:13" x14ac:dyDescent="0.35">
      <c r="A889">
        <v>888</v>
      </c>
      <c r="B889">
        <v>583006239</v>
      </c>
      <c r="C889">
        <v>37386</v>
      </c>
      <c r="D889" t="s">
        <v>153</v>
      </c>
      <c r="E889" t="s">
        <v>367</v>
      </c>
      <c r="F889" t="s">
        <v>154</v>
      </c>
      <c r="G889" t="s">
        <v>155</v>
      </c>
      <c r="H889" t="s">
        <v>17</v>
      </c>
      <c r="I889" t="s">
        <v>18</v>
      </c>
      <c r="J889" t="s">
        <v>19</v>
      </c>
      <c r="K889">
        <v>912</v>
      </c>
      <c r="L889">
        <v>0</v>
      </c>
      <c r="M889" t="s">
        <v>20</v>
      </c>
    </row>
    <row r="890" spans="1:13" x14ac:dyDescent="0.35">
      <c r="A890">
        <v>889</v>
      </c>
      <c r="B890">
        <v>583006250</v>
      </c>
      <c r="C890">
        <v>37401</v>
      </c>
      <c r="D890" t="s">
        <v>147</v>
      </c>
      <c r="E890" t="s">
        <v>367</v>
      </c>
      <c r="F890" t="s">
        <v>148</v>
      </c>
      <c r="G890" t="s">
        <v>149</v>
      </c>
      <c r="H890" t="s">
        <v>17</v>
      </c>
      <c r="I890" t="s">
        <v>18</v>
      </c>
      <c r="J890" t="s">
        <v>19</v>
      </c>
      <c r="K890">
        <v>135</v>
      </c>
      <c r="L890">
        <v>0</v>
      </c>
      <c r="M890" t="s">
        <v>20</v>
      </c>
    </row>
    <row r="891" spans="1:13" x14ac:dyDescent="0.35">
      <c r="A891">
        <v>890</v>
      </c>
      <c r="B891">
        <v>583006240</v>
      </c>
      <c r="C891">
        <v>37387</v>
      </c>
      <c r="D891" t="s">
        <v>153</v>
      </c>
      <c r="E891" t="s">
        <v>367</v>
      </c>
      <c r="F891" t="s">
        <v>154</v>
      </c>
      <c r="G891" t="s">
        <v>155</v>
      </c>
      <c r="H891" t="s">
        <v>17</v>
      </c>
      <c r="I891" t="s">
        <v>135</v>
      </c>
      <c r="J891" t="s">
        <v>19</v>
      </c>
      <c r="K891">
        <v>3000</v>
      </c>
      <c r="L891">
        <v>0</v>
      </c>
      <c r="M891" t="s">
        <v>20</v>
      </c>
    </row>
    <row r="892" spans="1:13" x14ac:dyDescent="0.35">
      <c r="A892">
        <v>891</v>
      </c>
      <c r="B892">
        <v>583006238</v>
      </c>
      <c r="C892">
        <v>37385</v>
      </c>
      <c r="D892" t="s">
        <v>153</v>
      </c>
      <c r="E892" t="s">
        <v>367</v>
      </c>
      <c r="F892" t="s">
        <v>154</v>
      </c>
      <c r="G892" t="s">
        <v>155</v>
      </c>
      <c r="H892" t="s">
        <v>17</v>
      </c>
      <c r="I892" t="s">
        <v>24</v>
      </c>
      <c r="J892" t="s">
        <v>25</v>
      </c>
      <c r="K892">
        <v>2</v>
      </c>
      <c r="L892">
        <v>0</v>
      </c>
      <c r="M892" t="s">
        <v>20</v>
      </c>
    </row>
    <row r="893" spans="1:13" x14ac:dyDescent="0.35">
      <c r="A893">
        <v>892</v>
      </c>
      <c r="B893">
        <v>583006286</v>
      </c>
      <c r="C893">
        <v>37452</v>
      </c>
      <c r="D893" t="s">
        <v>116</v>
      </c>
      <c r="E893" t="s">
        <v>367</v>
      </c>
      <c r="F893" t="s">
        <v>117</v>
      </c>
      <c r="G893" t="s">
        <v>118</v>
      </c>
      <c r="H893" t="s">
        <v>17</v>
      </c>
      <c r="I893" t="s">
        <v>18</v>
      </c>
      <c r="J893" t="s">
        <v>19</v>
      </c>
      <c r="K893">
        <v>7065</v>
      </c>
      <c r="L893">
        <v>0</v>
      </c>
      <c r="M893" t="s">
        <v>20</v>
      </c>
    </row>
    <row r="894" spans="1:13" x14ac:dyDescent="0.35">
      <c r="A894">
        <v>893</v>
      </c>
      <c r="B894">
        <v>583006236</v>
      </c>
      <c r="C894">
        <v>37381</v>
      </c>
      <c r="D894" t="s">
        <v>328</v>
      </c>
      <c r="E894" t="s">
        <v>367</v>
      </c>
      <c r="F894" t="s">
        <v>329</v>
      </c>
      <c r="G894" t="s">
        <v>330</v>
      </c>
      <c r="H894" t="s">
        <v>17</v>
      </c>
      <c r="I894" t="s">
        <v>135</v>
      </c>
      <c r="J894" t="s">
        <v>19</v>
      </c>
      <c r="K894">
        <v>60</v>
      </c>
      <c r="L894">
        <v>0</v>
      </c>
      <c r="M894" t="s">
        <v>20</v>
      </c>
    </row>
    <row r="895" spans="1:13" x14ac:dyDescent="0.35">
      <c r="A895">
        <v>894</v>
      </c>
      <c r="B895">
        <v>583006235</v>
      </c>
      <c r="C895">
        <v>37380</v>
      </c>
      <c r="D895" t="s">
        <v>328</v>
      </c>
      <c r="E895" t="s">
        <v>367</v>
      </c>
      <c r="F895" t="s">
        <v>329</v>
      </c>
      <c r="G895" t="s">
        <v>330</v>
      </c>
      <c r="H895" t="s">
        <v>17</v>
      </c>
      <c r="I895" t="s">
        <v>35</v>
      </c>
      <c r="J895" t="s">
        <v>25</v>
      </c>
      <c r="K895">
        <v>5</v>
      </c>
      <c r="L895">
        <v>0</v>
      </c>
      <c r="M895" t="s">
        <v>20</v>
      </c>
    </row>
    <row r="896" spans="1:13" x14ac:dyDescent="0.35">
      <c r="A896">
        <v>895</v>
      </c>
      <c r="B896">
        <v>583006200</v>
      </c>
      <c r="C896">
        <v>37338</v>
      </c>
      <c r="D896" t="s">
        <v>374</v>
      </c>
      <c r="E896" t="s">
        <v>367</v>
      </c>
      <c r="F896" t="s">
        <v>375</v>
      </c>
      <c r="G896" t="s">
        <v>376</v>
      </c>
      <c r="H896" t="s">
        <v>17</v>
      </c>
      <c r="I896" t="s">
        <v>18</v>
      </c>
      <c r="J896" t="s">
        <v>19</v>
      </c>
      <c r="K896">
        <v>45</v>
      </c>
      <c r="L896">
        <v>0</v>
      </c>
      <c r="M896" t="s">
        <v>20</v>
      </c>
    </row>
    <row r="897" spans="1:13" x14ac:dyDescent="0.35">
      <c r="A897">
        <v>896</v>
      </c>
      <c r="B897">
        <v>583006221</v>
      </c>
      <c r="C897">
        <v>37360</v>
      </c>
      <c r="D897" t="s">
        <v>371</v>
      </c>
      <c r="E897" t="s">
        <v>367</v>
      </c>
      <c r="F897" t="s">
        <v>372</v>
      </c>
      <c r="G897" t="s">
        <v>373</v>
      </c>
      <c r="H897" t="s">
        <v>17</v>
      </c>
      <c r="I897" t="s">
        <v>18</v>
      </c>
      <c r="J897" t="s">
        <v>19</v>
      </c>
      <c r="K897">
        <v>36</v>
      </c>
      <c r="L897">
        <v>0</v>
      </c>
      <c r="M897" t="s">
        <v>20</v>
      </c>
    </row>
    <row r="898" spans="1:13" x14ac:dyDescent="0.35">
      <c r="A898">
        <v>897</v>
      </c>
      <c r="B898">
        <v>583006256</v>
      </c>
      <c r="C898">
        <v>37408</v>
      </c>
      <c r="D898" t="s">
        <v>116</v>
      </c>
      <c r="E898" t="s">
        <v>367</v>
      </c>
      <c r="F898" t="s">
        <v>117</v>
      </c>
      <c r="G898" t="s">
        <v>118</v>
      </c>
      <c r="H898" t="s">
        <v>17</v>
      </c>
      <c r="I898" t="s">
        <v>18</v>
      </c>
      <c r="J898" t="s">
        <v>19</v>
      </c>
      <c r="K898">
        <v>3300</v>
      </c>
      <c r="L898">
        <v>0</v>
      </c>
      <c r="M898" t="s">
        <v>20</v>
      </c>
    </row>
    <row r="899" spans="1:13" x14ac:dyDescent="0.35">
      <c r="A899">
        <v>898</v>
      </c>
      <c r="B899">
        <v>583006206</v>
      </c>
      <c r="C899">
        <v>37345</v>
      </c>
      <c r="D899" t="s">
        <v>223</v>
      </c>
      <c r="E899" t="s">
        <v>367</v>
      </c>
      <c r="F899" t="s">
        <v>224</v>
      </c>
      <c r="G899" t="s">
        <v>225</v>
      </c>
      <c r="H899" t="s">
        <v>17</v>
      </c>
      <c r="I899" t="s">
        <v>89</v>
      </c>
      <c r="J899" t="s">
        <v>19</v>
      </c>
      <c r="K899">
        <v>50</v>
      </c>
      <c r="L899">
        <v>0</v>
      </c>
      <c r="M899" t="s">
        <v>20</v>
      </c>
    </row>
    <row r="900" spans="1:13" x14ac:dyDescent="0.35">
      <c r="A900">
        <v>899</v>
      </c>
      <c r="B900">
        <v>583006205</v>
      </c>
      <c r="C900">
        <v>37344</v>
      </c>
      <c r="D900" t="s">
        <v>174</v>
      </c>
      <c r="E900" t="s">
        <v>367</v>
      </c>
      <c r="F900" t="s">
        <v>175</v>
      </c>
      <c r="G900" t="s">
        <v>176</v>
      </c>
      <c r="H900" t="s">
        <v>17</v>
      </c>
      <c r="I900" t="s">
        <v>63</v>
      </c>
      <c r="J900" t="s">
        <v>64</v>
      </c>
      <c r="K900">
        <v>22</v>
      </c>
      <c r="L900">
        <v>38.94</v>
      </c>
      <c r="M900" t="s">
        <v>20</v>
      </c>
    </row>
    <row r="901" spans="1:13" x14ac:dyDescent="0.35">
      <c r="A901">
        <v>900</v>
      </c>
      <c r="B901">
        <v>583006245</v>
      </c>
      <c r="C901">
        <v>37396</v>
      </c>
      <c r="D901" t="s">
        <v>371</v>
      </c>
      <c r="E901" t="s">
        <v>367</v>
      </c>
      <c r="F901" t="s">
        <v>372</v>
      </c>
      <c r="G901" t="s">
        <v>373</v>
      </c>
      <c r="H901" t="s">
        <v>17</v>
      </c>
      <c r="I901" t="s">
        <v>35</v>
      </c>
      <c r="J901" t="s">
        <v>59</v>
      </c>
      <c r="K901">
        <v>10</v>
      </c>
      <c r="L901">
        <v>0</v>
      </c>
      <c r="M901" t="s">
        <v>20</v>
      </c>
    </row>
    <row r="902" spans="1:13" x14ac:dyDescent="0.35">
      <c r="A902">
        <v>901</v>
      </c>
      <c r="B902">
        <v>583006207</v>
      </c>
      <c r="C902">
        <v>37346</v>
      </c>
      <c r="D902" t="s">
        <v>65</v>
      </c>
      <c r="E902" t="s">
        <v>367</v>
      </c>
      <c r="F902" t="s">
        <v>66</v>
      </c>
      <c r="G902" t="s">
        <v>67</v>
      </c>
      <c r="H902" t="s">
        <v>17</v>
      </c>
      <c r="I902" t="s">
        <v>88</v>
      </c>
      <c r="J902" t="s">
        <v>19</v>
      </c>
      <c r="K902">
        <v>13.2</v>
      </c>
      <c r="L902">
        <v>0</v>
      </c>
      <c r="M902" t="s">
        <v>20</v>
      </c>
    </row>
    <row r="903" spans="1:13" x14ac:dyDescent="0.35">
      <c r="A903">
        <v>902</v>
      </c>
      <c r="B903">
        <v>583006219</v>
      </c>
      <c r="C903">
        <v>37358</v>
      </c>
      <c r="D903" t="s">
        <v>286</v>
      </c>
      <c r="E903" t="s">
        <v>367</v>
      </c>
      <c r="F903" t="s">
        <v>287</v>
      </c>
      <c r="G903" t="s">
        <v>288</v>
      </c>
      <c r="H903" t="s">
        <v>17</v>
      </c>
      <c r="I903" t="s">
        <v>18</v>
      </c>
      <c r="J903" t="s">
        <v>19</v>
      </c>
      <c r="K903">
        <v>72</v>
      </c>
      <c r="L903">
        <v>0</v>
      </c>
      <c r="M903" t="s">
        <v>20</v>
      </c>
    </row>
    <row r="904" spans="1:13" x14ac:dyDescent="0.35">
      <c r="A904">
        <v>903</v>
      </c>
      <c r="B904">
        <v>583006199</v>
      </c>
      <c r="C904">
        <v>37337</v>
      </c>
      <c r="D904" t="s">
        <v>374</v>
      </c>
      <c r="E904" t="s">
        <v>367</v>
      </c>
      <c r="F904" t="s">
        <v>375</v>
      </c>
      <c r="G904" t="s">
        <v>376</v>
      </c>
      <c r="H904" t="s">
        <v>17</v>
      </c>
      <c r="I904" t="s">
        <v>18</v>
      </c>
      <c r="J904" t="s">
        <v>19</v>
      </c>
      <c r="K904">
        <v>15</v>
      </c>
      <c r="L904">
        <v>0</v>
      </c>
      <c r="M904" t="s">
        <v>20</v>
      </c>
    </row>
    <row r="905" spans="1:13" x14ac:dyDescent="0.35">
      <c r="A905">
        <v>904</v>
      </c>
      <c r="B905">
        <v>583006211</v>
      </c>
      <c r="C905">
        <v>37350</v>
      </c>
      <c r="D905" t="s">
        <v>206</v>
      </c>
      <c r="E905" t="s">
        <v>367</v>
      </c>
      <c r="F905" t="s">
        <v>207</v>
      </c>
      <c r="G905" t="s">
        <v>208</v>
      </c>
      <c r="H905" t="s">
        <v>17</v>
      </c>
      <c r="I905" t="s">
        <v>18</v>
      </c>
      <c r="J905" t="s">
        <v>19</v>
      </c>
      <c r="K905">
        <v>12</v>
      </c>
      <c r="L905">
        <v>0</v>
      </c>
      <c r="M905" t="s">
        <v>20</v>
      </c>
    </row>
    <row r="906" spans="1:13" x14ac:dyDescent="0.35">
      <c r="A906">
        <v>905</v>
      </c>
      <c r="B906">
        <v>583006222</v>
      </c>
      <c r="C906">
        <v>37361</v>
      </c>
      <c r="D906" t="s">
        <v>53</v>
      </c>
      <c r="E906" t="s">
        <v>367</v>
      </c>
      <c r="F906" t="s">
        <v>54</v>
      </c>
      <c r="G906" t="s">
        <v>55</v>
      </c>
      <c r="H906" t="s">
        <v>17</v>
      </c>
      <c r="I906" t="s">
        <v>18</v>
      </c>
      <c r="J906" t="s">
        <v>19</v>
      </c>
      <c r="K906">
        <v>36</v>
      </c>
      <c r="L906">
        <v>0</v>
      </c>
      <c r="M906" t="s">
        <v>20</v>
      </c>
    </row>
    <row r="907" spans="1:13" x14ac:dyDescent="0.35">
      <c r="A907">
        <v>906</v>
      </c>
      <c r="B907">
        <v>583006287</v>
      </c>
      <c r="C907">
        <v>37453</v>
      </c>
      <c r="D907" t="s">
        <v>101</v>
      </c>
      <c r="E907" t="s">
        <v>367</v>
      </c>
      <c r="F907" t="s">
        <v>229</v>
      </c>
      <c r="G907" t="s">
        <v>230</v>
      </c>
      <c r="H907" t="s">
        <v>17</v>
      </c>
      <c r="I907" t="s">
        <v>35</v>
      </c>
      <c r="J907" t="s">
        <v>59</v>
      </c>
      <c r="K907">
        <v>10</v>
      </c>
      <c r="L907">
        <v>0</v>
      </c>
      <c r="M907" t="s">
        <v>20</v>
      </c>
    </row>
    <row r="908" spans="1:13" x14ac:dyDescent="0.35">
      <c r="A908">
        <v>907</v>
      </c>
      <c r="B908">
        <v>583006259</v>
      </c>
      <c r="C908">
        <v>37414</v>
      </c>
      <c r="D908" t="s">
        <v>344</v>
      </c>
      <c r="E908" t="s">
        <v>367</v>
      </c>
      <c r="F908" t="s">
        <v>345</v>
      </c>
      <c r="G908" t="s">
        <v>346</v>
      </c>
      <c r="H908" t="s">
        <v>17</v>
      </c>
      <c r="I908" t="s">
        <v>135</v>
      </c>
      <c r="J908" t="s">
        <v>19</v>
      </c>
      <c r="K908">
        <v>1050</v>
      </c>
      <c r="L908">
        <v>0</v>
      </c>
      <c r="M908" t="s">
        <v>20</v>
      </c>
    </row>
    <row r="909" spans="1:13" x14ac:dyDescent="0.35">
      <c r="A909">
        <v>908</v>
      </c>
      <c r="B909">
        <v>583006288</v>
      </c>
      <c r="C909">
        <v>37454</v>
      </c>
      <c r="D909" t="s">
        <v>101</v>
      </c>
      <c r="E909" t="s">
        <v>367</v>
      </c>
      <c r="F909" t="s">
        <v>229</v>
      </c>
      <c r="G909" t="s">
        <v>230</v>
      </c>
      <c r="H909" t="s">
        <v>17</v>
      </c>
      <c r="I909" t="s">
        <v>18</v>
      </c>
      <c r="J909" t="s">
        <v>19</v>
      </c>
      <c r="K909">
        <v>1824</v>
      </c>
      <c r="L909">
        <v>0</v>
      </c>
      <c r="M909" t="s">
        <v>20</v>
      </c>
    </row>
    <row r="910" spans="1:13" x14ac:dyDescent="0.35">
      <c r="A910">
        <v>909</v>
      </c>
      <c r="B910">
        <v>583006208</v>
      </c>
      <c r="C910">
        <v>37347</v>
      </c>
      <c r="D910" t="s">
        <v>110</v>
      </c>
      <c r="E910" t="s">
        <v>367</v>
      </c>
      <c r="F910" t="s">
        <v>111</v>
      </c>
      <c r="G910" t="s">
        <v>112</v>
      </c>
      <c r="H910" t="s">
        <v>17</v>
      </c>
      <c r="I910" t="s">
        <v>18</v>
      </c>
      <c r="J910" t="s">
        <v>19</v>
      </c>
      <c r="K910">
        <v>54</v>
      </c>
      <c r="L910">
        <v>0</v>
      </c>
      <c r="M910" t="s">
        <v>20</v>
      </c>
    </row>
    <row r="911" spans="1:13" x14ac:dyDescent="0.35">
      <c r="A911">
        <v>910</v>
      </c>
      <c r="B911">
        <v>583006275</v>
      </c>
      <c r="C911">
        <v>37435</v>
      </c>
      <c r="D911" t="s">
        <v>377</v>
      </c>
      <c r="E911" t="s">
        <v>367</v>
      </c>
      <c r="F911" t="s">
        <v>378</v>
      </c>
      <c r="G911" t="s">
        <v>379</v>
      </c>
      <c r="H911" t="s">
        <v>17</v>
      </c>
      <c r="I911" t="s">
        <v>18</v>
      </c>
      <c r="J911" t="s">
        <v>19</v>
      </c>
      <c r="K911">
        <v>36</v>
      </c>
      <c r="L911">
        <v>0</v>
      </c>
      <c r="M911" t="s">
        <v>20</v>
      </c>
    </row>
    <row r="912" spans="1:13" x14ac:dyDescent="0.35">
      <c r="A912">
        <v>911</v>
      </c>
      <c r="B912">
        <v>583006275</v>
      </c>
      <c r="C912">
        <v>37435</v>
      </c>
      <c r="D912" t="s">
        <v>377</v>
      </c>
      <c r="E912" t="s">
        <v>367</v>
      </c>
      <c r="F912" t="s">
        <v>378</v>
      </c>
      <c r="G912" t="s">
        <v>379</v>
      </c>
      <c r="H912" t="s">
        <v>17</v>
      </c>
      <c r="I912" t="s">
        <v>18</v>
      </c>
      <c r="J912" t="s">
        <v>19</v>
      </c>
      <c r="K912">
        <v>1491</v>
      </c>
      <c r="L912">
        <v>0</v>
      </c>
      <c r="M912" t="s">
        <v>20</v>
      </c>
    </row>
    <row r="913" spans="1:13" x14ac:dyDescent="0.35">
      <c r="A913">
        <v>912</v>
      </c>
      <c r="B913">
        <v>583006275</v>
      </c>
      <c r="C913">
        <v>37435</v>
      </c>
      <c r="D913" t="s">
        <v>377</v>
      </c>
      <c r="E913" t="s">
        <v>367</v>
      </c>
      <c r="F913" t="s">
        <v>378</v>
      </c>
      <c r="G913" t="s">
        <v>379</v>
      </c>
      <c r="H913" t="s">
        <v>17</v>
      </c>
      <c r="I913" t="s">
        <v>18</v>
      </c>
      <c r="J913" t="s">
        <v>19</v>
      </c>
      <c r="K913">
        <v>213</v>
      </c>
      <c r="L913">
        <v>0</v>
      </c>
      <c r="M913" t="s">
        <v>20</v>
      </c>
    </row>
    <row r="914" spans="1:13" x14ac:dyDescent="0.35">
      <c r="A914">
        <v>913</v>
      </c>
      <c r="B914">
        <v>583006215</v>
      </c>
      <c r="C914">
        <v>37354</v>
      </c>
      <c r="D914" t="s">
        <v>380</v>
      </c>
      <c r="E914" t="s">
        <v>367</v>
      </c>
      <c r="F914" t="s">
        <v>381</v>
      </c>
      <c r="G914" t="s">
        <v>382</v>
      </c>
      <c r="H914" t="s">
        <v>17</v>
      </c>
      <c r="I914" t="s">
        <v>18</v>
      </c>
      <c r="J914" t="s">
        <v>19</v>
      </c>
      <c r="K914">
        <v>90</v>
      </c>
      <c r="L914">
        <v>0</v>
      </c>
      <c r="M914" t="s">
        <v>20</v>
      </c>
    </row>
    <row r="915" spans="1:13" x14ac:dyDescent="0.35">
      <c r="A915">
        <v>914</v>
      </c>
      <c r="B915">
        <v>583006204</v>
      </c>
      <c r="C915">
        <v>37343</v>
      </c>
      <c r="D915" t="s">
        <v>374</v>
      </c>
      <c r="E915" t="s">
        <v>367</v>
      </c>
      <c r="F915" t="s">
        <v>375</v>
      </c>
      <c r="G915" t="s">
        <v>376</v>
      </c>
      <c r="H915" t="s">
        <v>17</v>
      </c>
      <c r="I915" t="s">
        <v>18</v>
      </c>
      <c r="J915" t="s">
        <v>19</v>
      </c>
      <c r="K915">
        <v>6</v>
      </c>
      <c r="L915">
        <v>0</v>
      </c>
      <c r="M915" t="s">
        <v>20</v>
      </c>
    </row>
    <row r="916" spans="1:13" x14ac:dyDescent="0.35">
      <c r="A916">
        <v>915</v>
      </c>
      <c r="B916">
        <v>583006220</v>
      </c>
      <c r="C916">
        <v>37359</v>
      </c>
      <c r="D916" t="s">
        <v>129</v>
      </c>
      <c r="E916" t="s">
        <v>367</v>
      </c>
      <c r="F916" t="s">
        <v>130</v>
      </c>
      <c r="G916" t="s">
        <v>131</v>
      </c>
      <c r="H916" t="s">
        <v>17</v>
      </c>
      <c r="I916" t="s">
        <v>18</v>
      </c>
      <c r="J916" t="s">
        <v>19</v>
      </c>
      <c r="K916">
        <v>72</v>
      </c>
      <c r="L916">
        <v>0</v>
      </c>
      <c r="M916" t="s">
        <v>20</v>
      </c>
    </row>
    <row r="917" spans="1:13" x14ac:dyDescent="0.35">
      <c r="A917">
        <v>916</v>
      </c>
      <c r="B917">
        <v>583006202</v>
      </c>
      <c r="C917">
        <v>37341</v>
      </c>
      <c r="D917" t="s">
        <v>374</v>
      </c>
      <c r="E917" t="s">
        <v>367</v>
      </c>
      <c r="F917" t="s">
        <v>375</v>
      </c>
      <c r="G917" t="s">
        <v>376</v>
      </c>
      <c r="H917" t="s">
        <v>17</v>
      </c>
      <c r="I917" t="s">
        <v>18</v>
      </c>
      <c r="J917" t="s">
        <v>19</v>
      </c>
      <c r="K917">
        <v>72</v>
      </c>
      <c r="L917">
        <v>0</v>
      </c>
      <c r="M917" t="s">
        <v>20</v>
      </c>
    </row>
    <row r="918" spans="1:13" x14ac:dyDescent="0.35">
      <c r="A918">
        <v>917</v>
      </c>
      <c r="B918">
        <v>583006201</v>
      </c>
      <c r="C918">
        <v>37339</v>
      </c>
      <c r="D918" t="s">
        <v>374</v>
      </c>
      <c r="E918" t="s">
        <v>367</v>
      </c>
      <c r="F918" t="s">
        <v>375</v>
      </c>
      <c r="G918" t="s">
        <v>376</v>
      </c>
      <c r="H918" t="s">
        <v>17</v>
      </c>
      <c r="I918" t="s">
        <v>18</v>
      </c>
      <c r="J918" t="s">
        <v>19</v>
      </c>
      <c r="K918">
        <v>108</v>
      </c>
      <c r="L918">
        <v>0</v>
      </c>
      <c r="M918" t="s">
        <v>20</v>
      </c>
    </row>
    <row r="919" spans="1:13" x14ac:dyDescent="0.35">
      <c r="A919">
        <v>918</v>
      </c>
      <c r="B919">
        <v>583006218</v>
      </c>
      <c r="C919">
        <v>37357</v>
      </c>
      <c r="D919" t="s">
        <v>383</v>
      </c>
      <c r="E919" t="s">
        <v>367</v>
      </c>
      <c r="F919" t="s">
        <v>384</v>
      </c>
      <c r="G919" t="s">
        <v>385</v>
      </c>
      <c r="H919" t="s">
        <v>17</v>
      </c>
      <c r="I919" t="s">
        <v>18</v>
      </c>
      <c r="J919" t="s">
        <v>19</v>
      </c>
      <c r="K919">
        <v>12</v>
      </c>
      <c r="L919">
        <v>0</v>
      </c>
      <c r="M919" t="s">
        <v>20</v>
      </c>
    </row>
    <row r="920" spans="1:13" x14ac:dyDescent="0.35">
      <c r="A920">
        <v>919</v>
      </c>
      <c r="B920">
        <v>583006212</v>
      </c>
      <c r="C920">
        <v>37351</v>
      </c>
      <c r="D920" t="s">
        <v>311</v>
      </c>
      <c r="E920" t="s">
        <v>367</v>
      </c>
      <c r="F920" t="s">
        <v>312</v>
      </c>
      <c r="G920" t="s">
        <v>313</v>
      </c>
      <c r="H920" t="s">
        <v>17</v>
      </c>
      <c r="I920" t="s">
        <v>18</v>
      </c>
      <c r="J920" t="s">
        <v>19</v>
      </c>
      <c r="K920">
        <v>162</v>
      </c>
      <c r="L920">
        <v>0</v>
      </c>
      <c r="M920" t="s">
        <v>20</v>
      </c>
    </row>
    <row r="921" spans="1:13" x14ac:dyDescent="0.35">
      <c r="A921">
        <v>920</v>
      </c>
      <c r="B921">
        <v>583006262</v>
      </c>
      <c r="C921">
        <v>37421</v>
      </c>
      <c r="D921" t="s">
        <v>144</v>
      </c>
      <c r="E921" t="s">
        <v>367</v>
      </c>
      <c r="F921" t="s">
        <v>145</v>
      </c>
      <c r="G921" t="s">
        <v>146</v>
      </c>
      <c r="H921" t="s">
        <v>17</v>
      </c>
      <c r="I921" t="s">
        <v>18</v>
      </c>
      <c r="J921" t="s">
        <v>19</v>
      </c>
      <c r="K921">
        <v>57</v>
      </c>
      <c r="L921">
        <v>0</v>
      </c>
      <c r="M921" t="s">
        <v>20</v>
      </c>
    </row>
    <row r="922" spans="1:13" x14ac:dyDescent="0.35">
      <c r="A922">
        <v>921</v>
      </c>
      <c r="B922">
        <v>583006213</v>
      </c>
      <c r="C922">
        <v>37352</v>
      </c>
      <c r="D922" t="s">
        <v>311</v>
      </c>
      <c r="E922" t="s">
        <v>367</v>
      </c>
      <c r="F922" t="s">
        <v>312</v>
      </c>
      <c r="G922" t="s">
        <v>313</v>
      </c>
      <c r="H922" t="s">
        <v>17</v>
      </c>
      <c r="I922" t="s">
        <v>18</v>
      </c>
      <c r="J922" t="s">
        <v>19</v>
      </c>
      <c r="K922">
        <v>225</v>
      </c>
      <c r="L922">
        <v>0</v>
      </c>
      <c r="M922" t="s">
        <v>20</v>
      </c>
    </row>
    <row r="923" spans="1:13" x14ac:dyDescent="0.35">
      <c r="A923">
        <v>922</v>
      </c>
      <c r="B923">
        <v>583006230</v>
      </c>
      <c r="C923">
        <v>37375</v>
      </c>
      <c r="D923" t="s">
        <v>82</v>
      </c>
      <c r="E923" t="s">
        <v>367</v>
      </c>
      <c r="F923" t="s">
        <v>83</v>
      </c>
      <c r="G923" t="s">
        <v>84</v>
      </c>
      <c r="H923" t="s">
        <v>17</v>
      </c>
      <c r="I923" t="s">
        <v>91</v>
      </c>
      <c r="J923" t="s">
        <v>25</v>
      </c>
      <c r="K923">
        <v>720</v>
      </c>
      <c r="L923">
        <v>0</v>
      </c>
      <c r="M923" t="s">
        <v>20</v>
      </c>
    </row>
    <row r="924" spans="1:13" x14ac:dyDescent="0.35">
      <c r="A924">
        <v>923</v>
      </c>
      <c r="B924">
        <v>583006210</v>
      </c>
      <c r="C924">
        <v>37349</v>
      </c>
      <c r="D924" t="s">
        <v>144</v>
      </c>
      <c r="E924" t="s">
        <v>367</v>
      </c>
      <c r="F924" t="s">
        <v>145</v>
      </c>
      <c r="G924" t="s">
        <v>146</v>
      </c>
      <c r="H924" t="s">
        <v>17</v>
      </c>
      <c r="I924" t="s">
        <v>18</v>
      </c>
      <c r="J924" t="s">
        <v>19</v>
      </c>
      <c r="K924">
        <v>15</v>
      </c>
      <c r="L924">
        <v>0</v>
      </c>
      <c r="M924" t="s">
        <v>20</v>
      </c>
    </row>
    <row r="925" spans="1:13" x14ac:dyDescent="0.35">
      <c r="A925">
        <v>924</v>
      </c>
      <c r="B925">
        <v>583006359</v>
      </c>
      <c r="C925">
        <v>37550</v>
      </c>
      <c r="D925" t="s">
        <v>125</v>
      </c>
      <c r="E925" t="s">
        <v>386</v>
      </c>
      <c r="F925" t="s">
        <v>127</v>
      </c>
      <c r="G925" t="s">
        <v>128</v>
      </c>
      <c r="H925" t="s">
        <v>17</v>
      </c>
      <c r="I925" t="s">
        <v>18</v>
      </c>
      <c r="J925" t="s">
        <v>19</v>
      </c>
      <c r="K925">
        <v>1116</v>
      </c>
      <c r="L925">
        <v>0</v>
      </c>
      <c r="M925" t="s">
        <v>20</v>
      </c>
    </row>
    <row r="926" spans="1:13" x14ac:dyDescent="0.35">
      <c r="A926">
        <v>925</v>
      </c>
      <c r="B926">
        <v>583006350</v>
      </c>
      <c r="C926">
        <v>37539</v>
      </c>
      <c r="D926" t="s">
        <v>32</v>
      </c>
      <c r="E926" t="s">
        <v>386</v>
      </c>
      <c r="F926" t="s">
        <v>33</v>
      </c>
      <c r="G926" t="s">
        <v>34</v>
      </c>
      <c r="H926" t="s">
        <v>17</v>
      </c>
      <c r="I926" t="s">
        <v>18</v>
      </c>
      <c r="J926" t="s">
        <v>19</v>
      </c>
      <c r="K926">
        <v>81</v>
      </c>
      <c r="L926">
        <v>0</v>
      </c>
      <c r="M926" t="s">
        <v>20</v>
      </c>
    </row>
    <row r="927" spans="1:13" x14ac:dyDescent="0.35">
      <c r="A927">
        <v>926</v>
      </c>
      <c r="B927">
        <v>583006350</v>
      </c>
      <c r="C927">
        <v>37539</v>
      </c>
      <c r="D927" t="s">
        <v>32</v>
      </c>
      <c r="E927" t="s">
        <v>386</v>
      </c>
      <c r="F927" t="s">
        <v>33</v>
      </c>
      <c r="G927" t="s">
        <v>34</v>
      </c>
      <c r="H927" t="s">
        <v>17</v>
      </c>
      <c r="I927" t="s">
        <v>18</v>
      </c>
      <c r="J927" t="s">
        <v>19</v>
      </c>
      <c r="K927">
        <v>1377</v>
      </c>
      <c r="L927">
        <v>0</v>
      </c>
      <c r="M927" t="s">
        <v>20</v>
      </c>
    </row>
    <row r="928" spans="1:13" x14ac:dyDescent="0.35">
      <c r="A928">
        <v>927</v>
      </c>
      <c r="B928">
        <v>583006374</v>
      </c>
      <c r="C928">
        <v>37565</v>
      </c>
      <c r="D928" t="s">
        <v>21</v>
      </c>
      <c r="E928" t="s">
        <v>386</v>
      </c>
      <c r="F928" t="s">
        <v>22</v>
      </c>
      <c r="G928" t="s">
        <v>23</v>
      </c>
      <c r="H928" t="s">
        <v>17</v>
      </c>
      <c r="I928" t="s">
        <v>18</v>
      </c>
      <c r="J928" t="s">
        <v>19</v>
      </c>
      <c r="K928">
        <v>993</v>
      </c>
      <c r="L928">
        <v>0</v>
      </c>
      <c r="M928" t="s">
        <v>20</v>
      </c>
    </row>
    <row r="929" spans="1:13" x14ac:dyDescent="0.35">
      <c r="A929">
        <v>928</v>
      </c>
      <c r="B929">
        <v>583006374</v>
      </c>
      <c r="C929">
        <v>37565</v>
      </c>
      <c r="D929" t="s">
        <v>21</v>
      </c>
      <c r="E929" t="s">
        <v>386</v>
      </c>
      <c r="F929" t="s">
        <v>22</v>
      </c>
      <c r="G929" t="s">
        <v>23</v>
      </c>
      <c r="H929" t="s">
        <v>17</v>
      </c>
      <c r="I929" t="s">
        <v>18</v>
      </c>
      <c r="J929" t="s">
        <v>19</v>
      </c>
      <c r="K929">
        <v>288</v>
      </c>
      <c r="L929">
        <v>0</v>
      </c>
      <c r="M929" t="s">
        <v>20</v>
      </c>
    </row>
    <row r="930" spans="1:13" x14ac:dyDescent="0.35">
      <c r="A930">
        <v>929</v>
      </c>
      <c r="B930">
        <v>583006358</v>
      </c>
      <c r="C930">
        <v>37549</v>
      </c>
      <c r="D930" t="s">
        <v>125</v>
      </c>
      <c r="E930" t="s">
        <v>386</v>
      </c>
      <c r="F930" t="s">
        <v>127</v>
      </c>
      <c r="G930" t="s">
        <v>128</v>
      </c>
      <c r="H930" t="s">
        <v>17</v>
      </c>
      <c r="I930" t="s">
        <v>63</v>
      </c>
      <c r="J930" t="s">
        <v>64</v>
      </c>
      <c r="K930">
        <v>63</v>
      </c>
      <c r="L930">
        <v>103.95</v>
      </c>
      <c r="M930" t="s">
        <v>20</v>
      </c>
    </row>
    <row r="931" spans="1:13" x14ac:dyDescent="0.35">
      <c r="A931">
        <v>930</v>
      </c>
      <c r="B931">
        <v>583006364</v>
      </c>
      <c r="C931">
        <v>37555</v>
      </c>
      <c r="D931" t="s">
        <v>32</v>
      </c>
      <c r="E931" t="s">
        <v>386</v>
      </c>
      <c r="F931" t="s">
        <v>33</v>
      </c>
      <c r="G931" t="s">
        <v>34</v>
      </c>
      <c r="H931" t="s">
        <v>17</v>
      </c>
      <c r="I931" t="s">
        <v>18</v>
      </c>
      <c r="J931" t="s">
        <v>19</v>
      </c>
      <c r="K931">
        <v>1044</v>
      </c>
      <c r="L931">
        <v>0</v>
      </c>
      <c r="M931" t="s">
        <v>20</v>
      </c>
    </row>
    <row r="932" spans="1:13" x14ac:dyDescent="0.35">
      <c r="A932">
        <v>931</v>
      </c>
      <c r="B932">
        <v>583006364</v>
      </c>
      <c r="C932">
        <v>37555</v>
      </c>
      <c r="D932" t="s">
        <v>32</v>
      </c>
      <c r="E932" t="s">
        <v>386</v>
      </c>
      <c r="F932" t="s">
        <v>33</v>
      </c>
      <c r="G932" t="s">
        <v>34</v>
      </c>
      <c r="H932" t="s">
        <v>17</v>
      </c>
      <c r="I932" t="s">
        <v>18</v>
      </c>
      <c r="J932" t="s">
        <v>19</v>
      </c>
      <c r="K932">
        <v>180</v>
      </c>
      <c r="L932">
        <v>0</v>
      </c>
      <c r="M932" t="s">
        <v>20</v>
      </c>
    </row>
    <row r="933" spans="1:13" x14ac:dyDescent="0.35">
      <c r="A933">
        <v>932</v>
      </c>
      <c r="B933">
        <v>583006364</v>
      </c>
      <c r="C933">
        <v>37555</v>
      </c>
      <c r="D933" t="s">
        <v>32</v>
      </c>
      <c r="E933" t="s">
        <v>386</v>
      </c>
      <c r="F933" t="s">
        <v>33</v>
      </c>
      <c r="G933" t="s">
        <v>34</v>
      </c>
      <c r="H933" t="s">
        <v>17</v>
      </c>
      <c r="I933" t="s">
        <v>18</v>
      </c>
      <c r="J933" t="s">
        <v>19</v>
      </c>
      <c r="K933">
        <v>36</v>
      </c>
      <c r="L933">
        <v>0</v>
      </c>
      <c r="M933" t="s">
        <v>20</v>
      </c>
    </row>
    <row r="934" spans="1:13" x14ac:dyDescent="0.35">
      <c r="A934">
        <v>933</v>
      </c>
      <c r="B934">
        <v>583006364</v>
      </c>
      <c r="C934">
        <v>37555</v>
      </c>
      <c r="D934" t="s">
        <v>32</v>
      </c>
      <c r="E934" t="s">
        <v>386</v>
      </c>
      <c r="F934" t="s">
        <v>33</v>
      </c>
      <c r="G934" t="s">
        <v>34</v>
      </c>
      <c r="H934" t="s">
        <v>17</v>
      </c>
      <c r="I934" t="s">
        <v>18</v>
      </c>
      <c r="J934" t="s">
        <v>19</v>
      </c>
      <c r="K934">
        <v>108</v>
      </c>
      <c r="L934">
        <v>0</v>
      </c>
      <c r="M934" t="s">
        <v>20</v>
      </c>
    </row>
    <row r="935" spans="1:13" x14ac:dyDescent="0.35">
      <c r="A935">
        <v>934</v>
      </c>
      <c r="B935">
        <v>583006364</v>
      </c>
      <c r="C935">
        <v>37555</v>
      </c>
      <c r="D935" t="s">
        <v>32</v>
      </c>
      <c r="E935" t="s">
        <v>386</v>
      </c>
      <c r="F935" t="s">
        <v>33</v>
      </c>
      <c r="G935" t="s">
        <v>34</v>
      </c>
      <c r="H935" t="s">
        <v>17</v>
      </c>
      <c r="I935" t="s">
        <v>18</v>
      </c>
      <c r="J935" t="s">
        <v>19</v>
      </c>
      <c r="K935">
        <v>180</v>
      </c>
      <c r="L935">
        <v>0</v>
      </c>
      <c r="M935" t="s">
        <v>20</v>
      </c>
    </row>
    <row r="936" spans="1:13" x14ac:dyDescent="0.35">
      <c r="A936">
        <v>935</v>
      </c>
      <c r="B936">
        <v>583006350</v>
      </c>
      <c r="C936">
        <v>37539</v>
      </c>
      <c r="D936" t="s">
        <v>32</v>
      </c>
      <c r="E936" t="s">
        <v>386</v>
      </c>
      <c r="F936" t="s">
        <v>33</v>
      </c>
      <c r="G936" t="s">
        <v>34</v>
      </c>
      <c r="H936" t="s">
        <v>17</v>
      </c>
      <c r="I936" t="s">
        <v>18</v>
      </c>
      <c r="J936" t="s">
        <v>19</v>
      </c>
      <c r="K936">
        <v>72</v>
      </c>
      <c r="L936">
        <v>0</v>
      </c>
      <c r="M936" t="s">
        <v>20</v>
      </c>
    </row>
    <row r="937" spans="1:13" x14ac:dyDescent="0.35">
      <c r="A937">
        <v>936</v>
      </c>
      <c r="B937">
        <v>583006382</v>
      </c>
      <c r="C937">
        <v>37575</v>
      </c>
      <c r="D937" t="s">
        <v>65</v>
      </c>
      <c r="E937" t="s">
        <v>386</v>
      </c>
      <c r="F937" t="s">
        <v>66</v>
      </c>
      <c r="G937" t="s">
        <v>67</v>
      </c>
      <c r="H937" t="s">
        <v>17</v>
      </c>
      <c r="I937" t="s">
        <v>88</v>
      </c>
      <c r="J937" t="s">
        <v>19</v>
      </c>
      <c r="K937">
        <v>12</v>
      </c>
      <c r="L937">
        <v>0</v>
      </c>
      <c r="M937" t="s">
        <v>20</v>
      </c>
    </row>
    <row r="938" spans="1:13" x14ac:dyDescent="0.35">
      <c r="A938">
        <v>937</v>
      </c>
      <c r="B938">
        <v>583006382</v>
      </c>
      <c r="C938">
        <v>37575</v>
      </c>
      <c r="D938" t="s">
        <v>65</v>
      </c>
      <c r="E938" t="s">
        <v>386</v>
      </c>
      <c r="F938" t="s">
        <v>66</v>
      </c>
      <c r="G938" t="s">
        <v>67</v>
      </c>
      <c r="H938" t="s">
        <v>17</v>
      </c>
      <c r="I938" t="s">
        <v>89</v>
      </c>
      <c r="J938" t="s">
        <v>19</v>
      </c>
      <c r="K938">
        <v>50</v>
      </c>
      <c r="L938">
        <v>0</v>
      </c>
      <c r="M938" t="s">
        <v>20</v>
      </c>
    </row>
    <row r="939" spans="1:13" x14ac:dyDescent="0.35">
      <c r="A939">
        <v>938</v>
      </c>
      <c r="B939">
        <v>583006381</v>
      </c>
      <c r="C939">
        <v>37574</v>
      </c>
      <c r="D939" t="s">
        <v>65</v>
      </c>
      <c r="E939" t="s">
        <v>386</v>
      </c>
      <c r="F939" t="s">
        <v>66</v>
      </c>
      <c r="G939" t="s">
        <v>67</v>
      </c>
      <c r="H939" t="s">
        <v>17</v>
      </c>
      <c r="I939" t="s">
        <v>24</v>
      </c>
      <c r="J939" t="s">
        <v>25</v>
      </c>
      <c r="K939">
        <v>16</v>
      </c>
      <c r="L939">
        <v>0</v>
      </c>
      <c r="M939" t="s">
        <v>20</v>
      </c>
    </row>
    <row r="940" spans="1:13" x14ac:dyDescent="0.35">
      <c r="A940">
        <v>939</v>
      </c>
      <c r="B940">
        <v>583006379</v>
      </c>
      <c r="C940">
        <v>37572</v>
      </c>
      <c r="D940" t="s">
        <v>65</v>
      </c>
      <c r="E940" t="s">
        <v>386</v>
      </c>
      <c r="F940" t="s">
        <v>66</v>
      </c>
      <c r="G940" t="s">
        <v>67</v>
      </c>
      <c r="H940" t="s">
        <v>17</v>
      </c>
      <c r="I940" t="s">
        <v>35</v>
      </c>
      <c r="J940" t="s">
        <v>74</v>
      </c>
      <c r="K940">
        <v>20</v>
      </c>
      <c r="L940">
        <v>0</v>
      </c>
      <c r="M940" t="s">
        <v>20</v>
      </c>
    </row>
    <row r="941" spans="1:13" x14ac:dyDescent="0.35">
      <c r="A941">
        <v>940</v>
      </c>
      <c r="B941">
        <v>583006379</v>
      </c>
      <c r="C941">
        <v>37572</v>
      </c>
      <c r="D941" t="s">
        <v>65</v>
      </c>
      <c r="E941" t="s">
        <v>386</v>
      </c>
      <c r="F941" t="s">
        <v>66</v>
      </c>
      <c r="G941" t="s">
        <v>67</v>
      </c>
      <c r="H941" t="s">
        <v>17</v>
      </c>
      <c r="I941" t="s">
        <v>88</v>
      </c>
      <c r="J941" t="s">
        <v>19</v>
      </c>
      <c r="K941">
        <v>12</v>
      </c>
      <c r="L941">
        <v>0</v>
      </c>
      <c r="M941" t="s">
        <v>20</v>
      </c>
    </row>
    <row r="942" spans="1:13" x14ac:dyDescent="0.35">
      <c r="A942">
        <v>941</v>
      </c>
      <c r="B942">
        <v>583006380</v>
      </c>
      <c r="C942">
        <v>37573</v>
      </c>
      <c r="D942" t="s">
        <v>65</v>
      </c>
      <c r="E942" t="s">
        <v>386</v>
      </c>
      <c r="F942" t="s">
        <v>66</v>
      </c>
      <c r="G942" t="s">
        <v>67</v>
      </c>
      <c r="H942" t="s">
        <v>17</v>
      </c>
      <c r="I942" t="s">
        <v>135</v>
      </c>
      <c r="J942" t="s">
        <v>19</v>
      </c>
      <c r="K942">
        <v>975</v>
      </c>
      <c r="L942">
        <v>0</v>
      </c>
      <c r="M942" t="s">
        <v>20</v>
      </c>
    </row>
    <row r="943" spans="1:13" x14ac:dyDescent="0.35">
      <c r="A943">
        <v>942</v>
      </c>
      <c r="B943">
        <v>583006359</v>
      </c>
      <c r="C943">
        <v>37550</v>
      </c>
      <c r="D943" t="s">
        <v>125</v>
      </c>
      <c r="E943" t="s">
        <v>386</v>
      </c>
      <c r="F943" t="s">
        <v>127</v>
      </c>
      <c r="G943" t="s">
        <v>128</v>
      </c>
      <c r="H943" t="s">
        <v>17</v>
      </c>
      <c r="I943" t="s">
        <v>18</v>
      </c>
      <c r="J943" t="s">
        <v>19</v>
      </c>
      <c r="K943">
        <v>2403</v>
      </c>
      <c r="L943">
        <v>0</v>
      </c>
      <c r="M943" t="s">
        <v>20</v>
      </c>
    </row>
    <row r="944" spans="1:13" x14ac:dyDescent="0.35">
      <c r="A944">
        <v>943</v>
      </c>
      <c r="B944">
        <v>583006374</v>
      </c>
      <c r="C944">
        <v>37565</v>
      </c>
      <c r="D944" t="s">
        <v>21</v>
      </c>
      <c r="E944" t="s">
        <v>386</v>
      </c>
      <c r="F944" t="s">
        <v>22</v>
      </c>
      <c r="G944" t="s">
        <v>23</v>
      </c>
      <c r="H944" t="s">
        <v>17</v>
      </c>
      <c r="I944" t="s">
        <v>18</v>
      </c>
      <c r="J944" t="s">
        <v>19</v>
      </c>
      <c r="K944">
        <v>2700</v>
      </c>
      <c r="L944">
        <v>0</v>
      </c>
      <c r="M944" t="s">
        <v>20</v>
      </c>
    </row>
    <row r="945" spans="1:13" x14ac:dyDescent="0.35">
      <c r="A945">
        <v>944</v>
      </c>
      <c r="B945">
        <v>583006384</v>
      </c>
      <c r="C945">
        <v>37577</v>
      </c>
      <c r="D945" t="s">
        <v>263</v>
      </c>
      <c r="E945" t="s">
        <v>386</v>
      </c>
      <c r="F945" t="s">
        <v>264</v>
      </c>
      <c r="G945" t="s">
        <v>265</v>
      </c>
      <c r="H945" t="s">
        <v>17</v>
      </c>
      <c r="I945" t="s">
        <v>63</v>
      </c>
      <c r="J945" t="s">
        <v>64</v>
      </c>
      <c r="K945">
        <v>58</v>
      </c>
      <c r="L945">
        <v>102.66</v>
      </c>
      <c r="M945" t="s">
        <v>20</v>
      </c>
    </row>
    <row r="946" spans="1:13" x14ac:dyDescent="0.35">
      <c r="A946">
        <v>945</v>
      </c>
      <c r="B946">
        <v>583006378</v>
      </c>
      <c r="C946">
        <v>37570</v>
      </c>
      <c r="D946" t="s">
        <v>344</v>
      </c>
      <c r="E946" t="s">
        <v>386</v>
      </c>
      <c r="F946" t="s">
        <v>345</v>
      </c>
      <c r="G946" t="s">
        <v>346</v>
      </c>
      <c r="H946" t="s">
        <v>17</v>
      </c>
      <c r="I946" t="s">
        <v>63</v>
      </c>
      <c r="J946" t="s">
        <v>64</v>
      </c>
      <c r="K946">
        <v>278</v>
      </c>
      <c r="L946">
        <v>492.06</v>
      </c>
      <c r="M946" t="s">
        <v>20</v>
      </c>
    </row>
    <row r="947" spans="1:13" x14ac:dyDescent="0.35">
      <c r="A947">
        <v>946</v>
      </c>
      <c r="B947">
        <v>583006377</v>
      </c>
      <c r="C947">
        <v>37569</v>
      </c>
      <c r="D947" t="s">
        <v>344</v>
      </c>
      <c r="E947" t="s">
        <v>386</v>
      </c>
      <c r="F947" t="s">
        <v>345</v>
      </c>
      <c r="G947" t="s">
        <v>346</v>
      </c>
      <c r="H947" t="s">
        <v>17</v>
      </c>
      <c r="I947" t="s">
        <v>63</v>
      </c>
      <c r="J947" t="s">
        <v>64</v>
      </c>
      <c r="K947">
        <v>87</v>
      </c>
      <c r="L947">
        <v>153.99</v>
      </c>
      <c r="M947" t="s">
        <v>20</v>
      </c>
    </row>
    <row r="948" spans="1:13" x14ac:dyDescent="0.35">
      <c r="A948">
        <v>947</v>
      </c>
      <c r="B948">
        <v>583006386</v>
      </c>
      <c r="C948">
        <v>37581</v>
      </c>
      <c r="D948" t="s">
        <v>387</v>
      </c>
      <c r="E948" t="s">
        <v>386</v>
      </c>
      <c r="F948" t="s">
        <v>388</v>
      </c>
      <c r="G948" t="s">
        <v>389</v>
      </c>
      <c r="H948" t="s">
        <v>17</v>
      </c>
      <c r="I948" t="s">
        <v>18</v>
      </c>
      <c r="J948" t="s">
        <v>19</v>
      </c>
      <c r="K948">
        <v>270</v>
      </c>
      <c r="L948">
        <v>0</v>
      </c>
      <c r="M948" t="s">
        <v>20</v>
      </c>
    </row>
    <row r="949" spans="1:13" x14ac:dyDescent="0.35">
      <c r="A949">
        <v>948</v>
      </c>
      <c r="B949">
        <v>583006386</v>
      </c>
      <c r="C949">
        <v>37581</v>
      </c>
      <c r="D949" t="s">
        <v>387</v>
      </c>
      <c r="E949" t="s">
        <v>386</v>
      </c>
      <c r="F949" t="s">
        <v>388</v>
      </c>
      <c r="G949" t="s">
        <v>389</v>
      </c>
      <c r="H949" t="s">
        <v>17</v>
      </c>
      <c r="I949" t="s">
        <v>18</v>
      </c>
      <c r="J949" t="s">
        <v>19</v>
      </c>
      <c r="K949">
        <v>126</v>
      </c>
      <c r="L949">
        <v>0</v>
      </c>
      <c r="M949" t="s">
        <v>20</v>
      </c>
    </row>
    <row r="950" spans="1:13" x14ac:dyDescent="0.35">
      <c r="A950">
        <v>949</v>
      </c>
      <c r="B950">
        <v>583006386</v>
      </c>
      <c r="C950">
        <v>37581</v>
      </c>
      <c r="D950" t="s">
        <v>387</v>
      </c>
      <c r="E950" t="s">
        <v>386</v>
      </c>
      <c r="F950" t="s">
        <v>388</v>
      </c>
      <c r="G950" t="s">
        <v>389</v>
      </c>
      <c r="H950" t="s">
        <v>17</v>
      </c>
      <c r="I950" t="s">
        <v>18</v>
      </c>
      <c r="J950" t="s">
        <v>19</v>
      </c>
      <c r="K950">
        <v>1260</v>
      </c>
      <c r="L950">
        <v>0</v>
      </c>
      <c r="M950" t="s">
        <v>20</v>
      </c>
    </row>
    <row r="951" spans="1:13" x14ac:dyDescent="0.35">
      <c r="A951">
        <v>950</v>
      </c>
      <c r="B951">
        <v>583006328</v>
      </c>
      <c r="C951">
        <v>37506</v>
      </c>
      <c r="D951" t="s">
        <v>178</v>
      </c>
      <c r="E951" t="s">
        <v>386</v>
      </c>
      <c r="F951" t="s">
        <v>179</v>
      </c>
      <c r="G951" t="s">
        <v>180</v>
      </c>
      <c r="H951" t="s">
        <v>17</v>
      </c>
      <c r="I951" t="s">
        <v>63</v>
      </c>
      <c r="J951" t="s">
        <v>64</v>
      </c>
      <c r="K951">
        <v>412</v>
      </c>
      <c r="L951">
        <v>729.24</v>
      </c>
      <c r="M951" t="s">
        <v>20</v>
      </c>
    </row>
    <row r="952" spans="1:13" x14ac:dyDescent="0.35">
      <c r="A952">
        <v>951</v>
      </c>
      <c r="B952">
        <v>583006320</v>
      </c>
      <c r="C952">
        <v>37497</v>
      </c>
      <c r="D952" t="s">
        <v>231</v>
      </c>
      <c r="E952" t="s">
        <v>386</v>
      </c>
      <c r="F952" t="s">
        <v>232</v>
      </c>
      <c r="G952" t="s">
        <v>233</v>
      </c>
      <c r="H952" t="s">
        <v>17</v>
      </c>
      <c r="I952" t="s">
        <v>18</v>
      </c>
      <c r="J952" t="s">
        <v>19</v>
      </c>
      <c r="K952">
        <v>657</v>
      </c>
      <c r="L952">
        <v>0</v>
      </c>
      <c r="M952" t="s">
        <v>20</v>
      </c>
    </row>
    <row r="953" spans="1:13" x14ac:dyDescent="0.35">
      <c r="A953">
        <v>952</v>
      </c>
      <c r="B953">
        <v>583006320</v>
      </c>
      <c r="C953">
        <v>37497</v>
      </c>
      <c r="D953" t="s">
        <v>231</v>
      </c>
      <c r="E953" t="s">
        <v>386</v>
      </c>
      <c r="F953" t="s">
        <v>232</v>
      </c>
      <c r="G953" t="s">
        <v>233</v>
      </c>
      <c r="H953" t="s">
        <v>17</v>
      </c>
      <c r="I953" t="s">
        <v>18</v>
      </c>
      <c r="J953" t="s">
        <v>19</v>
      </c>
      <c r="K953">
        <v>405</v>
      </c>
      <c r="L953">
        <v>0</v>
      </c>
      <c r="M953" t="s">
        <v>20</v>
      </c>
    </row>
    <row r="954" spans="1:13" x14ac:dyDescent="0.35">
      <c r="A954">
        <v>953</v>
      </c>
      <c r="B954">
        <v>583006332</v>
      </c>
      <c r="C954">
        <v>37510</v>
      </c>
      <c r="D954" t="s">
        <v>116</v>
      </c>
      <c r="E954" t="s">
        <v>386</v>
      </c>
      <c r="F954" t="s">
        <v>117</v>
      </c>
      <c r="G954" t="s">
        <v>118</v>
      </c>
      <c r="H954" t="s">
        <v>17</v>
      </c>
      <c r="I954" t="s">
        <v>18</v>
      </c>
      <c r="J954" t="s">
        <v>19</v>
      </c>
      <c r="K954">
        <v>4032</v>
      </c>
      <c r="L954">
        <v>0</v>
      </c>
      <c r="M954" t="s">
        <v>20</v>
      </c>
    </row>
    <row r="955" spans="1:13" x14ac:dyDescent="0.35">
      <c r="A955">
        <v>954</v>
      </c>
      <c r="B955">
        <v>583006313</v>
      </c>
      <c r="C955">
        <v>37487</v>
      </c>
      <c r="D955" t="s">
        <v>136</v>
      </c>
      <c r="E955" t="s">
        <v>386</v>
      </c>
      <c r="F955" t="s">
        <v>137</v>
      </c>
      <c r="G955" t="s">
        <v>138</v>
      </c>
      <c r="H955" t="s">
        <v>17</v>
      </c>
      <c r="I955" t="s">
        <v>18</v>
      </c>
      <c r="J955" t="s">
        <v>19</v>
      </c>
      <c r="K955">
        <v>12</v>
      </c>
      <c r="L955">
        <v>0</v>
      </c>
      <c r="M955" t="s">
        <v>20</v>
      </c>
    </row>
    <row r="956" spans="1:13" x14ac:dyDescent="0.35">
      <c r="A956">
        <v>955</v>
      </c>
      <c r="B956">
        <v>583006375</v>
      </c>
      <c r="C956">
        <v>37567</v>
      </c>
      <c r="D956" t="s">
        <v>390</v>
      </c>
      <c r="E956" t="s">
        <v>386</v>
      </c>
      <c r="F956" t="s">
        <v>391</v>
      </c>
      <c r="G956" t="s">
        <v>392</v>
      </c>
      <c r="H956" t="s">
        <v>17</v>
      </c>
      <c r="I956" t="s">
        <v>63</v>
      </c>
      <c r="J956" t="s">
        <v>64</v>
      </c>
      <c r="K956">
        <v>25</v>
      </c>
      <c r="L956">
        <v>41.25</v>
      </c>
      <c r="M956" t="s">
        <v>20</v>
      </c>
    </row>
    <row r="957" spans="1:13" x14ac:dyDescent="0.35">
      <c r="A957">
        <v>956</v>
      </c>
      <c r="B957">
        <v>583006360</v>
      </c>
      <c r="C957">
        <v>37551</v>
      </c>
      <c r="D957" t="s">
        <v>125</v>
      </c>
      <c r="E957" t="s">
        <v>386</v>
      </c>
      <c r="F957" t="s">
        <v>127</v>
      </c>
      <c r="G957" t="s">
        <v>128</v>
      </c>
      <c r="H957" t="s">
        <v>17</v>
      </c>
      <c r="I957" t="s">
        <v>35</v>
      </c>
      <c r="J957" t="s">
        <v>25</v>
      </c>
      <c r="K957">
        <v>10</v>
      </c>
      <c r="L957">
        <v>0</v>
      </c>
      <c r="M957" t="s">
        <v>20</v>
      </c>
    </row>
    <row r="958" spans="1:13" x14ac:dyDescent="0.35">
      <c r="A958">
        <v>957</v>
      </c>
      <c r="B958">
        <v>583006301</v>
      </c>
      <c r="C958">
        <v>37472</v>
      </c>
      <c r="D958" t="s">
        <v>68</v>
      </c>
      <c r="E958" t="s">
        <v>386</v>
      </c>
      <c r="F958" t="s">
        <v>69</v>
      </c>
      <c r="G958" t="s">
        <v>70</v>
      </c>
      <c r="H958" t="s">
        <v>17</v>
      </c>
      <c r="I958" t="s">
        <v>18</v>
      </c>
      <c r="J958" t="s">
        <v>19</v>
      </c>
      <c r="K958">
        <v>9</v>
      </c>
      <c r="L958">
        <v>0</v>
      </c>
      <c r="M958" t="s">
        <v>20</v>
      </c>
    </row>
    <row r="959" spans="1:13" x14ac:dyDescent="0.35">
      <c r="A959">
        <v>958</v>
      </c>
      <c r="B959">
        <v>583006295</v>
      </c>
      <c r="C959">
        <v>37464</v>
      </c>
      <c r="D959" t="s">
        <v>110</v>
      </c>
      <c r="E959" t="s">
        <v>386</v>
      </c>
      <c r="F959" t="s">
        <v>111</v>
      </c>
      <c r="G959" t="s">
        <v>112</v>
      </c>
      <c r="H959" t="s">
        <v>17</v>
      </c>
      <c r="I959" t="s">
        <v>18</v>
      </c>
      <c r="J959" t="s">
        <v>19</v>
      </c>
      <c r="K959">
        <v>9</v>
      </c>
      <c r="L959">
        <v>0</v>
      </c>
      <c r="M959" t="s">
        <v>20</v>
      </c>
    </row>
    <row r="960" spans="1:13" x14ac:dyDescent="0.35">
      <c r="A960">
        <v>959</v>
      </c>
      <c r="B960">
        <v>583006293</v>
      </c>
      <c r="C960">
        <v>37461</v>
      </c>
      <c r="D960" t="s">
        <v>116</v>
      </c>
      <c r="E960" t="s">
        <v>386</v>
      </c>
      <c r="F960" t="s">
        <v>117</v>
      </c>
      <c r="G960" t="s">
        <v>118</v>
      </c>
      <c r="H960" t="s">
        <v>17</v>
      </c>
      <c r="I960" t="s">
        <v>24</v>
      </c>
      <c r="J960" t="s">
        <v>25</v>
      </c>
      <c r="K960">
        <v>130</v>
      </c>
      <c r="L960">
        <v>0</v>
      </c>
      <c r="M960" t="s">
        <v>20</v>
      </c>
    </row>
    <row r="961" spans="1:13" x14ac:dyDescent="0.35">
      <c r="A961">
        <v>960</v>
      </c>
      <c r="B961">
        <v>583006304</v>
      </c>
      <c r="C961">
        <v>37476</v>
      </c>
      <c r="D961" t="s">
        <v>247</v>
      </c>
      <c r="E961" t="s">
        <v>386</v>
      </c>
      <c r="F961" t="s">
        <v>248</v>
      </c>
      <c r="G961" t="s">
        <v>249</v>
      </c>
      <c r="H961" t="s">
        <v>17</v>
      </c>
      <c r="I961" t="s">
        <v>18</v>
      </c>
      <c r="J961" t="s">
        <v>19</v>
      </c>
      <c r="K961">
        <v>84</v>
      </c>
      <c r="L961">
        <v>0</v>
      </c>
      <c r="M961" t="s">
        <v>20</v>
      </c>
    </row>
    <row r="962" spans="1:13" x14ac:dyDescent="0.35">
      <c r="A962">
        <v>961</v>
      </c>
      <c r="B962">
        <v>583006376</v>
      </c>
      <c r="C962">
        <v>37568</v>
      </c>
      <c r="D962" t="s">
        <v>181</v>
      </c>
      <c r="E962" t="s">
        <v>386</v>
      </c>
      <c r="F962" t="s">
        <v>182</v>
      </c>
      <c r="G962" t="s">
        <v>183</v>
      </c>
      <c r="H962" t="s">
        <v>17</v>
      </c>
      <c r="I962" t="s">
        <v>63</v>
      </c>
      <c r="J962" t="s">
        <v>64</v>
      </c>
      <c r="K962">
        <v>2</v>
      </c>
      <c r="L962">
        <v>3.54</v>
      </c>
      <c r="M962" t="s">
        <v>20</v>
      </c>
    </row>
    <row r="963" spans="1:13" x14ac:dyDescent="0.35">
      <c r="A963">
        <v>962</v>
      </c>
      <c r="B963">
        <v>583006334</v>
      </c>
      <c r="C963">
        <v>37514</v>
      </c>
      <c r="D963" t="s">
        <v>116</v>
      </c>
      <c r="E963" t="s">
        <v>386</v>
      </c>
      <c r="F963" t="s">
        <v>117</v>
      </c>
      <c r="G963" t="s">
        <v>118</v>
      </c>
      <c r="H963" t="s">
        <v>17</v>
      </c>
      <c r="I963" t="s">
        <v>24</v>
      </c>
      <c r="J963" t="s">
        <v>25</v>
      </c>
      <c r="K963">
        <v>8</v>
      </c>
      <c r="L963">
        <v>0</v>
      </c>
      <c r="M963" t="s">
        <v>20</v>
      </c>
    </row>
    <row r="964" spans="1:13" x14ac:dyDescent="0.35">
      <c r="A964">
        <v>963</v>
      </c>
      <c r="B964">
        <v>583006302</v>
      </c>
      <c r="C964">
        <v>37473</v>
      </c>
      <c r="D964" t="s">
        <v>92</v>
      </c>
      <c r="E964" t="s">
        <v>386</v>
      </c>
      <c r="F964" t="s">
        <v>93</v>
      </c>
      <c r="G964" t="s">
        <v>94</v>
      </c>
      <c r="H964" t="s">
        <v>17</v>
      </c>
      <c r="I964" t="s">
        <v>18</v>
      </c>
      <c r="J964" t="s">
        <v>19</v>
      </c>
      <c r="K964">
        <v>144</v>
      </c>
      <c r="L964">
        <v>0</v>
      </c>
      <c r="M964" t="s">
        <v>20</v>
      </c>
    </row>
    <row r="965" spans="1:13" x14ac:dyDescent="0.35">
      <c r="A965">
        <v>964</v>
      </c>
      <c r="B965">
        <v>583006319</v>
      </c>
      <c r="C965">
        <v>37494</v>
      </c>
      <c r="D965" t="s">
        <v>187</v>
      </c>
      <c r="E965" t="s">
        <v>386</v>
      </c>
      <c r="F965" t="s">
        <v>188</v>
      </c>
      <c r="G965" t="s">
        <v>189</v>
      </c>
      <c r="H965" t="s">
        <v>17</v>
      </c>
      <c r="I965" t="s">
        <v>24</v>
      </c>
      <c r="J965" t="s">
        <v>25</v>
      </c>
      <c r="K965">
        <v>72</v>
      </c>
      <c r="L965">
        <v>0</v>
      </c>
      <c r="M965" t="s">
        <v>20</v>
      </c>
    </row>
    <row r="966" spans="1:13" x14ac:dyDescent="0.35">
      <c r="A966">
        <v>965</v>
      </c>
      <c r="B966">
        <v>583006315</v>
      </c>
      <c r="C966">
        <v>37489</v>
      </c>
      <c r="D966" t="s">
        <v>223</v>
      </c>
      <c r="E966" t="s">
        <v>386</v>
      </c>
      <c r="F966" t="s">
        <v>224</v>
      </c>
      <c r="G966" t="s">
        <v>225</v>
      </c>
      <c r="H966" t="s">
        <v>17</v>
      </c>
      <c r="I966" t="s">
        <v>63</v>
      </c>
      <c r="J966" t="s">
        <v>64</v>
      </c>
      <c r="K966">
        <v>41</v>
      </c>
      <c r="L966">
        <v>72.569999999999993</v>
      </c>
      <c r="M966" t="s">
        <v>20</v>
      </c>
    </row>
    <row r="967" spans="1:13" x14ac:dyDescent="0.35">
      <c r="A967">
        <v>966</v>
      </c>
      <c r="B967">
        <v>583006318</v>
      </c>
      <c r="C967">
        <v>37493</v>
      </c>
      <c r="D967" t="s">
        <v>187</v>
      </c>
      <c r="E967" t="s">
        <v>386</v>
      </c>
      <c r="F967" t="s">
        <v>188</v>
      </c>
      <c r="G967" t="s">
        <v>189</v>
      </c>
      <c r="H967" t="s">
        <v>17</v>
      </c>
      <c r="I967" t="s">
        <v>18</v>
      </c>
      <c r="J967" t="s">
        <v>19</v>
      </c>
      <c r="K967">
        <v>1011</v>
      </c>
      <c r="L967">
        <v>0</v>
      </c>
      <c r="M967" t="s">
        <v>20</v>
      </c>
    </row>
    <row r="968" spans="1:13" x14ac:dyDescent="0.35">
      <c r="A968">
        <v>967</v>
      </c>
      <c r="B968">
        <v>583006318</v>
      </c>
      <c r="C968">
        <v>37493</v>
      </c>
      <c r="D968" t="s">
        <v>187</v>
      </c>
      <c r="E968" t="s">
        <v>386</v>
      </c>
      <c r="F968" t="s">
        <v>188</v>
      </c>
      <c r="G968" t="s">
        <v>189</v>
      </c>
      <c r="H968" t="s">
        <v>17</v>
      </c>
      <c r="I968" t="s">
        <v>18</v>
      </c>
      <c r="J968" t="s">
        <v>19</v>
      </c>
      <c r="K968">
        <v>609</v>
      </c>
      <c r="L968">
        <v>0</v>
      </c>
      <c r="M968" t="s">
        <v>20</v>
      </c>
    </row>
    <row r="969" spans="1:13" x14ac:dyDescent="0.35">
      <c r="A969">
        <v>968</v>
      </c>
      <c r="B969">
        <v>583006351</v>
      </c>
      <c r="C969">
        <v>37540</v>
      </c>
      <c r="D969" t="s">
        <v>116</v>
      </c>
      <c r="E969" t="s">
        <v>386</v>
      </c>
      <c r="F969" t="s">
        <v>117</v>
      </c>
      <c r="G969" t="s">
        <v>118</v>
      </c>
      <c r="H969" t="s">
        <v>17</v>
      </c>
      <c r="I969" t="s">
        <v>18</v>
      </c>
      <c r="J969" t="s">
        <v>19</v>
      </c>
      <c r="K969">
        <v>1596</v>
      </c>
      <c r="L969">
        <v>0</v>
      </c>
      <c r="M969" t="s">
        <v>20</v>
      </c>
    </row>
    <row r="970" spans="1:13" x14ac:dyDescent="0.35">
      <c r="A970">
        <v>969</v>
      </c>
      <c r="B970">
        <v>583006318</v>
      </c>
      <c r="C970">
        <v>37493</v>
      </c>
      <c r="D970" t="s">
        <v>187</v>
      </c>
      <c r="E970" t="s">
        <v>386</v>
      </c>
      <c r="F970" t="s">
        <v>188</v>
      </c>
      <c r="G970" t="s">
        <v>189</v>
      </c>
      <c r="H970" t="s">
        <v>17</v>
      </c>
      <c r="I970" t="s">
        <v>18</v>
      </c>
      <c r="J970" t="s">
        <v>19</v>
      </c>
      <c r="K970">
        <v>153</v>
      </c>
      <c r="L970">
        <v>0</v>
      </c>
      <c r="M970" t="s">
        <v>20</v>
      </c>
    </row>
    <row r="971" spans="1:13" x14ac:dyDescent="0.35">
      <c r="A971">
        <v>970</v>
      </c>
      <c r="B971">
        <v>583006305</v>
      </c>
      <c r="C971">
        <v>37477</v>
      </c>
      <c r="D971" t="s">
        <v>247</v>
      </c>
      <c r="E971" t="s">
        <v>386</v>
      </c>
      <c r="F971" t="s">
        <v>248</v>
      </c>
      <c r="G971" t="s">
        <v>249</v>
      </c>
      <c r="H971" t="s">
        <v>17</v>
      </c>
      <c r="I971" t="s">
        <v>18</v>
      </c>
      <c r="J971" t="s">
        <v>19</v>
      </c>
      <c r="K971">
        <v>144</v>
      </c>
      <c r="L971">
        <v>0</v>
      </c>
      <c r="M971" t="s">
        <v>20</v>
      </c>
    </row>
    <row r="972" spans="1:13" x14ac:dyDescent="0.35">
      <c r="A972">
        <v>971</v>
      </c>
      <c r="B972">
        <v>583006312</v>
      </c>
      <c r="C972">
        <v>37485</v>
      </c>
      <c r="D972" t="s">
        <v>190</v>
      </c>
      <c r="E972" t="s">
        <v>386</v>
      </c>
      <c r="F972" t="s">
        <v>191</v>
      </c>
      <c r="G972" t="s">
        <v>192</v>
      </c>
      <c r="H972" t="s">
        <v>17</v>
      </c>
      <c r="I972" t="s">
        <v>18</v>
      </c>
      <c r="J972" t="s">
        <v>19</v>
      </c>
      <c r="K972">
        <v>279</v>
      </c>
      <c r="L972">
        <v>0</v>
      </c>
      <c r="M972" t="s">
        <v>20</v>
      </c>
    </row>
    <row r="973" spans="1:13" x14ac:dyDescent="0.35">
      <c r="A973">
        <v>972</v>
      </c>
      <c r="B973">
        <v>583006340</v>
      </c>
      <c r="C973">
        <v>37525</v>
      </c>
      <c r="D973" t="s">
        <v>45</v>
      </c>
      <c r="E973" t="s">
        <v>386</v>
      </c>
      <c r="F973" t="s">
        <v>46</v>
      </c>
      <c r="G973" t="s">
        <v>47</v>
      </c>
      <c r="H973" t="s">
        <v>17</v>
      </c>
      <c r="I973" t="s">
        <v>18</v>
      </c>
      <c r="J973" t="s">
        <v>19</v>
      </c>
      <c r="K973">
        <v>108</v>
      </c>
      <c r="L973">
        <v>0</v>
      </c>
      <c r="M973" t="s">
        <v>20</v>
      </c>
    </row>
    <row r="974" spans="1:13" x14ac:dyDescent="0.35">
      <c r="A974">
        <v>973</v>
      </c>
      <c r="B974">
        <v>583006342</v>
      </c>
      <c r="C974">
        <v>37527</v>
      </c>
      <c r="D974" t="s">
        <v>45</v>
      </c>
      <c r="E974" t="s">
        <v>386</v>
      </c>
      <c r="F974" t="s">
        <v>46</v>
      </c>
      <c r="G974" t="s">
        <v>47</v>
      </c>
      <c r="H974" t="s">
        <v>17</v>
      </c>
      <c r="I974" t="s">
        <v>18</v>
      </c>
      <c r="J974" t="s">
        <v>19</v>
      </c>
      <c r="K974">
        <v>180</v>
      </c>
      <c r="L974">
        <v>0</v>
      </c>
      <c r="M974" t="s">
        <v>20</v>
      </c>
    </row>
    <row r="975" spans="1:13" x14ac:dyDescent="0.35">
      <c r="A975">
        <v>974</v>
      </c>
      <c r="B975">
        <v>583006345</v>
      </c>
      <c r="C975">
        <v>37531</v>
      </c>
      <c r="D975" t="s">
        <v>45</v>
      </c>
      <c r="E975" t="s">
        <v>386</v>
      </c>
      <c r="F975" t="s">
        <v>46</v>
      </c>
      <c r="G975" t="s">
        <v>47</v>
      </c>
      <c r="H975" t="s">
        <v>17</v>
      </c>
      <c r="I975" t="s">
        <v>18</v>
      </c>
      <c r="J975" t="s">
        <v>19</v>
      </c>
      <c r="K975">
        <v>108</v>
      </c>
      <c r="L975">
        <v>0</v>
      </c>
      <c r="M975" t="s">
        <v>20</v>
      </c>
    </row>
    <row r="976" spans="1:13" x14ac:dyDescent="0.35">
      <c r="A976">
        <v>975</v>
      </c>
      <c r="B976">
        <v>583006347</v>
      </c>
      <c r="C976">
        <v>37533</v>
      </c>
      <c r="D976" t="s">
        <v>45</v>
      </c>
      <c r="E976" t="s">
        <v>386</v>
      </c>
      <c r="F976" t="s">
        <v>46</v>
      </c>
      <c r="G976" t="s">
        <v>47</v>
      </c>
      <c r="H976" t="s">
        <v>17</v>
      </c>
      <c r="I976" t="s">
        <v>18</v>
      </c>
      <c r="J976" t="s">
        <v>19</v>
      </c>
      <c r="K976">
        <v>135</v>
      </c>
      <c r="L976">
        <v>0</v>
      </c>
      <c r="M976" t="s">
        <v>20</v>
      </c>
    </row>
    <row r="977" spans="1:13" x14ac:dyDescent="0.35">
      <c r="A977">
        <v>976</v>
      </c>
      <c r="B977">
        <v>583006309</v>
      </c>
      <c r="C977">
        <v>37482</v>
      </c>
      <c r="D977" t="s">
        <v>98</v>
      </c>
      <c r="E977" t="s">
        <v>386</v>
      </c>
      <c r="F977" t="s">
        <v>99</v>
      </c>
      <c r="G977" t="s">
        <v>100</v>
      </c>
      <c r="H977" t="s">
        <v>17</v>
      </c>
      <c r="I977" t="s">
        <v>18</v>
      </c>
      <c r="J977" t="s">
        <v>19</v>
      </c>
      <c r="K977">
        <v>36</v>
      </c>
      <c r="L977">
        <v>0</v>
      </c>
      <c r="M977" t="s">
        <v>20</v>
      </c>
    </row>
    <row r="978" spans="1:13" x14ac:dyDescent="0.35">
      <c r="A978">
        <v>977</v>
      </c>
      <c r="B978">
        <v>583006335</v>
      </c>
      <c r="C978">
        <v>37516</v>
      </c>
      <c r="D978" t="s">
        <v>116</v>
      </c>
      <c r="E978" t="s">
        <v>386</v>
      </c>
      <c r="F978" t="s">
        <v>117</v>
      </c>
      <c r="G978" t="s">
        <v>118</v>
      </c>
      <c r="H978" t="s">
        <v>17</v>
      </c>
      <c r="I978" t="s">
        <v>18</v>
      </c>
      <c r="J978" t="s">
        <v>19</v>
      </c>
      <c r="K978">
        <v>4002</v>
      </c>
      <c r="L978">
        <v>0</v>
      </c>
      <c r="M978" t="s">
        <v>20</v>
      </c>
    </row>
    <row r="979" spans="1:13" x14ac:dyDescent="0.35">
      <c r="A979">
        <v>978</v>
      </c>
      <c r="B979">
        <v>583006387</v>
      </c>
      <c r="C979">
        <v>37582</v>
      </c>
      <c r="D979" t="s">
        <v>387</v>
      </c>
      <c r="E979" t="s">
        <v>386</v>
      </c>
      <c r="F979" t="s">
        <v>388</v>
      </c>
      <c r="G979" t="s">
        <v>389</v>
      </c>
      <c r="H979" t="s">
        <v>17</v>
      </c>
      <c r="I979" t="s">
        <v>35</v>
      </c>
      <c r="J979" t="s">
        <v>25</v>
      </c>
      <c r="K979">
        <v>7</v>
      </c>
      <c r="L979">
        <v>0</v>
      </c>
      <c r="M979" t="s">
        <v>20</v>
      </c>
    </row>
    <row r="980" spans="1:13" x14ac:dyDescent="0.35">
      <c r="A980">
        <v>979</v>
      </c>
      <c r="B980">
        <v>583006300</v>
      </c>
      <c r="C980">
        <v>37471</v>
      </c>
      <c r="D980" t="s">
        <v>13</v>
      </c>
      <c r="E980" t="s">
        <v>386</v>
      </c>
      <c r="F980" t="s">
        <v>15</v>
      </c>
      <c r="G980" t="s">
        <v>16</v>
      </c>
      <c r="H980" t="s">
        <v>17</v>
      </c>
      <c r="I980" t="s">
        <v>18</v>
      </c>
      <c r="J980" t="s">
        <v>19</v>
      </c>
      <c r="K980">
        <v>360</v>
      </c>
      <c r="L980">
        <v>0</v>
      </c>
      <c r="M980" t="s">
        <v>20</v>
      </c>
    </row>
    <row r="981" spans="1:13" x14ac:dyDescent="0.35">
      <c r="A981">
        <v>980</v>
      </c>
      <c r="B981">
        <v>583006356</v>
      </c>
      <c r="C981">
        <v>37547</v>
      </c>
      <c r="D981" t="s">
        <v>253</v>
      </c>
      <c r="E981" t="s">
        <v>386</v>
      </c>
      <c r="F981" t="s">
        <v>255</v>
      </c>
      <c r="G981" t="s">
        <v>256</v>
      </c>
      <c r="H981" t="s">
        <v>17</v>
      </c>
      <c r="I981" t="s">
        <v>18</v>
      </c>
      <c r="J981" t="s">
        <v>19</v>
      </c>
      <c r="K981">
        <v>261</v>
      </c>
      <c r="L981">
        <v>0</v>
      </c>
      <c r="M981" t="s">
        <v>20</v>
      </c>
    </row>
    <row r="982" spans="1:13" x14ac:dyDescent="0.35">
      <c r="A982">
        <v>981</v>
      </c>
      <c r="B982">
        <v>583006373</v>
      </c>
      <c r="C982">
        <v>37564</v>
      </c>
      <c r="D982" t="s">
        <v>65</v>
      </c>
      <c r="E982" t="s">
        <v>386</v>
      </c>
      <c r="F982" t="s">
        <v>66</v>
      </c>
      <c r="G982" t="s">
        <v>67</v>
      </c>
      <c r="H982" t="s">
        <v>17</v>
      </c>
      <c r="I982" t="s">
        <v>63</v>
      </c>
      <c r="J982" t="s">
        <v>64</v>
      </c>
      <c r="K982">
        <v>42</v>
      </c>
      <c r="L982">
        <v>74.34</v>
      </c>
      <c r="M982" t="s">
        <v>20</v>
      </c>
    </row>
    <row r="983" spans="1:13" x14ac:dyDescent="0.35">
      <c r="A983">
        <v>982</v>
      </c>
      <c r="B983">
        <v>583006383</v>
      </c>
      <c r="C983">
        <v>37576</v>
      </c>
      <c r="D983" t="s">
        <v>104</v>
      </c>
      <c r="E983" t="s">
        <v>386</v>
      </c>
      <c r="F983" t="s">
        <v>105</v>
      </c>
      <c r="G983" t="s">
        <v>106</v>
      </c>
      <c r="H983" t="s">
        <v>17</v>
      </c>
      <c r="I983" t="s">
        <v>63</v>
      </c>
      <c r="J983" t="s">
        <v>64</v>
      </c>
      <c r="K983">
        <v>40</v>
      </c>
      <c r="L983">
        <v>66</v>
      </c>
      <c r="M983" t="s">
        <v>20</v>
      </c>
    </row>
    <row r="984" spans="1:13" x14ac:dyDescent="0.35">
      <c r="A984">
        <v>983</v>
      </c>
      <c r="B984">
        <v>583006330</v>
      </c>
      <c r="C984">
        <v>37508</v>
      </c>
      <c r="D984" t="s">
        <v>199</v>
      </c>
      <c r="E984" t="s">
        <v>386</v>
      </c>
      <c r="F984" t="s">
        <v>201</v>
      </c>
      <c r="G984" t="s">
        <v>202</v>
      </c>
      <c r="H984" t="s">
        <v>17</v>
      </c>
      <c r="I984" t="s">
        <v>18</v>
      </c>
      <c r="J984" t="s">
        <v>19</v>
      </c>
      <c r="K984">
        <v>120</v>
      </c>
      <c r="L984">
        <v>0</v>
      </c>
      <c r="M984" t="s">
        <v>20</v>
      </c>
    </row>
    <row r="985" spans="1:13" x14ac:dyDescent="0.35">
      <c r="A985">
        <v>984</v>
      </c>
      <c r="B985">
        <v>583006338</v>
      </c>
      <c r="C985">
        <v>37519</v>
      </c>
      <c r="D985" t="s">
        <v>116</v>
      </c>
      <c r="E985" t="s">
        <v>386</v>
      </c>
      <c r="F985" t="s">
        <v>117</v>
      </c>
      <c r="G985" t="s">
        <v>118</v>
      </c>
      <c r="H985" t="s">
        <v>17</v>
      </c>
      <c r="I985" t="s">
        <v>24</v>
      </c>
      <c r="J985" t="s">
        <v>25</v>
      </c>
      <c r="K985">
        <v>30</v>
      </c>
      <c r="L985">
        <v>0</v>
      </c>
      <c r="M985" t="s">
        <v>20</v>
      </c>
    </row>
    <row r="986" spans="1:13" x14ac:dyDescent="0.35">
      <c r="A986">
        <v>985</v>
      </c>
      <c r="B986">
        <v>583006337</v>
      </c>
      <c r="C986">
        <v>37518</v>
      </c>
      <c r="D986" t="s">
        <v>116</v>
      </c>
      <c r="E986" t="s">
        <v>386</v>
      </c>
      <c r="F986" t="s">
        <v>117</v>
      </c>
      <c r="G986" t="s">
        <v>118</v>
      </c>
      <c r="H986" t="s">
        <v>17</v>
      </c>
      <c r="I986" t="s">
        <v>24</v>
      </c>
      <c r="J986" t="s">
        <v>25</v>
      </c>
      <c r="K986">
        <v>14</v>
      </c>
      <c r="L986">
        <v>0</v>
      </c>
      <c r="M986" t="s">
        <v>20</v>
      </c>
    </row>
    <row r="987" spans="1:13" x14ac:dyDescent="0.35">
      <c r="A987">
        <v>986</v>
      </c>
      <c r="B987">
        <v>583006356</v>
      </c>
      <c r="C987">
        <v>37547</v>
      </c>
      <c r="D987" t="s">
        <v>253</v>
      </c>
      <c r="E987" t="s">
        <v>386</v>
      </c>
      <c r="F987" t="s">
        <v>255</v>
      </c>
      <c r="G987" t="s">
        <v>256</v>
      </c>
      <c r="H987" t="s">
        <v>17</v>
      </c>
      <c r="I987" t="s">
        <v>18</v>
      </c>
      <c r="J987" t="s">
        <v>19</v>
      </c>
      <c r="K987">
        <v>234</v>
      </c>
      <c r="L987">
        <v>0</v>
      </c>
      <c r="M987" t="s">
        <v>20</v>
      </c>
    </row>
    <row r="988" spans="1:13" x14ac:dyDescent="0.35">
      <c r="A988">
        <v>987</v>
      </c>
      <c r="B988">
        <v>583006354</v>
      </c>
      <c r="C988">
        <v>37544</v>
      </c>
      <c r="D988" t="s">
        <v>253</v>
      </c>
      <c r="E988" t="s">
        <v>386</v>
      </c>
      <c r="F988" t="s">
        <v>255</v>
      </c>
      <c r="G988" t="s">
        <v>256</v>
      </c>
      <c r="H988" t="s">
        <v>17</v>
      </c>
      <c r="I988" t="s">
        <v>24</v>
      </c>
      <c r="J988" t="s">
        <v>25</v>
      </c>
      <c r="K988">
        <v>9</v>
      </c>
      <c r="L988">
        <v>0</v>
      </c>
      <c r="M988" t="s">
        <v>20</v>
      </c>
    </row>
    <row r="989" spans="1:13" x14ac:dyDescent="0.35">
      <c r="A989">
        <v>988</v>
      </c>
      <c r="B989">
        <v>583006314</v>
      </c>
      <c r="C989">
        <v>37488</v>
      </c>
      <c r="D989" t="s">
        <v>29</v>
      </c>
      <c r="E989" t="s">
        <v>386</v>
      </c>
      <c r="F989" t="s">
        <v>30</v>
      </c>
      <c r="G989" t="s">
        <v>31</v>
      </c>
      <c r="H989" t="s">
        <v>17</v>
      </c>
      <c r="I989" t="s">
        <v>18</v>
      </c>
      <c r="J989" t="s">
        <v>19</v>
      </c>
      <c r="K989">
        <v>36</v>
      </c>
      <c r="L989">
        <v>0</v>
      </c>
      <c r="M989" t="s">
        <v>20</v>
      </c>
    </row>
    <row r="990" spans="1:13" x14ac:dyDescent="0.35">
      <c r="A990">
        <v>989</v>
      </c>
      <c r="B990">
        <v>583006311</v>
      </c>
      <c r="C990">
        <v>37484</v>
      </c>
      <c r="D990" t="s">
        <v>190</v>
      </c>
      <c r="E990" t="s">
        <v>386</v>
      </c>
      <c r="F990" t="s">
        <v>191</v>
      </c>
      <c r="G990" t="s">
        <v>192</v>
      </c>
      <c r="H990" t="s">
        <v>17</v>
      </c>
      <c r="I990" t="s">
        <v>18</v>
      </c>
      <c r="J990" t="s">
        <v>19</v>
      </c>
      <c r="K990">
        <v>276</v>
      </c>
      <c r="L990">
        <v>0</v>
      </c>
      <c r="M990" t="s">
        <v>20</v>
      </c>
    </row>
    <row r="991" spans="1:13" x14ac:dyDescent="0.35">
      <c r="A991">
        <v>990</v>
      </c>
      <c r="B991">
        <v>583006308</v>
      </c>
      <c r="C991">
        <v>37481</v>
      </c>
      <c r="D991" t="s">
        <v>98</v>
      </c>
      <c r="E991" t="s">
        <v>386</v>
      </c>
      <c r="F991" t="s">
        <v>99</v>
      </c>
      <c r="G991" t="s">
        <v>100</v>
      </c>
      <c r="H991" t="s">
        <v>17</v>
      </c>
      <c r="I991" t="s">
        <v>18</v>
      </c>
      <c r="J991" t="s">
        <v>19</v>
      </c>
      <c r="K991">
        <v>90</v>
      </c>
      <c r="L991">
        <v>0</v>
      </c>
      <c r="M991" t="s">
        <v>20</v>
      </c>
    </row>
    <row r="992" spans="1:13" x14ac:dyDescent="0.35">
      <c r="A992">
        <v>991</v>
      </c>
      <c r="B992">
        <v>583006307</v>
      </c>
      <c r="C992">
        <v>37479</v>
      </c>
      <c r="D992" t="s">
        <v>129</v>
      </c>
      <c r="E992" t="s">
        <v>386</v>
      </c>
      <c r="F992" t="s">
        <v>130</v>
      </c>
      <c r="G992" t="s">
        <v>131</v>
      </c>
      <c r="H992" t="s">
        <v>17</v>
      </c>
      <c r="I992" t="s">
        <v>18</v>
      </c>
      <c r="J992" t="s">
        <v>19</v>
      </c>
      <c r="K992">
        <v>36</v>
      </c>
      <c r="L992">
        <v>0</v>
      </c>
      <c r="M992" t="s">
        <v>20</v>
      </c>
    </row>
    <row r="993" spans="1:13" x14ac:dyDescent="0.35">
      <c r="A993">
        <v>992</v>
      </c>
      <c r="B993">
        <v>583006302</v>
      </c>
      <c r="C993">
        <v>37473</v>
      </c>
      <c r="D993" t="s">
        <v>92</v>
      </c>
      <c r="E993" t="s">
        <v>386</v>
      </c>
      <c r="F993" t="s">
        <v>93</v>
      </c>
      <c r="G993" t="s">
        <v>94</v>
      </c>
      <c r="H993" t="s">
        <v>17</v>
      </c>
      <c r="I993" t="s">
        <v>18</v>
      </c>
      <c r="J993" t="s">
        <v>19</v>
      </c>
      <c r="K993">
        <v>45</v>
      </c>
      <c r="L993">
        <v>0</v>
      </c>
      <c r="M993" t="s">
        <v>20</v>
      </c>
    </row>
    <row r="994" spans="1:13" x14ac:dyDescent="0.35">
      <c r="A994">
        <v>993</v>
      </c>
      <c r="B994">
        <v>583006310</v>
      </c>
      <c r="C994">
        <v>37483</v>
      </c>
      <c r="D994" t="s">
        <v>190</v>
      </c>
      <c r="E994" t="s">
        <v>386</v>
      </c>
      <c r="F994" t="s">
        <v>191</v>
      </c>
      <c r="G994" t="s">
        <v>192</v>
      </c>
      <c r="H994" t="s">
        <v>17</v>
      </c>
      <c r="I994" t="s">
        <v>18</v>
      </c>
      <c r="J994" t="s">
        <v>19</v>
      </c>
      <c r="K994">
        <v>282</v>
      </c>
      <c r="L994">
        <v>0</v>
      </c>
      <c r="M994" t="s">
        <v>20</v>
      </c>
    </row>
    <row r="995" spans="1:13" x14ac:dyDescent="0.35">
      <c r="A995">
        <v>994</v>
      </c>
      <c r="B995">
        <v>583006316</v>
      </c>
      <c r="C995">
        <v>37490</v>
      </c>
      <c r="D995" t="s">
        <v>65</v>
      </c>
      <c r="E995" t="s">
        <v>386</v>
      </c>
      <c r="F995" t="s">
        <v>66</v>
      </c>
      <c r="G995" t="s">
        <v>67</v>
      </c>
      <c r="H995" t="s">
        <v>17</v>
      </c>
      <c r="I995" t="s">
        <v>18</v>
      </c>
      <c r="J995" t="s">
        <v>19</v>
      </c>
      <c r="K995">
        <v>21</v>
      </c>
      <c r="L995">
        <v>0</v>
      </c>
      <c r="M995" t="s">
        <v>20</v>
      </c>
    </row>
    <row r="996" spans="1:13" x14ac:dyDescent="0.35">
      <c r="A996">
        <v>995</v>
      </c>
      <c r="B996">
        <v>583006306</v>
      </c>
      <c r="C996">
        <v>37478</v>
      </c>
      <c r="D996" t="s">
        <v>247</v>
      </c>
      <c r="E996" t="s">
        <v>386</v>
      </c>
      <c r="F996" t="s">
        <v>248</v>
      </c>
      <c r="G996" t="s">
        <v>249</v>
      </c>
      <c r="H996" t="s">
        <v>17</v>
      </c>
      <c r="I996" t="s">
        <v>18</v>
      </c>
      <c r="J996" t="s">
        <v>19</v>
      </c>
      <c r="K996">
        <v>18</v>
      </c>
      <c r="L996">
        <v>0</v>
      </c>
      <c r="M996" t="s">
        <v>20</v>
      </c>
    </row>
    <row r="997" spans="1:13" x14ac:dyDescent="0.35">
      <c r="A997">
        <v>996</v>
      </c>
      <c r="B997">
        <v>583006297</v>
      </c>
      <c r="C997">
        <v>37466</v>
      </c>
      <c r="D997" t="s">
        <v>199</v>
      </c>
      <c r="E997" t="s">
        <v>386</v>
      </c>
      <c r="F997" t="s">
        <v>201</v>
      </c>
      <c r="G997" t="s">
        <v>202</v>
      </c>
      <c r="H997" t="s">
        <v>17</v>
      </c>
      <c r="I997" t="s">
        <v>18</v>
      </c>
      <c r="J997" t="s">
        <v>19</v>
      </c>
      <c r="K997">
        <v>24</v>
      </c>
      <c r="L997">
        <v>0</v>
      </c>
      <c r="M997" t="s">
        <v>20</v>
      </c>
    </row>
    <row r="998" spans="1:13" x14ac:dyDescent="0.35">
      <c r="A998">
        <v>997</v>
      </c>
      <c r="B998">
        <v>583006298</v>
      </c>
      <c r="C998">
        <v>37467</v>
      </c>
      <c r="D998" t="s">
        <v>144</v>
      </c>
      <c r="E998" t="s">
        <v>386</v>
      </c>
      <c r="F998" t="s">
        <v>145</v>
      </c>
      <c r="G998" t="s">
        <v>146</v>
      </c>
      <c r="H998" t="s">
        <v>17</v>
      </c>
      <c r="I998" t="s">
        <v>18</v>
      </c>
      <c r="J998" t="s">
        <v>19</v>
      </c>
      <c r="K998">
        <v>45</v>
      </c>
      <c r="L998">
        <v>0</v>
      </c>
      <c r="M998" t="s">
        <v>20</v>
      </c>
    </row>
    <row r="999" spans="1:13" x14ac:dyDescent="0.35">
      <c r="A999">
        <v>998</v>
      </c>
      <c r="B999">
        <v>583006294</v>
      </c>
      <c r="C999">
        <v>37463</v>
      </c>
      <c r="D999" t="s">
        <v>110</v>
      </c>
      <c r="E999" t="s">
        <v>386</v>
      </c>
      <c r="F999" t="s">
        <v>111</v>
      </c>
      <c r="G999" t="s">
        <v>112</v>
      </c>
      <c r="H999" t="s">
        <v>17</v>
      </c>
      <c r="I999" t="s">
        <v>18</v>
      </c>
      <c r="J999" t="s">
        <v>19</v>
      </c>
      <c r="K999">
        <v>48</v>
      </c>
      <c r="L999">
        <v>0</v>
      </c>
      <c r="M999" t="s">
        <v>20</v>
      </c>
    </row>
    <row r="1000" spans="1:13" x14ac:dyDescent="0.35">
      <c r="A1000">
        <v>999</v>
      </c>
      <c r="B1000">
        <v>583006296</v>
      </c>
      <c r="C1000">
        <v>37465</v>
      </c>
      <c r="D1000" t="s">
        <v>110</v>
      </c>
      <c r="E1000" t="s">
        <v>386</v>
      </c>
      <c r="F1000" t="s">
        <v>111</v>
      </c>
      <c r="G1000" t="s">
        <v>112</v>
      </c>
      <c r="H1000" t="s">
        <v>17</v>
      </c>
      <c r="I1000" t="s">
        <v>18</v>
      </c>
      <c r="J1000" t="s">
        <v>19</v>
      </c>
      <c r="K1000">
        <v>45</v>
      </c>
      <c r="L1000">
        <v>0</v>
      </c>
      <c r="M1000" t="s">
        <v>20</v>
      </c>
    </row>
    <row r="1001" spans="1:13" x14ac:dyDescent="0.35">
      <c r="A1001">
        <v>1000</v>
      </c>
      <c r="B1001">
        <v>583006447</v>
      </c>
      <c r="C1001">
        <v>37660</v>
      </c>
      <c r="D1001" t="s">
        <v>45</v>
      </c>
      <c r="E1001" t="s">
        <v>393</v>
      </c>
      <c r="F1001" t="s">
        <v>46</v>
      </c>
      <c r="G1001" t="s">
        <v>47</v>
      </c>
      <c r="H1001" t="s">
        <v>17</v>
      </c>
      <c r="I1001" t="s">
        <v>18</v>
      </c>
      <c r="J1001" t="s">
        <v>19</v>
      </c>
      <c r="K1001">
        <v>72</v>
      </c>
      <c r="L1001">
        <v>0</v>
      </c>
      <c r="M1001" t="s">
        <v>20</v>
      </c>
    </row>
    <row r="1002" spans="1:13" x14ac:dyDescent="0.35">
      <c r="A1002">
        <v>1001</v>
      </c>
      <c r="B1002">
        <v>583006448</v>
      </c>
      <c r="C1002">
        <v>37661</v>
      </c>
      <c r="D1002" t="s">
        <v>45</v>
      </c>
      <c r="E1002" t="s">
        <v>393</v>
      </c>
      <c r="F1002" t="s">
        <v>46</v>
      </c>
      <c r="G1002" t="s">
        <v>47</v>
      </c>
      <c r="H1002" t="s">
        <v>17</v>
      </c>
      <c r="I1002" t="s">
        <v>18</v>
      </c>
      <c r="J1002" t="s">
        <v>19</v>
      </c>
      <c r="K1002">
        <v>225</v>
      </c>
      <c r="L1002">
        <v>0</v>
      </c>
      <c r="M1002" t="s">
        <v>20</v>
      </c>
    </row>
    <row r="1003" spans="1:13" x14ac:dyDescent="0.35">
      <c r="A1003">
        <v>1002</v>
      </c>
      <c r="B1003">
        <v>583006476</v>
      </c>
      <c r="C1003">
        <v>37691</v>
      </c>
      <c r="D1003" t="s">
        <v>125</v>
      </c>
      <c r="E1003" t="s">
        <v>393</v>
      </c>
      <c r="F1003" t="s">
        <v>127</v>
      </c>
      <c r="G1003" t="s">
        <v>128</v>
      </c>
      <c r="H1003" t="s">
        <v>17</v>
      </c>
      <c r="I1003" t="s">
        <v>18</v>
      </c>
      <c r="J1003" t="s">
        <v>19</v>
      </c>
      <c r="K1003">
        <v>2106</v>
      </c>
      <c r="L1003">
        <v>0</v>
      </c>
      <c r="M1003" t="s">
        <v>20</v>
      </c>
    </row>
    <row r="1004" spans="1:13" x14ac:dyDescent="0.35">
      <c r="A1004">
        <v>1003</v>
      </c>
      <c r="B1004">
        <v>583006454</v>
      </c>
      <c r="C1004">
        <v>37667</v>
      </c>
      <c r="D1004" t="s">
        <v>394</v>
      </c>
      <c r="E1004" t="s">
        <v>393</v>
      </c>
      <c r="F1004" t="s">
        <v>395</v>
      </c>
      <c r="G1004" t="s">
        <v>396</v>
      </c>
      <c r="H1004" t="s">
        <v>17</v>
      </c>
      <c r="I1004" t="s">
        <v>24</v>
      </c>
      <c r="J1004" t="s">
        <v>25</v>
      </c>
      <c r="K1004">
        <v>3</v>
      </c>
      <c r="L1004">
        <v>0</v>
      </c>
      <c r="M1004" t="s">
        <v>20</v>
      </c>
    </row>
    <row r="1005" spans="1:13" x14ac:dyDescent="0.35">
      <c r="A1005">
        <v>1004</v>
      </c>
      <c r="B1005">
        <v>583006400</v>
      </c>
      <c r="C1005">
        <v>37606</v>
      </c>
      <c r="D1005" t="s">
        <v>181</v>
      </c>
      <c r="E1005" t="s">
        <v>393</v>
      </c>
      <c r="F1005" t="s">
        <v>182</v>
      </c>
      <c r="G1005" t="s">
        <v>183</v>
      </c>
      <c r="H1005" t="s">
        <v>17</v>
      </c>
      <c r="I1005" t="s">
        <v>24</v>
      </c>
      <c r="J1005" t="s">
        <v>25</v>
      </c>
      <c r="K1005">
        <v>6</v>
      </c>
      <c r="L1005">
        <v>0</v>
      </c>
      <c r="M1005" t="s">
        <v>20</v>
      </c>
    </row>
    <row r="1006" spans="1:13" x14ac:dyDescent="0.35">
      <c r="A1006">
        <v>1005</v>
      </c>
      <c r="B1006">
        <v>583006400</v>
      </c>
      <c r="C1006">
        <v>37606</v>
      </c>
      <c r="D1006" t="s">
        <v>181</v>
      </c>
      <c r="E1006" t="s">
        <v>393</v>
      </c>
      <c r="F1006" t="s">
        <v>182</v>
      </c>
      <c r="G1006" t="s">
        <v>183</v>
      </c>
      <c r="H1006" t="s">
        <v>17</v>
      </c>
      <c r="I1006" t="s">
        <v>24</v>
      </c>
      <c r="J1006" t="s">
        <v>74</v>
      </c>
      <c r="K1006">
        <v>2</v>
      </c>
      <c r="L1006">
        <v>0</v>
      </c>
      <c r="M1006" t="s">
        <v>20</v>
      </c>
    </row>
    <row r="1007" spans="1:13" x14ac:dyDescent="0.35">
      <c r="A1007">
        <v>1006</v>
      </c>
      <c r="B1007">
        <v>583006449</v>
      </c>
      <c r="C1007">
        <v>37662</v>
      </c>
      <c r="D1007" t="s">
        <v>231</v>
      </c>
      <c r="E1007" t="s">
        <v>393</v>
      </c>
      <c r="F1007" t="s">
        <v>232</v>
      </c>
      <c r="G1007" t="s">
        <v>233</v>
      </c>
      <c r="H1007" t="s">
        <v>17</v>
      </c>
      <c r="I1007" t="s">
        <v>24</v>
      </c>
      <c r="J1007" t="s">
        <v>25</v>
      </c>
      <c r="K1007">
        <v>10</v>
      </c>
      <c r="L1007">
        <v>0</v>
      </c>
      <c r="M1007" t="s">
        <v>20</v>
      </c>
    </row>
    <row r="1008" spans="1:13" x14ac:dyDescent="0.35">
      <c r="A1008">
        <v>1007</v>
      </c>
      <c r="B1008">
        <v>583006476</v>
      </c>
      <c r="C1008">
        <v>37691</v>
      </c>
      <c r="D1008" t="s">
        <v>125</v>
      </c>
      <c r="E1008" t="s">
        <v>393</v>
      </c>
      <c r="F1008" t="s">
        <v>127</v>
      </c>
      <c r="G1008" t="s">
        <v>128</v>
      </c>
      <c r="H1008" t="s">
        <v>17</v>
      </c>
      <c r="I1008" t="s">
        <v>18</v>
      </c>
      <c r="J1008" t="s">
        <v>19</v>
      </c>
      <c r="K1008">
        <v>237</v>
      </c>
      <c r="L1008">
        <v>0</v>
      </c>
      <c r="M1008" t="s">
        <v>20</v>
      </c>
    </row>
    <row r="1009" spans="1:13" x14ac:dyDescent="0.35">
      <c r="A1009">
        <v>1008</v>
      </c>
      <c r="B1009">
        <v>583006456</v>
      </c>
      <c r="C1009">
        <v>37669</v>
      </c>
      <c r="D1009" t="s">
        <v>65</v>
      </c>
      <c r="E1009" t="s">
        <v>393</v>
      </c>
      <c r="F1009" t="s">
        <v>66</v>
      </c>
      <c r="G1009" t="s">
        <v>67</v>
      </c>
      <c r="H1009" t="s">
        <v>17</v>
      </c>
      <c r="I1009" t="s">
        <v>18</v>
      </c>
      <c r="J1009" t="s">
        <v>19</v>
      </c>
      <c r="K1009">
        <v>90</v>
      </c>
      <c r="L1009">
        <v>0</v>
      </c>
      <c r="M1009" t="s">
        <v>20</v>
      </c>
    </row>
    <row r="1010" spans="1:13" x14ac:dyDescent="0.35">
      <c r="A1010">
        <v>1009</v>
      </c>
      <c r="B1010">
        <v>583006482</v>
      </c>
      <c r="C1010">
        <v>37700</v>
      </c>
      <c r="D1010" t="s">
        <v>116</v>
      </c>
      <c r="E1010" t="s">
        <v>393</v>
      </c>
      <c r="F1010" t="s">
        <v>117</v>
      </c>
      <c r="G1010" t="s">
        <v>118</v>
      </c>
      <c r="H1010" t="s">
        <v>17</v>
      </c>
      <c r="I1010" t="s">
        <v>18</v>
      </c>
      <c r="J1010" t="s">
        <v>19</v>
      </c>
      <c r="K1010">
        <v>2853</v>
      </c>
      <c r="L1010">
        <v>0</v>
      </c>
      <c r="M1010" t="s">
        <v>20</v>
      </c>
    </row>
    <row r="1011" spans="1:13" x14ac:dyDescent="0.35">
      <c r="A1011">
        <v>1010</v>
      </c>
      <c r="B1011">
        <v>583006452</v>
      </c>
      <c r="C1011">
        <v>37665</v>
      </c>
      <c r="D1011" t="s">
        <v>65</v>
      </c>
      <c r="E1011" t="s">
        <v>393</v>
      </c>
      <c r="F1011" t="s">
        <v>66</v>
      </c>
      <c r="G1011" t="s">
        <v>67</v>
      </c>
      <c r="H1011" t="s">
        <v>17</v>
      </c>
      <c r="I1011" t="s">
        <v>24</v>
      </c>
      <c r="J1011" t="s">
        <v>25</v>
      </c>
      <c r="K1011">
        <v>8</v>
      </c>
      <c r="L1011">
        <v>0</v>
      </c>
      <c r="M1011" t="s">
        <v>20</v>
      </c>
    </row>
    <row r="1012" spans="1:13" x14ac:dyDescent="0.35">
      <c r="A1012">
        <v>1011</v>
      </c>
      <c r="B1012">
        <v>583006445</v>
      </c>
      <c r="C1012">
        <v>37658</v>
      </c>
      <c r="D1012" t="s">
        <v>307</v>
      </c>
      <c r="E1012" t="s">
        <v>393</v>
      </c>
      <c r="F1012" t="s">
        <v>308</v>
      </c>
      <c r="G1012" t="s">
        <v>309</v>
      </c>
      <c r="H1012" t="s">
        <v>17</v>
      </c>
      <c r="I1012" t="s">
        <v>35</v>
      </c>
      <c r="J1012" t="s">
        <v>25</v>
      </c>
      <c r="K1012">
        <v>10</v>
      </c>
      <c r="L1012">
        <v>0</v>
      </c>
      <c r="M1012" t="s">
        <v>20</v>
      </c>
    </row>
    <row r="1013" spans="1:13" x14ac:dyDescent="0.35">
      <c r="A1013">
        <v>1012</v>
      </c>
      <c r="B1013">
        <v>583006444</v>
      </c>
      <c r="C1013">
        <v>37657</v>
      </c>
      <c r="D1013" t="s">
        <v>307</v>
      </c>
      <c r="E1013" t="s">
        <v>393</v>
      </c>
      <c r="F1013" t="s">
        <v>308</v>
      </c>
      <c r="G1013" t="s">
        <v>309</v>
      </c>
      <c r="H1013" t="s">
        <v>17</v>
      </c>
      <c r="I1013" t="s">
        <v>35</v>
      </c>
      <c r="J1013" t="s">
        <v>25</v>
      </c>
      <c r="K1013">
        <v>210</v>
      </c>
      <c r="L1013">
        <v>0</v>
      </c>
      <c r="M1013" t="s">
        <v>20</v>
      </c>
    </row>
    <row r="1014" spans="1:13" x14ac:dyDescent="0.35">
      <c r="A1014">
        <v>1013</v>
      </c>
      <c r="B1014">
        <v>583006476</v>
      </c>
      <c r="C1014">
        <v>37691</v>
      </c>
      <c r="D1014" t="s">
        <v>125</v>
      </c>
      <c r="E1014" t="s">
        <v>393</v>
      </c>
      <c r="F1014" t="s">
        <v>127</v>
      </c>
      <c r="G1014" t="s">
        <v>128</v>
      </c>
      <c r="H1014" t="s">
        <v>17</v>
      </c>
      <c r="I1014" t="s">
        <v>18</v>
      </c>
      <c r="J1014" t="s">
        <v>19</v>
      </c>
      <c r="K1014">
        <v>540</v>
      </c>
      <c r="L1014">
        <v>0</v>
      </c>
      <c r="M1014" t="s">
        <v>20</v>
      </c>
    </row>
    <row r="1015" spans="1:13" x14ac:dyDescent="0.35">
      <c r="A1015">
        <v>1014</v>
      </c>
      <c r="B1015">
        <v>583006470</v>
      </c>
      <c r="C1015">
        <v>37684</v>
      </c>
      <c r="D1015" t="s">
        <v>104</v>
      </c>
      <c r="E1015" t="s">
        <v>393</v>
      </c>
      <c r="F1015" t="s">
        <v>105</v>
      </c>
      <c r="G1015" t="s">
        <v>106</v>
      </c>
      <c r="H1015" t="s">
        <v>17</v>
      </c>
      <c r="I1015" t="s">
        <v>63</v>
      </c>
      <c r="J1015" t="s">
        <v>64</v>
      </c>
      <c r="K1015">
        <v>220</v>
      </c>
      <c r="L1015">
        <v>389.4</v>
      </c>
      <c r="M1015" t="s">
        <v>20</v>
      </c>
    </row>
    <row r="1016" spans="1:13" x14ac:dyDescent="0.35">
      <c r="A1016">
        <v>1015</v>
      </c>
      <c r="B1016">
        <v>583006453</v>
      </c>
      <c r="C1016">
        <v>37666</v>
      </c>
      <c r="D1016" t="s">
        <v>394</v>
      </c>
      <c r="E1016" t="s">
        <v>393</v>
      </c>
      <c r="F1016" t="s">
        <v>395</v>
      </c>
      <c r="G1016" t="s">
        <v>396</v>
      </c>
      <c r="H1016" t="s">
        <v>17</v>
      </c>
      <c r="I1016" t="s">
        <v>18</v>
      </c>
      <c r="J1016" t="s">
        <v>19</v>
      </c>
      <c r="K1016">
        <v>936</v>
      </c>
      <c r="L1016">
        <v>0</v>
      </c>
      <c r="M1016" t="s">
        <v>20</v>
      </c>
    </row>
    <row r="1017" spans="1:13" x14ac:dyDescent="0.35">
      <c r="A1017">
        <v>1016</v>
      </c>
      <c r="B1017">
        <v>583006453</v>
      </c>
      <c r="C1017">
        <v>37666</v>
      </c>
      <c r="D1017" t="s">
        <v>394</v>
      </c>
      <c r="E1017" t="s">
        <v>393</v>
      </c>
      <c r="F1017" t="s">
        <v>395</v>
      </c>
      <c r="G1017" t="s">
        <v>396</v>
      </c>
      <c r="H1017" t="s">
        <v>17</v>
      </c>
      <c r="I1017" t="s">
        <v>18</v>
      </c>
      <c r="J1017" t="s">
        <v>19</v>
      </c>
      <c r="K1017">
        <v>945</v>
      </c>
      <c r="L1017">
        <v>0</v>
      </c>
      <c r="M1017" t="s">
        <v>20</v>
      </c>
    </row>
    <row r="1018" spans="1:13" x14ac:dyDescent="0.35">
      <c r="A1018">
        <v>1017</v>
      </c>
      <c r="B1018">
        <v>583006406</v>
      </c>
      <c r="C1018">
        <v>37613</v>
      </c>
      <c r="D1018" t="s">
        <v>331</v>
      </c>
      <c r="E1018" t="s">
        <v>393</v>
      </c>
      <c r="F1018" t="s">
        <v>332</v>
      </c>
      <c r="G1018" t="s">
        <v>333</v>
      </c>
      <c r="H1018" t="s">
        <v>17</v>
      </c>
      <c r="I1018" t="s">
        <v>18</v>
      </c>
      <c r="J1018" t="s">
        <v>19</v>
      </c>
      <c r="K1018">
        <v>45</v>
      </c>
      <c r="L1018">
        <v>0</v>
      </c>
      <c r="M1018" t="s">
        <v>20</v>
      </c>
    </row>
    <row r="1019" spans="1:13" x14ac:dyDescent="0.35">
      <c r="A1019">
        <v>1018</v>
      </c>
      <c r="B1019">
        <v>583006451</v>
      </c>
      <c r="C1019">
        <v>37664</v>
      </c>
      <c r="D1019" t="s">
        <v>280</v>
      </c>
      <c r="E1019" t="s">
        <v>393</v>
      </c>
      <c r="F1019" t="s">
        <v>281</v>
      </c>
      <c r="G1019" t="s">
        <v>282</v>
      </c>
      <c r="H1019" t="s">
        <v>17</v>
      </c>
      <c r="I1019" t="s">
        <v>35</v>
      </c>
      <c r="J1019" t="s">
        <v>25</v>
      </c>
      <c r="K1019">
        <v>6</v>
      </c>
      <c r="L1019">
        <v>0</v>
      </c>
      <c r="M1019" t="s">
        <v>20</v>
      </c>
    </row>
    <row r="1020" spans="1:13" x14ac:dyDescent="0.35">
      <c r="A1020">
        <v>1019</v>
      </c>
      <c r="B1020">
        <v>583006401</v>
      </c>
      <c r="C1020">
        <v>37608</v>
      </c>
      <c r="D1020" t="s">
        <v>136</v>
      </c>
      <c r="E1020" t="s">
        <v>393</v>
      </c>
      <c r="F1020" t="s">
        <v>137</v>
      </c>
      <c r="G1020" t="s">
        <v>138</v>
      </c>
      <c r="H1020" t="s">
        <v>17</v>
      </c>
      <c r="I1020" t="s">
        <v>18</v>
      </c>
      <c r="J1020" t="s">
        <v>19</v>
      </c>
      <c r="K1020">
        <v>45</v>
      </c>
      <c r="L1020">
        <v>0</v>
      </c>
      <c r="M1020" t="s">
        <v>20</v>
      </c>
    </row>
    <row r="1021" spans="1:13" x14ac:dyDescent="0.35">
      <c r="A1021">
        <v>1020</v>
      </c>
      <c r="B1021">
        <v>583006463</v>
      </c>
      <c r="C1021">
        <v>37676</v>
      </c>
      <c r="D1021" t="s">
        <v>397</v>
      </c>
      <c r="E1021" t="s">
        <v>393</v>
      </c>
      <c r="F1021" t="s">
        <v>398</v>
      </c>
      <c r="G1021" t="s">
        <v>399</v>
      </c>
      <c r="H1021" t="s">
        <v>17</v>
      </c>
      <c r="I1021" t="s">
        <v>18</v>
      </c>
      <c r="J1021" t="s">
        <v>19</v>
      </c>
      <c r="K1021">
        <v>756</v>
      </c>
      <c r="L1021">
        <v>0</v>
      </c>
      <c r="M1021" t="s">
        <v>20</v>
      </c>
    </row>
    <row r="1022" spans="1:13" x14ac:dyDescent="0.35">
      <c r="A1022">
        <v>1021</v>
      </c>
      <c r="B1022">
        <v>583006463</v>
      </c>
      <c r="C1022">
        <v>37676</v>
      </c>
      <c r="D1022" t="s">
        <v>397</v>
      </c>
      <c r="E1022" t="s">
        <v>393</v>
      </c>
      <c r="F1022" t="s">
        <v>398</v>
      </c>
      <c r="G1022" t="s">
        <v>399</v>
      </c>
      <c r="H1022" t="s">
        <v>17</v>
      </c>
      <c r="I1022" t="s">
        <v>18</v>
      </c>
      <c r="J1022" t="s">
        <v>19</v>
      </c>
      <c r="K1022">
        <v>2220</v>
      </c>
      <c r="L1022">
        <v>0</v>
      </c>
      <c r="M1022" t="s">
        <v>20</v>
      </c>
    </row>
    <row r="1023" spans="1:13" x14ac:dyDescent="0.35">
      <c r="A1023">
        <v>1022</v>
      </c>
      <c r="B1023">
        <v>583006463</v>
      </c>
      <c r="C1023">
        <v>37676</v>
      </c>
      <c r="D1023" t="s">
        <v>397</v>
      </c>
      <c r="E1023" t="s">
        <v>393</v>
      </c>
      <c r="F1023" t="s">
        <v>398</v>
      </c>
      <c r="G1023" t="s">
        <v>399</v>
      </c>
      <c r="H1023" t="s">
        <v>17</v>
      </c>
      <c r="I1023" t="s">
        <v>18</v>
      </c>
      <c r="J1023" t="s">
        <v>19</v>
      </c>
      <c r="K1023">
        <v>954</v>
      </c>
      <c r="L1023">
        <v>0</v>
      </c>
      <c r="M1023" t="s">
        <v>20</v>
      </c>
    </row>
    <row r="1024" spans="1:13" x14ac:dyDescent="0.35">
      <c r="A1024">
        <v>1023</v>
      </c>
      <c r="B1024">
        <v>583006463</v>
      </c>
      <c r="C1024">
        <v>37676</v>
      </c>
      <c r="D1024" t="s">
        <v>397</v>
      </c>
      <c r="E1024" t="s">
        <v>393</v>
      </c>
      <c r="F1024" t="s">
        <v>398</v>
      </c>
      <c r="G1024" t="s">
        <v>399</v>
      </c>
      <c r="H1024" t="s">
        <v>17</v>
      </c>
      <c r="I1024" t="s">
        <v>18</v>
      </c>
      <c r="J1024" t="s">
        <v>19</v>
      </c>
      <c r="K1024">
        <v>36</v>
      </c>
      <c r="L1024">
        <v>0</v>
      </c>
      <c r="M1024" t="s">
        <v>20</v>
      </c>
    </row>
    <row r="1025" spans="1:13" x14ac:dyDescent="0.35">
      <c r="A1025">
        <v>1024</v>
      </c>
      <c r="B1025">
        <v>583006450</v>
      </c>
      <c r="C1025">
        <v>37663</v>
      </c>
      <c r="D1025" t="s">
        <v>280</v>
      </c>
      <c r="E1025" t="s">
        <v>393</v>
      </c>
      <c r="F1025" t="s">
        <v>281</v>
      </c>
      <c r="G1025" t="s">
        <v>282</v>
      </c>
      <c r="H1025" t="s">
        <v>17</v>
      </c>
      <c r="I1025" t="s">
        <v>18</v>
      </c>
      <c r="J1025" t="s">
        <v>19</v>
      </c>
      <c r="K1025">
        <v>432</v>
      </c>
      <c r="L1025">
        <v>0</v>
      </c>
      <c r="M1025" t="s">
        <v>20</v>
      </c>
    </row>
    <row r="1026" spans="1:13" x14ac:dyDescent="0.35">
      <c r="A1026">
        <v>1025</v>
      </c>
      <c r="B1026">
        <v>583006450</v>
      </c>
      <c r="C1026">
        <v>37663</v>
      </c>
      <c r="D1026" t="s">
        <v>280</v>
      </c>
      <c r="E1026" t="s">
        <v>393</v>
      </c>
      <c r="F1026" t="s">
        <v>281</v>
      </c>
      <c r="G1026" t="s">
        <v>282</v>
      </c>
      <c r="H1026" t="s">
        <v>17</v>
      </c>
      <c r="I1026" t="s">
        <v>18</v>
      </c>
      <c r="J1026" t="s">
        <v>19</v>
      </c>
      <c r="K1026">
        <v>174</v>
      </c>
      <c r="L1026">
        <v>0</v>
      </c>
      <c r="M1026" t="s">
        <v>20</v>
      </c>
    </row>
    <row r="1027" spans="1:13" x14ac:dyDescent="0.35">
      <c r="A1027">
        <v>1026</v>
      </c>
      <c r="B1027">
        <v>583006450</v>
      </c>
      <c r="C1027">
        <v>37663</v>
      </c>
      <c r="D1027" t="s">
        <v>280</v>
      </c>
      <c r="E1027" t="s">
        <v>393</v>
      </c>
      <c r="F1027" t="s">
        <v>281</v>
      </c>
      <c r="G1027" t="s">
        <v>282</v>
      </c>
      <c r="H1027" t="s">
        <v>17</v>
      </c>
      <c r="I1027" t="s">
        <v>18</v>
      </c>
      <c r="J1027" t="s">
        <v>19</v>
      </c>
      <c r="K1027">
        <v>2094</v>
      </c>
      <c r="L1027">
        <v>0</v>
      </c>
      <c r="M1027" t="s">
        <v>20</v>
      </c>
    </row>
    <row r="1028" spans="1:13" x14ac:dyDescent="0.35">
      <c r="A1028">
        <v>1027</v>
      </c>
      <c r="B1028">
        <v>583006393</v>
      </c>
      <c r="C1028">
        <v>37596</v>
      </c>
      <c r="D1028" t="s">
        <v>82</v>
      </c>
      <c r="E1028" t="s">
        <v>393</v>
      </c>
      <c r="F1028" t="s">
        <v>83</v>
      </c>
      <c r="G1028" t="s">
        <v>84</v>
      </c>
      <c r="H1028" t="s">
        <v>17</v>
      </c>
      <c r="I1028" t="s">
        <v>91</v>
      </c>
      <c r="J1028" t="s">
        <v>25</v>
      </c>
      <c r="K1028">
        <v>720</v>
      </c>
      <c r="L1028">
        <v>0</v>
      </c>
      <c r="M1028" t="s">
        <v>20</v>
      </c>
    </row>
    <row r="1029" spans="1:13" x14ac:dyDescent="0.35">
      <c r="A1029">
        <v>1028</v>
      </c>
      <c r="B1029">
        <v>583006421</v>
      </c>
      <c r="C1029">
        <v>37629</v>
      </c>
      <c r="D1029" t="s">
        <v>174</v>
      </c>
      <c r="E1029" t="s">
        <v>393</v>
      </c>
      <c r="F1029" t="s">
        <v>175</v>
      </c>
      <c r="G1029" t="s">
        <v>176</v>
      </c>
      <c r="H1029" t="s">
        <v>17</v>
      </c>
      <c r="I1029" t="s">
        <v>18</v>
      </c>
      <c r="J1029" t="s">
        <v>19</v>
      </c>
      <c r="K1029">
        <v>12</v>
      </c>
      <c r="L1029">
        <v>0</v>
      </c>
      <c r="M1029" t="s">
        <v>20</v>
      </c>
    </row>
    <row r="1030" spans="1:13" x14ac:dyDescent="0.35">
      <c r="A1030">
        <v>1029</v>
      </c>
      <c r="B1030">
        <v>583006419</v>
      </c>
      <c r="C1030">
        <v>37627</v>
      </c>
      <c r="D1030" t="s">
        <v>174</v>
      </c>
      <c r="E1030" t="s">
        <v>393</v>
      </c>
      <c r="F1030" t="s">
        <v>175</v>
      </c>
      <c r="G1030" t="s">
        <v>176</v>
      </c>
      <c r="H1030" t="s">
        <v>17</v>
      </c>
      <c r="I1030" t="s">
        <v>18</v>
      </c>
      <c r="J1030" t="s">
        <v>19</v>
      </c>
      <c r="K1030">
        <v>144</v>
      </c>
      <c r="L1030">
        <v>0</v>
      </c>
      <c r="M1030" t="s">
        <v>20</v>
      </c>
    </row>
    <row r="1031" spans="1:13" x14ac:dyDescent="0.35">
      <c r="A1031">
        <v>1030</v>
      </c>
      <c r="B1031">
        <v>583006408</v>
      </c>
      <c r="C1031">
        <v>37616</v>
      </c>
      <c r="D1031" t="s">
        <v>380</v>
      </c>
      <c r="E1031" t="s">
        <v>393</v>
      </c>
      <c r="F1031" t="s">
        <v>381</v>
      </c>
      <c r="G1031" t="s">
        <v>382</v>
      </c>
      <c r="H1031" t="s">
        <v>17</v>
      </c>
      <c r="I1031" t="s">
        <v>18</v>
      </c>
      <c r="J1031" t="s">
        <v>19</v>
      </c>
      <c r="K1031">
        <v>84</v>
      </c>
      <c r="L1031">
        <v>0</v>
      </c>
      <c r="M1031" t="s">
        <v>20</v>
      </c>
    </row>
    <row r="1032" spans="1:13" x14ac:dyDescent="0.35">
      <c r="A1032">
        <v>1031</v>
      </c>
      <c r="B1032">
        <v>583006433</v>
      </c>
      <c r="C1032">
        <v>37643</v>
      </c>
      <c r="D1032" t="s">
        <v>344</v>
      </c>
      <c r="E1032" t="s">
        <v>393</v>
      </c>
      <c r="F1032" t="s">
        <v>345</v>
      </c>
      <c r="G1032" t="s">
        <v>346</v>
      </c>
      <c r="H1032" t="s">
        <v>17</v>
      </c>
      <c r="I1032" t="s">
        <v>18</v>
      </c>
      <c r="J1032" t="s">
        <v>19</v>
      </c>
      <c r="K1032">
        <v>12</v>
      </c>
      <c r="L1032">
        <v>0</v>
      </c>
      <c r="M1032" t="s">
        <v>20</v>
      </c>
    </row>
    <row r="1033" spans="1:13" x14ac:dyDescent="0.35">
      <c r="A1033">
        <v>1032</v>
      </c>
      <c r="B1033">
        <v>583006412</v>
      </c>
      <c r="C1033">
        <v>37620</v>
      </c>
      <c r="D1033" t="s">
        <v>75</v>
      </c>
      <c r="E1033" t="s">
        <v>393</v>
      </c>
      <c r="F1033" t="s">
        <v>76</v>
      </c>
      <c r="G1033" t="s">
        <v>77</v>
      </c>
      <c r="H1033" t="s">
        <v>17</v>
      </c>
      <c r="I1033" t="s">
        <v>18</v>
      </c>
      <c r="J1033" t="s">
        <v>19</v>
      </c>
      <c r="K1033">
        <v>9</v>
      </c>
      <c r="L1033">
        <v>0</v>
      </c>
      <c r="M1033" t="s">
        <v>20</v>
      </c>
    </row>
    <row r="1034" spans="1:13" x14ac:dyDescent="0.35">
      <c r="A1034">
        <v>1033</v>
      </c>
      <c r="B1034">
        <v>583006398</v>
      </c>
      <c r="C1034">
        <v>37604</v>
      </c>
      <c r="D1034" t="s">
        <v>181</v>
      </c>
      <c r="E1034" t="s">
        <v>393</v>
      </c>
      <c r="F1034" t="s">
        <v>182</v>
      </c>
      <c r="G1034" t="s">
        <v>183</v>
      </c>
      <c r="H1034" t="s">
        <v>17</v>
      </c>
      <c r="I1034" t="s">
        <v>135</v>
      </c>
      <c r="J1034" t="s">
        <v>19</v>
      </c>
      <c r="K1034">
        <v>246</v>
      </c>
      <c r="L1034">
        <v>0</v>
      </c>
      <c r="M1034" t="s">
        <v>20</v>
      </c>
    </row>
    <row r="1035" spans="1:13" x14ac:dyDescent="0.35">
      <c r="A1035">
        <v>1034</v>
      </c>
      <c r="B1035">
        <v>583006434</v>
      </c>
      <c r="C1035">
        <v>37644</v>
      </c>
      <c r="D1035" t="s">
        <v>277</v>
      </c>
      <c r="E1035" t="s">
        <v>393</v>
      </c>
      <c r="F1035" t="s">
        <v>278</v>
      </c>
      <c r="G1035" t="s">
        <v>279</v>
      </c>
      <c r="H1035" t="s">
        <v>17</v>
      </c>
      <c r="I1035" t="s">
        <v>18</v>
      </c>
      <c r="J1035" t="s">
        <v>19</v>
      </c>
      <c r="K1035">
        <v>621</v>
      </c>
      <c r="L1035">
        <v>0</v>
      </c>
      <c r="M1035" t="s">
        <v>20</v>
      </c>
    </row>
    <row r="1036" spans="1:13" x14ac:dyDescent="0.35">
      <c r="A1036">
        <v>1035</v>
      </c>
      <c r="B1036">
        <v>583006434</v>
      </c>
      <c r="C1036">
        <v>37644</v>
      </c>
      <c r="D1036" t="s">
        <v>277</v>
      </c>
      <c r="E1036" t="s">
        <v>393</v>
      </c>
      <c r="F1036" t="s">
        <v>278</v>
      </c>
      <c r="G1036" t="s">
        <v>279</v>
      </c>
      <c r="H1036" t="s">
        <v>17</v>
      </c>
      <c r="I1036" t="s">
        <v>18</v>
      </c>
      <c r="J1036" t="s">
        <v>19</v>
      </c>
      <c r="K1036">
        <v>312</v>
      </c>
      <c r="L1036">
        <v>0</v>
      </c>
      <c r="M1036" t="s">
        <v>20</v>
      </c>
    </row>
    <row r="1037" spans="1:13" x14ac:dyDescent="0.35">
      <c r="A1037">
        <v>1036</v>
      </c>
      <c r="B1037">
        <v>583006434</v>
      </c>
      <c r="C1037">
        <v>37644</v>
      </c>
      <c r="D1037" t="s">
        <v>277</v>
      </c>
      <c r="E1037" t="s">
        <v>393</v>
      </c>
      <c r="F1037" t="s">
        <v>278</v>
      </c>
      <c r="G1037" t="s">
        <v>279</v>
      </c>
      <c r="H1037" t="s">
        <v>17</v>
      </c>
      <c r="I1037" t="s">
        <v>18</v>
      </c>
      <c r="J1037" t="s">
        <v>19</v>
      </c>
      <c r="K1037">
        <v>501</v>
      </c>
      <c r="L1037">
        <v>0</v>
      </c>
      <c r="M1037" t="s">
        <v>20</v>
      </c>
    </row>
    <row r="1038" spans="1:13" x14ac:dyDescent="0.35">
      <c r="A1038">
        <v>1037</v>
      </c>
      <c r="B1038">
        <v>583006434</v>
      </c>
      <c r="C1038">
        <v>37644</v>
      </c>
      <c r="D1038" t="s">
        <v>277</v>
      </c>
      <c r="E1038" t="s">
        <v>393</v>
      </c>
      <c r="F1038" t="s">
        <v>278</v>
      </c>
      <c r="G1038" t="s">
        <v>279</v>
      </c>
      <c r="H1038" t="s">
        <v>17</v>
      </c>
      <c r="I1038" t="s">
        <v>18</v>
      </c>
      <c r="J1038" t="s">
        <v>19</v>
      </c>
      <c r="K1038">
        <v>966</v>
      </c>
      <c r="L1038">
        <v>0</v>
      </c>
      <c r="M1038" t="s">
        <v>20</v>
      </c>
    </row>
    <row r="1039" spans="1:13" x14ac:dyDescent="0.35">
      <c r="A1039">
        <v>1038</v>
      </c>
      <c r="B1039">
        <v>583006435</v>
      </c>
      <c r="C1039">
        <v>37645</v>
      </c>
      <c r="D1039" t="s">
        <v>277</v>
      </c>
      <c r="E1039" t="s">
        <v>393</v>
      </c>
      <c r="F1039" t="s">
        <v>278</v>
      </c>
      <c r="G1039" t="s">
        <v>279</v>
      </c>
      <c r="H1039" t="s">
        <v>17</v>
      </c>
      <c r="I1039" t="s">
        <v>135</v>
      </c>
      <c r="J1039" t="s">
        <v>19</v>
      </c>
      <c r="K1039">
        <v>660</v>
      </c>
      <c r="L1039">
        <v>0</v>
      </c>
      <c r="M1039" t="s">
        <v>20</v>
      </c>
    </row>
    <row r="1040" spans="1:13" x14ac:dyDescent="0.35">
      <c r="A1040">
        <v>1039</v>
      </c>
      <c r="B1040">
        <v>583006436</v>
      </c>
      <c r="C1040">
        <v>37647</v>
      </c>
      <c r="D1040" t="s">
        <v>277</v>
      </c>
      <c r="E1040" t="s">
        <v>393</v>
      </c>
      <c r="F1040" t="s">
        <v>278</v>
      </c>
      <c r="G1040" t="s">
        <v>279</v>
      </c>
      <c r="H1040" t="s">
        <v>17</v>
      </c>
      <c r="I1040" t="s">
        <v>135</v>
      </c>
      <c r="J1040" t="s">
        <v>19</v>
      </c>
      <c r="K1040">
        <v>975</v>
      </c>
      <c r="L1040">
        <v>0</v>
      </c>
      <c r="M1040" t="s">
        <v>20</v>
      </c>
    </row>
    <row r="1041" spans="1:13" x14ac:dyDescent="0.35">
      <c r="A1041">
        <v>1040</v>
      </c>
      <c r="B1041">
        <v>583006437</v>
      </c>
      <c r="C1041">
        <v>37649</v>
      </c>
      <c r="D1041" t="s">
        <v>277</v>
      </c>
      <c r="E1041" t="s">
        <v>393</v>
      </c>
      <c r="F1041" t="s">
        <v>278</v>
      </c>
      <c r="G1041" t="s">
        <v>279</v>
      </c>
      <c r="H1041" t="s">
        <v>17</v>
      </c>
      <c r="I1041" t="s">
        <v>24</v>
      </c>
      <c r="J1041" t="s">
        <v>25</v>
      </c>
      <c r="K1041">
        <v>4</v>
      </c>
      <c r="L1041">
        <v>0</v>
      </c>
      <c r="M1041" t="s">
        <v>20</v>
      </c>
    </row>
    <row r="1042" spans="1:13" x14ac:dyDescent="0.35">
      <c r="A1042">
        <v>1041</v>
      </c>
      <c r="B1042">
        <v>583006442</v>
      </c>
      <c r="C1042">
        <v>37655</v>
      </c>
      <c r="D1042" t="s">
        <v>29</v>
      </c>
      <c r="E1042" t="s">
        <v>393</v>
      </c>
      <c r="F1042" t="s">
        <v>30</v>
      </c>
      <c r="G1042" t="s">
        <v>31</v>
      </c>
      <c r="H1042" t="s">
        <v>17</v>
      </c>
      <c r="I1042" t="s">
        <v>18</v>
      </c>
      <c r="J1042" t="s">
        <v>19</v>
      </c>
      <c r="K1042">
        <v>2385</v>
      </c>
      <c r="L1042">
        <v>0</v>
      </c>
      <c r="M1042" t="s">
        <v>20</v>
      </c>
    </row>
    <row r="1043" spans="1:13" x14ac:dyDescent="0.35">
      <c r="A1043">
        <v>1042</v>
      </c>
      <c r="B1043">
        <v>583006442</v>
      </c>
      <c r="C1043">
        <v>37655</v>
      </c>
      <c r="D1043" t="s">
        <v>29</v>
      </c>
      <c r="E1043" t="s">
        <v>393</v>
      </c>
      <c r="F1043" t="s">
        <v>30</v>
      </c>
      <c r="G1043" t="s">
        <v>31</v>
      </c>
      <c r="H1043" t="s">
        <v>17</v>
      </c>
      <c r="I1043" t="s">
        <v>18</v>
      </c>
      <c r="J1043" t="s">
        <v>19</v>
      </c>
      <c r="K1043">
        <v>219</v>
      </c>
      <c r="L1043">
        <v>0</v>
      </c>
      <c r="M1043" t="s">
        <v>20</v>
      </c>
    </row>
    <row r="1044" spans="1:13" x14ac:dyDescent="0.35">
      <c r="A1044">
        <v>1043</v>
      </c>
      <c r="B1044">
        <v>583006442</v>
      </c>
      <c r="C1044">
        <v>37655</v>
      </c>
      <c r="D1044" t="s">
        <v>29</v>
      </c>
      <c r="E1044" t="s">
        <v>393</v>
      </c>
      <c r="F1044" t="s">
        <v>30</v>
      </c>
      <c r="G1044" t="s">
        <v>31</v>
      </c>
      <c r="H1044" t="s">
        <v>17</v>
      </c>
      <c r="I1044" t="s">
        <v>18</v>
      </c>
      <c r="J1044" t="s">
        <v>19</v>
      </c>
      <c r="K1044">
        <v>675</v>
      </c>
      <c r="L1044">
        <v>0</v>
      </c>
      <c r="M1044" t="s">
        <v>20</v>
      </c>
    </row>
    <row r="1045" spans="1:13" x14ac:dyDescent="0.35">
      <c r="A1045">
        <v>1044</v>
      </c>
      <c r="B1045">
        <v>583006443</v>
      </c>
      <c r="C1045">
        <v>37656</v>
      </c>
      <c r="D1045" t="s">
        <v>29</v>
      </c>
      <c r="E1045" t="s">
        <v>393</v>
      </c>
      <c r="F1045" t="s">
        <v>30</v>
      </c>
      <c r="G1045" t="s">
        <v>31</v>
      </c>
      <c r="H1045" t="s">
        <v>17</v>
      </c>
      <c r="I1045" t="s">
        <v>135</v>
      </c>
      <c r="J1045" t="s">
        <v>19</v>
      </c>
      <c r="K1045">
        <v>597</v>
      </c>
      <c r="L1045">
        <v>0</v>
      </c>
      <c r="M1045" t="s">
        <v>20</v>
      </c>
    </row>
    <row r="1046" spans="1:13" x14ac:dyDescent="0.35">
      <c r="A1046">
        <v>1045</v>
      </c>
      <c r="B1046">
        <v>583006455</v>
      </c>
      <c r="C1046">
        <v>37668</v>
      </c>
      <c r="D1046" t="s">
        <v>394</v>
      </c>
      <c r="E1046" t="s">
        <v>393</v>
      </c>
      <c r="F1046" t="s">
        <v>395</v>
      </c>
      <c r="G1046" t="s">
        <v>396</v>
      </c>
      <c r="H1046" t="s">
        <v>17</v>
      </c>
      <c r="I1046" t="s">
        <v>35</v>
      </c>
      <c r="J1046" t="s">
        <v>25</v>
      </c>
      <c r="K1046">
        <v>7</v>
      </c>
      <c r="L1046">
        <v>0</v>
      </c>
      <c r="M1046" t="s">
        <v>20</v>
      </c>
    </row>
    <row r="1047" spans="1:13" x14ac:dyDescent="0.35">
      <c r="A1047">
        <v>1046</v>
      </c>
      <c r="B1047">
        <v>583006396</v>
      </c>
      <c r="C1047">
        <v>37601</v>
      </c>
      <c r="D1047" t="s">
        <v>181</v>
      </c>
      <c r="E1047" t="s">
        <v>393</v>
      </c>
      <c r="F1047" t="s">
        <v>182</v>
      </c>
      <c r="G1047" t="s">
        <v>183</v>
      </c>
      <c r="H1047" t="s">
        <v>17</v>
      </c>
      <c r="I1047" t="s">
        <v>88</v>
      </c>
      <c r="J1047" t="s">
        <v>19</v>
      </c>
      <c r="K1047">
        <v>13.2</v>
      </c>
      <c r="L1047">
        <v>0</v>
      </c>
      <c r="M1047" t="s">
        <v>20</v>
      </c>
    </row>
    <row r="1048" spans="1:13" x14ac:dyDescent="0.35">
      <c r="A1048">
        <v>1047</v>
      </c>
      <c r="B1048">
        <v>583006413</v>
      </c>
      <c r="C1048">
        <v>37621</v>
      </c>
      <c r="D1048" t="s">
        <v>206</v>
      </c>
      <c r="E1048" t="s">
        <v>393</v>
      </c>
      <c r="F1048" t="s">
        <v>207</v>
      </c>
      <c r="G1048" t="s">
        <v>208</v>
      </c>
      <c r="H1048" t="s">
        <v>17</v>
      </c>
      <c r="I1048" t="s">
        <v>18</v>
      </c>
      <c r="J1048" t="s">
        <v>19</v>
      </c>
      <c r="K1048">
        <v>12</v>
      </c>
      <c r="L1048">
        <v>0</v>
      </c>
      <c r="M1048" t="s">
        <v>20</v>
      </c>
    </row>
    <row r="1049" spans="1:13" x14ac:dyDescent="0.35">
      <c r="A1049">
        <v>1048</v>
      </c>
      <c r="B1049">
        <v>583006399</v>
      </c>
      <c r="C1049">
        <v>37605</v>
      </c>
      <c r="D1049" t="s">
        <v>181</v>
      </c>
      <c r="E1049" t="s">
        <v>393</v>
      </c>
      <c r="F1049" t="s">
        <v>182</v>
      </c>
      <c r="G1049" t="s">
        <v>183</v>
      </c>
      <c r="H1049" t="s">
        <v>17</v>
      </c>
      <c r="I1049" t="s">
        <v>18</v>
      </c>
      <c r="J1049" t="s">
        <v>19</v>
      </c>
      <c r="K1049">
        <v>138</v>
      </c>
      <c r="L1049">
        <v>0</v>
      </c>
      <c r="M1049" t="s">
        <v>20</v>
      </c>
    </row>
    <row r="1050" spans="1:13" x14ac:dyDescent="0.35">
      <c r="A1050">
        <v>1049</v>
      </c>
      <c r="B1050">
        <v>583006414</v>
      </c>
      <c r="C1050">
        <v>37622</v>
      </c>
      <c r="D1050" t="s">
        <v>104</v>
      </c>
      <c r="E1050" t="s">
        <v>393</v>
      </c>
      <c r="F1050" t="s">
        <v>105</v>
      </c>
      <c r="G1050" t="s">
        <v>106</v>
      </c>
      <c r="H1050" t="s">
        <v>17</v>
      </c>
      <c r="I1050" t="s">
        <v>18</v>
      </c>
      <c r="J1050" t="s">
        <v>19</v>
      </c>
      <c r="K1050">
        <v>12</v>
      </c>
      <c r="L1050">
        <v>0</v>
      </c>
      <c r="M1050" t="s">
        <v>20</v>
      </c>
    </row>
    <row r="1051" spans="1:13" x14ac:dyDescent="0.35">
      <c r="A1051">
        <v>1050</v>
      </c>
      <c r="B1051">
        <v>583006410</v>
      </c>
      <c r="C1051">
        <v>37618</v>
      </c>
      <c r="D1051" t="s">
        <v>380</v>
      </c>
      <c r="E1051" t="s">
        <v>393</v>
      </c>
      <c r="F1051" t="s">
        <v>381</v>
      </c>
      <c r="G1051" t="s">
        <v>382</v>
      </c>
      <c r="H1051" t="s">
        <v>17</v>
      </c>
      <c r="I1051" t="s">
        <v>18</v>
      </c>
      <c r="J1051" t="s">
        <v>19</v>
      </c>
      <c r="K1051">
        <v>60</v>
      </c>
      <c r="L1051">
        <v>0</v>
      </c>
      <c r="M1051" t="s">
        <v>20</v>
      </c>
    </row>
    <row r="1052" spans="1:13" x14ac:dyDescent="0.35">
      <c r="A1052">
        <v>1051</v>
      </c>
      <c r="B1052">
        <v>583006416</v>
      </c>
      <c r="C1052">
        <v>37624</v>
      </c>
      <c r="D1052" t="s">
        <v>159</v>
      </c>
      <c r="E1052" t="s">
        <v>393</v>
      </c>
      <c r="F1052" t="s">
        <v>160</v>
      </c>
      <c r="G1052" t="s">
        <v>161</v>
      </c>
      <c r="H1052" t="s">
        <v>17</v>
      </c>
      <c r="I1052" t="s">
        <v>18</v>
      </c>
      <c r="J1052" t="s">
        <v>19</v>
      </c>
      <c r="K1052">
        <v>21</v>
      </c>
      <c r="L1052">
        <v>0</v>
      </c>
      <c r="M1052" t="s">
        <v>20</v>
      </c>
    </row>
    <row r="1053" spans="1:13" x14ac:dyDescent="0.35">
      <c r="A1053">
        <v>1052</v>
      </c>
      <c r="B1053">
        <v>583006416</v>
      </c>
      <c r="C1053">
        <v>37624</v>
      </c>
      <c r="D1053" t="s">
        <v>159</v>
      </c>
      <c r="E1053" t="s">
        <v>393</v>
      </c>
      <c r="F1053" t="s">
        <v>160</v>
      </c>
      <c r="G1053" t="s">
        <v>161</v>
      </c>
      <c r="H1053" t="s">
        <v>17</v>
      </c>
      <c r="I1053" t="s">
        <v>18</v>
      </c>
      <c r="J1053" t="s">
        <v>19</v>
      </c>
      <c r="K1053">
        <v>15</v>
      </c>
      <c r="L1053">
        <v>0</v>
      </c>
      <c r="M1053" t="s">
        <v>20</v>
      </c>
    </row>
    <row r="1054" spans="1:13" x14ac:dyDescent="0.35">
      <c r="A1054">
        <v>1053</v>
      </c>
      <c r="B1054">
        <v>583006425</v>
      </c>
      <c r="C1054">
        <v>37633</v>
      </c>
      <c r="D1054" t="s">
        <v>110</v>
      </c>
      <c r="E1054" t="s">
        <v>393</v>
      </c>
      <c r="F1054" t="s">
        <v>111</v>
      </c>
      <c r="G1054" t="s">
        <v>112</v>
      </c>
      <c r="H1054" t="s">
        <v>17</v>
      </c>
      <c r="I1054" t="s">
        <v>18</v>
      </c>
      <c r="J1054" t="s">
        <v>19</v>
      </c>
      <c r="K1054">
        <v>6</v>
      </c>
      <c r="L1054">
        <v>0</v>
      </c>
      <c r="M1054" t="s">
        <v>20</v>
      </c>
    </row>
    <row r="1055" spans="1:13" x14ac:dyDescent="0.35">
      <c r="A1055">
        <v>1054</v>
      </c>
      <c r="B1055">
        <v>583006411</v>
      </c>
      <c r="C1055">
        <v>37619</v>
      </c>
      <c r="D1055" t="s">
        <v>383</v>
      </c>
      <c r="E1055" t="s">
        <v>393</v>
      </c>
      <c r="F1055" t="s">
        <v>384</v>
      </c>
      <c r="G1055" t="s">
        <v>385</v>
      </c>
      <c r="H1055" t="s">
        <v>17</v>
      </c>
      <c r="I1055" t="s">
        <v>18</v>
      </c>
      <c r="J1055" t="s">
        <v>19</v>
      </c>
      <c r="K1055">
        <v>27</v>
      </c>
      <c r="L1055">
        <v>0</v>
      </c>
      <c r="M1055" t="s">
        <v>20</v>
      </c>
    </row>
    <row r="1056" spans="1:13" x14ac:dyDescent="0.35">
      <c r="A1056">
        <v>1055</v>
      </c>
      <c r="B1056">
        <v>583006417</v>
      </c>
      <c r="C1056">
        <v>37625</v>
      </c>
      <c r="D1056" t="s">
        <v>199</v>
      </c>
      <c r="E1056" t="s">
        <v>393</v>
      </c>
      <c r="F1056" t="s">
        <v>201</v>
      </c>
      <c r="G1056" t="s">
        <v>202</v>
      </c>
      <c r="H1056" t="s">
        <v>17</v>
      </c>
      <c r="I1056" t="s">
        <v>18</v>
      </c>
      <c r="J1056" t="s">
        <v>19</v>
      </c>
      <c r="K1056">
        <v>12</v>
      </c>
      <c r="L1056">
        <v>0</v>
      </c>
      <c r="M1056" t="s">
        <v>20</v>
      </c>
    </row>
    <row r="1057" spans="1:13" x14ac:dyDescent="0.35">
      <c r="A1057">
        <v>1056</v>
      </c>
      <c r="B1057">
        <v>583006405</v>
      </c>
      <c r="C1057">
        <v>37612</v>
      </c>
      <c r="D1057" t="s">
        <v>113</v>
      </c>
      <c r="E1057" t="s">
        <v>393</v>
      </c>
      <c r="F1057" t="s">
        <v>114</v>
      </c>
      <c r="G1057" t="s">
        <v>115</v>
      </c>
      <c r="H1057" t="s">
        <v>17</v>
      </c>
      <c r="I1057" t="s">
        <v>18</v>
      </c>
      <c r="J1057" t="s">
        <v>19</v>
      </c>
      <c r="K1057">
        <v>27</v>
      </c>
      <c r="L1057">
        <v>0</v>
      </c>
      <c r="M1057" t="s">
        <v>20</v>
      </c>
    </row>
    <row r="1058" spans="1:13" x14ac:dyDescent="0.35">
      <c r="A1058">
        <v>1057</v>
      </c>
      <c r="B1058">
        <v>583006409</v>
      </c>
      <c r="C1058">
        <v>37617</v>
      </c>
      <c r="D1058" t="s">
        <v>380</v>
      </c>
      <c r="E1058" t="s">
        <v>393</v>
      </c>
      <c r="F1058" t="s">
        <v>381</v>
      </c>
      <c r="G1058" t="s">
        <v>382</v>
      </c>
      <c r="H1058" t="s">
        <v>17</v>
      </c>
      <c r="I1058" t="s">
        <v>18</v>
      </c>
      <c r="J1058" t="s">
        <v>19</v>
      </c>
      <c r="K1058">
        <v>54</v>
      </c>
      <c r="L1058">
        <v>0</v>
      </c>
      <c r="M1058" t="s">
        <v>20</v>
      </c>
    </row>
    <row r="1059" spans="1:13" x14ac:dyDescent="0.35">
      <c r="A1059">
        <v>1058</v>
      </c>
      <c r="B1059">
        <v>583006424</v>
      </c>
      <c r="C1059">
        <v>37632</v>
      </c>
      <c r="D1059" t="s">
        <v>174</v>
      </c>
      <c r="E1059" t="s">
        <v>393</v>
      </c>
      <c r="F1059" t="s">
        <v>175</v>
      </c>
      <c r="G1059" t="s">
        <v>176</v>
      </c>
      <c r="H1059" t="s">
        <v>17</v>
      </c>
      <c r="I1059" t="s">
        <v>18</v>
      </c>
      <c r="J1059" t="s">
        <v>19</v>
      </c>
      <c r="K1059">
        <v>72</v>
      </c>
      <c r="L1059">
        <v>0</v>
      </c>
      <c r="M1059" t="s">
        <v>20</v>
      </c>
    </row>
    <row r="1060" spans="1:13" x14ac:dyDescent="0.35">
      <c r="A1060">
        <v>1059</v>
      </c>
      <c r="B1060">
        <v>583006415</v>
      </c>
      <c r="C1060">
        <v>37623</v>
      </c>
      <c r="D1060" t="s">
        <v>159</v>
      </c>
      <c r="E1060" t="s">
        <v>393</v>
      </c>
      <c r="F1060" t="s">
        <v>160</v>
      </c>
      <c r="G1060" t="s">
        <v>161</v>
      </c>
      <c r="H1060" t="s">
        <v>17</v>
      </c>
      <c r="I1060" t="s">
        <v>18</v>
      </c>
      <c r="J1060" t="s">
        <v>19</v>
      </c>
      <c r="K1060">
        <v>36</v>
      </c>
      <c r="L1060">
        <v>0</v>
      </c>
      <c r="M1060" t="s">
        <v>20</v>
      </c>
    </row>
    <row r="1061" spans="1:13" x14ac:dyDescent="0.35">
      <c r="A1061">
        <v>1060</v>
      </c>
      <c r="B1061">
        <v>583006404</v>
      </c>
      <c r="C1061">
        <v>37611</v>
      </c>
      <c r="D1061" t="s">
        <v>113</v>
      </c>
      <c r="E1061" t="s">
        <v>393</v>
      </c>
      <c r="F1061" t="s">
        <v>114</v>
      </c>
      <c r="G1061" t="s">
        <v>115</v>
      </c>
      <c r="H1061" t="s">
        <v>17</v>
      </c>
      <c r="I1061" t="s">
        <v>18</v>
      </c>
      <c r="J1061" t="s">
        <v>19</v>
      </c>
      <c r="K1061">
        <v>45</v>
      </c>
      <c r="L1061">
        <v>0</v>
      </c>
      <c r="M1061" t="s">
        <v>20</v>
      </c>
    </row>
    <row r="1062" spans="1:13" x14ac:dyDescent="0.35">
      <c r="A1062">
        <v>1061</v>
      </c>
      <c r="B1062">
        <v>583006402</v>
      </c>
      <c r="C1062">
        <v>37609</v>
      </c>
      <c r="D1062" t="s">
        <v>113</v>
      </c>
      <c r="E1062" t="s">
        <v>393</v>
      </c>
      <c r="F1062" t="s">
        <v>114</v>
      </c>
      <c r="G1062" t="s">
        <v>115</v>
      </c>
      <c r="H1062" t="s">
        <v>17</v>
      </c>
      <c r="I1062" t="s">
        <v>18</v>
      </c>
      <c r="J1062" t="s">
        <v>19</v>
      </c>
      <c r="K1062">
        <v>27</v>
      </c>
      <c r="L1062">
        <v>0</v>
      </c>
      <c r="M1062" t="s">
        <v>20</v>
      </c>
    </row>
    <row r="1063" spans="1:13" x14ac:dyDescent="0.35">
      <c r="A1063">
        <v>1062</v>
      </c>
      <c r="B1063">
        <v>583006423</v>
      </c>
      <c r="C1063">
        <v>37631</v>
      </c>
      <c r="D1063" t="s">
        <v>174</v>
      </c>
      <c r="E1063" t="s">
        <v>393</v>
      </c>
      <c r="F1063" t="s">
        <v>175</v>
      </c>
      <c r="G1063" t="s">
        <v>176</v>
      </c>
      <c r="H1063" t="s">
        <v>17</v>
      </c>
      <c r="I1063" t="s">
        <v>18</v>
      </c>
      <c r="J1063" t="s">
        <v>19</v>
      </c>
      <c r="K1063">
        <v>72</v>
      </c>
      <c r="L1063">
        <v>0</v>
      </c>
      <c r="M1063" t="s">
        <v>20</v>
      </c>
    </row>
    <row r="1064" spans="1:13" x14ac:dyDescent="0.35">
      <c r="A1064">
        <v>1063</v>
      </c>
      <c r="B1064">
        <v>583006476</v>
      </c>
      <c r="C1064">
        <v>37691</v>
      </c>
      <c r="D1064" t="s">
        <v>125</v>
      </c>
      <c r="E1064" t="s">
        <v>393</v>
      </c>
      <c r="F1064" t="s">
        <v>127</v>
      </c>
      <c r="G1064" t="s">
        <v>128</v>
      </c>
      <c r="H1064" t="s">
        <v>17</v>
      </c>
      <c r="I1064" t="s">
        <v>18</v>
      </c>
      <c r="J1064" t="s">
        <v>19</v>
      </c>
      <c r="K1064">
        <v>927</v>
      </c>
      <c r="L1064">
        <v>0</v>
      </c>
      <c r="M1064" t="s">
        <v>20</v>
      </c>
    </row>
    <row r="1065" spans="1:13" x14ac:dyDescent="0.35">
      <c r="A1065">
        <v>1064</v>
      </c>
      <c r="B1065">
        <v>583006462</v>
      </c>
      <c r="C1065">
        <v>37675</v>
      </c>
      <c r="D1065" t="s">
        <v>125</v>
      </c>
      <c r="E1065" t="s">
        <v>393</v>
      </c>
      <c r="F1065" t="s">
        <v>127</v>
      </c>
      <c r="G1065" t="s">
        <v>128</v>
      </c>
      <c r="H1065" t="s">
        <v>17</v>
      </c>
      <c r="I1065" t="s">
        <v>24</v>
      </c>
      <c r="J1065" t="s">
        <v>25</v>
      </c>
      <c r="K1065">
        <v>60</v>
      </c>
      <c r="L1065">
        <v>0</v>
      </c>
      <c r="M1065" t="s">
        <v>20</v>
      </c>
    </row>
    <row r="1066" spans="1:13" x14ac:dyDescent="0.35">
      <c r="A1066">
        <v>1065</v>
      </c>
      <c r="B1066">
        <v>583006461</v>
      </c>
      <c r="C1066">
        <v>37674</v>
      </c>
      <c r="D1066" t="s">
        <v>125</v>
      </c>
      <c r="E1066" t="s">
        <v>393</v>
      </c>
      <c r="F1066" t="s">
        <v>127</v>
      </c>
      <c r="G1066" t="s">
        <v>128</v>
      </c>
      <c r="H1066" t="s">
        <v>17</v>
      </c>
      <c r="I1066" t="s">
        <v>18</v>
      </c>
      <c r="J1066" t="s">
        <v>19</v>
      </c>
      <c r="K1066">
        <v>579</v>
      </c>
      <c r="L1066">
        <v>0</v>
      </c>
      <c r="M1066" t="s">
        <v>20</v>
      </c>
    </row>
    <row r="1067" spans="1:13" x14ac:dyDescent="0.35">
      <c r="A1067">
        <v>1066</v>
      </c>
      <c r="B1067">
        <v>583006461</v>
      </c>
      <c r="C1067">
        <v>37674</v>
      </c>
      <c r="D1067" t="s">
        <v>125</v>
      </c>
      <c r="E1067" t="s">
        <v>393</v>
      </c>
      <c r="F1067" t="s">
        <v>127</v>
      </c>
      <c r="G1067" t="s">
        <v>128</v>
      </c>
      <c r="H1067" t="s">
        <v>17</v>
      </c>
      <c r="I1067" t="s">
        <v>18</v>
      </c>
      <c r="J1067" t="s">
        <v>19</v>
      </c>
      <c r="K1067">
        <v>450</v>
      </c>
      <c r="L1067">
        <v>0</v>
      </c>
      <c r="M1067" t="s">
        <v>20</v>
      </c>
    </row>
    <row r="1068" spans="1:13" x14ac:dyDescent="0.35">
      <c r="A1068">
        <v>1067</v>
      </c>
      <c r="B1068">
        <v>583006461</v>
      </c>
      <c r="C1068">
        <v>37674</v>
      </c>
      <c r="D1068" t="s">
        <v>125</v>
      </c>
      <c r="E1068" t="s">
        <v>393</v>
      </c>
      <c r="F1068" t="s">
        <v>127</v>
      </c>
      <c r="G1068" t="s">
        <v>128</v>
      </c>
      <c r="H1068" t="s">
        <v>17</v>
      </c>
      <c r="I1068" t="s">
        <v>18</v>
      </c>
      <c r="J1068" t="s">
        <v>19</v>
      </c>
      <c r="K1068">
        <v>2697</v>
      </c>
      <c r="L1068">
        <v>0</v>
      </c>
      <c r="M1068" t="s">
        <v>20</v>
      </c>
    </row>
    <row r="1069" spans="1:13" x14ac:dyDescent="0.35">
      <c r="A1069">
        <v>1068</v>
      </c>
      <c r="B1069">
        <v>583006480</v>
      </c>
      <c r="C1069">
        <v>37696</v>
      </c>
      <c r="D1069" t="s">
        <v>400</v>
      </c>
      <c r="E1069" t="s">
        <v>393</v>
      </c>
      <c r="F1069" t="s">
        <v>401</v>
      </c>
      <c r="G1069" t="s">
        <v>402</v>
      </c>
      <c r="H1069" t="s">
        <v>17</v>
      </c>
      <c r="I1069" t="s">
        <v>51</v>
      </c>
      <c r="J1069" t="s">
        <v>52</v>
      </c>
      <c r="K1069">
        <v>74.8</v>
      </c>
      <c r="L1069">
        <v>0</v>
      </c>
      <c r="M1069" t="s">
        <v>20</v>
      </c>
    </row>
    <row r="1070" spans="1:13" x14ac:dyDescent="0.35">
      <c r="A1070">
        <v>1069</v>
      </c>
      <c r="B1070">
        <v>583006481</v>
      </c>
      <c r="C1070">
        <v>37697</v>
      </c>
      <c r="D1070" t="s">
        <v>400</v>
      </c>
      <c r="E1070" t="s">
        <v>393</v>
      </c>
      <c r="F1070" t="s">
        <v>401</v>
      </c>
      <c r="G1070" t="s">
        <v>402</v>
      </c>
      <c r="H1070" t="s">
        <v>17</v>
      </c>
      <c r="I1070" t="s">
        <v>18</v>
      </c>
      <c r="J1070" t="s">
        <v>19</v>
      </c>
      <c r="K1070">
        <v>354</v>
      </c>
      <c r="L1070">
        <v>0</v>
      </c>
      <c r="M1070" t="s">
        <v>20</v>
      </c>
    </row>
    <row r="1071" spans="1:13" x14ac:dyDescent="0.35">
      <c r="A1071">
        <v>1070</v>
      </c>
      <c r="B1071">
        <v>583006481</v>
      </c>
      <c r="C1071">
        <v>37697</v>
      </c>
      <c r="D1071" t="s">
        <v>400</v>
      </c>
      <c r="E1071" t="s">
        <v>393</v>
      </c>
      <c r="F1071" t="s">
        <v>401</v>
      </c>
      <c r="G1071" t="s">
        <v>402</v>
      </c>
      <c r="H1071" t="s">
        <v>17</v>
      </c>
      <c r="I1071" t="s">
        <v>18</v>
      </c>
      <c r="J1071" t="s">
        <v>19</v>
      </c>
      <c r="K1071">
        <v>72</v>
      </c>
      <c r="L1071">
        <v>0</v>
      </c>
      <c r="M1071" t="s">
        <v>20</v>
      </c>
    </row>
    <row r="1072" spans="1:13" x14ac:dyDescent="0.35">
      <c r="A1072">
        <v>1071</v>
      </c>
      <c r="B1072">
        <v>583006481</v>
      </c>
      <c r="C1072">
        <v>37697</v>
      </c>
      <c r="D1072" t="s">
        <v>400</v>
      </c>
      <c r="E1072" t="s">
        <v>393</v>
      </c>
      <c r="F1072" t="s">
        <v>401</v>
      </c>
      <c r="G1072" t="s">
        <v>402</v>
      </c>
      <c r="H1072" t="s">
        <v>17</v>
      </c>
      <c r="I1072" t="s">
        <v>18</v>
      </c>
      <c r="J1072" t="s">
        <v>19</v>
      </c>
      <c r="K1072">
        <v>2643</v>
      </c>
      <c r="L1072">
        <v>0</v>
      </c>
      <c r="M1072" t="s">
        <v>20</v>
      </c>
    </row>
    <row r="1073" spans="1:13" x14ac:dyDescent="0.35">
      <c r="A1073">
        <v>1072</v>
      </c>
      <c r="B1073">
        <v>583006481</v>
      </c>
      <c r="C1073">
        <v>37697</v>
      </c>
      <c r="D1073" t="s">
        <v>400</v>
      </c>
      <c r="E1073" t="s">
        <v>393</v>
      </c>
      <c r="F1073" t="s">
        <v>401</v>
      </c>
      <c r="G1073" t="s">
        <v>402</v>
      </c>
      <c r="H1073" t="s">
        <v>17</v>
      </c>
      <c r="I1073" t="s">
        <v>18</v>
      </c>
      <c r="J1073" t="s">
        <v>19</v>
      </c>
      <c r="K1073">
        <v>792</v>
      </c>
      <c r="L1073">
        <v>0</v>
      </c>
      <c r="M1073" t="s">
        <v>20</v>
      </c>
    </row>
    <row r="1074" spans="1:13" x14ac:dyDescent="0.35">
      <c r="A1074">
        <v>1073</v>
      </c>
      <c r="B1074">
        <v>583006397</v>
      </c>
      <c r="C1074">
        <v>37603</v>
      </c>
      <c r="D1074" t="s">
        <v>181</v>
      </c>
      <c r="E1074" t="s">
        <v>393</v>
      </c>
      <c r="F1074" t="s">
        <v>182</v>
      </c>
      <c r="G1074" t="s">
        <v>183</v>
      </c>
      <c r="H1074" t="s">
        <v>17</v>
      </c>
      <c r="I1074" t="s">
        <v>24</v>
      </c>
      <c r="J1074" t="s">
        <v>74</v>
      </c>
      <c r="K1074">
        <v>2</v>
      </c>
      <c r="L1074">
        <v>0</v>
      </c>
      <c r="M1074" t="s">
        <v>20</v>
      </c>
    </row>
    <row r="1075" spans="1:13" x14ac:dyDescent="0.35">
      <c r="A1075">
        <v>1074</v>
      </c>
      <c r="B1075">
        <v>583006397</v>
      </c>
      <c r="C1075">
        <v>37603</v>
      </c>
      <c r="D1075" t="s">
        <v>181</v>
      </c>
      <c r="E1075" t="s">
        <v>393</v>
      </c>
      <c r="F1075" t="s">
        <v>182</v>
      </c>
      <c r="G1075" t="s">
        <v>183</v>
      </c>
      <c r="H1075" t="s">
        <v>17</v>
      </c>
      <c r="I1075" t="s">
        <v>24</v>
      </c>
      <c r="J1075" t="s">
        <v>25</v>
      </c>
      <c r="K1075">
        <v>6</v>
      </c>
      <c r="L1075">
        <v>0</v>
      </c>
      <c r="M1075" t="s">
        <v>20</v>
      </c>
    </row>
    <row r="1076" spans="1:13" x14ac:dyDescent="0.35">
      <c r="A1076">
        <v>1075</v>
      </c>
      <c r="B1076">
        <v>583006426</v>
      </c>
      <c r="C1076">
        <v>37635</v>
      </c>
      <c r="D1076" t="s">
        <v>238</v>
      </c>
      <c r="E1076" t="s">
        <v>393</v>
      </c>
      <c r="F1076" t="s">
        <v>239</v>
      </c>
      <c r="G1076" t="s">
        <v>240</v>
      </c>
      <c r="H1076" t="s">
        <v>17</v>
      </c>
      <c r="I1076" t="s">
        <v>18</v>
      </c>
      <c r="J1076" t="s">
        <v>19</v>
      </c>
      <c r="K1076">
        <v>222</v>
      </c>
      <c r="L1076">
        <v>0</v>
      </c>
      <c r="M1076" t="s">
        <v>20</v>
      </c>
    </row>
    <row r="1077" spans="1:13" x14ac:dyDescent="0.35">
      <c r="A1077">
        <v>1076</v>
      </c>
      <c r="B1077">
        <v>583006426</v>
      </c>
      <c r="C1077">
        <v>37635</v>
      </c>
      <c r="D1077" t="s">
        <v>238</v>
      </c>
      <c r="E1077" t="s">
        <v>393</v>
      </c>
      <c r="F1077" t="s">
        <v>239</v>
      </c>
      <c r="G1077" t="s">
        <v>240</v>
      </c>
      <c r="H1077" t="s">
        <v>17</v>
      </c>
      <c r="I1077" t="s">
        <v>18</v>
      </c>
      <c r="J1077" t="s">
        <v>19</v>
      </c>
      <c r="K1077">
        <v>729</v>
      </c>
      <c r="L1077">
        <v>0</v>
      </c>
      <c r="M1077" t="s">
        <v>20</v>
      </c>
    </row>
    <row r="1078" spans="1:13" x14ac:dyDescent="0.35">
      <c r="A1078">
        <v>1077</v>
      </c>
      <c r="B1078">
        <v>583006441</v>
      </c>
      <c r="C1078">
        <v>37654</v>
      </c>
      <c r="D1078" t="s">
        <v>263</v>
      </c>
      <c r="E1078" t="s">
        <v>393</v>
      </c>
      <c r="F1078" t="s">
        <v>264</v>
      </c>
      <c r="G1078" t="s">
        <v>265</v>
      </c>
      <c r="H1078" t="s">
        <v>17</v>
      </c>
      <c r="I1078" t="s">
        <v>63</v>
      </c>
      <c r="J1078" t="s">
        <v>64</v>
      </c>
      <c r="K1078">
        <v>48</v>
      </c>
      <c r="L1078">
        <v>84.96</v>
      </c>
      <c r="M1078" t="s">
        <v>20</v>
      </c>
    </row>
    <row r="1079" spans="1:13" x14ac:dyDescent="0.35">
      <c r="A1079">
        <v>1078</v>
      </c>
      <c r="B1079">
        <v>583006426</v>
      </c>
      <c r="C1079">
        <v>37635</v>
      </c>
      <c r="D1079" t="s">
        <v>238</v>
      </c>
      <c r="E1079" t="s">
        <v>393</v>
      </c>
      <c r="F1079" t="s">
        <v>239</v>
      </c>
      <c r="G1079" t="s">
        <v>240</v>
      </c>
      <c r="H1079" t="s">
        <v>17</v>
      </c>
      <c r="I1079" t="s">
        <v>18</v>
      </c>
      <c r="J1079" t="s">
        <v>19</v>
      </c>
      <c r="K1079">
        <v>270</v>
      </c>
      <c r="L1079">
        <v>0</v>
      </c>
      <c r="M1079" t="s">
        <v>20</v>
      </c>
    </row>
    <row r="1080" spans="1:13" x14ac:dyDescent="0.35">
      <c r="A1080">
        <v>1079</v>
      </c>
      <c r="B1080">
        <v>583006426</v>
      </c>
      <c r="C1080">
        <v>37635</v>
      </c>
      <c r="D1080" t="s">
        <v>238</v>
      </c>
      <c r="E1080" t="s">
        <v>393</v>
      </c>
      <c r="F1080" t="s">
        <v>239</v>
      </c>
      <c r="G1080" t="s">
        <v>240</v>
      </c>
      <c r="H1080" t="s">
        <v>17</v>
      </c>
      <c r="I1080" t="s">
        <v>18</v>
      </c>
      <c r="J1080" t="s">
        <v>19</v>
      </c>
      <c r="K1080">
        <v>585</v>
      </c>
      <c r="L1080">
        <v>0</v>
      </c>
      <c r="M1080" t="s">
        <v>20</v>
      </c>
    </row>
    <row r="1081" spans="1:13" x14ac:dyDescent="0.35">
      <c r="A1081">
        <v>1080</v>
      </c>
      <c r="B1081">
        <v>583006545</v>
      </c>
      <c r="C1081">
        <v>37805</v>
      </c>
      <c r="D1081" t="s">
        <v>403</v>
      </c>
      <c r="E1081" t="s">
        <v>404</v>
      </c>
      <c r="F1081" t="s">
        <v>405</v>
      </c>
      <c r="G1081" t="s">
        <v>406</v>
      </c>
      <c r="H1081" t="s">
        <v>17</v>
      </c>
      <c r="I1081" t="s">
        <v>18</v>
      </c>
      <c r="J1081" t="s">
        <v>19</v>
      </c>
      <c r="K1081">
        <v>84</v>
      </c>
      <c r="L1081">
        <v>0</v>
      </c>
      <c r="M1081" t="s">
        <v>20</v>
      </c>
    </row>
    <row r="1082" spans="1:13" x14ac:dyDescent="0.35">
      <c r="A1082">
        <v>1081</v>
      </c>
      <c r="B1082">
        <v>583006545</v>
      </c>
      <c r="C1082">
        <v>37805</v>
      </c>
      <c r="D1082" t="s">
        <v>403</v>
      </c>
      <c r="E1082" t="s">
        <v>404</v>
      </c>
      <c r="F1082" t="s">
        <v>405</v>
      </c>
      <c r="G1082" t="s">
        <v>406</v>
      </c>
      <c r="H1082" t="s">
        <v>17</v>
      </c>
      <c r="I1082" t="s">
        <v>18</v>
      </c>
      <c r="J1082" t="s">
        <v>19</v>
      </c>
      <c r="K1082">
        <v>2781</v>
      </c>
      <c r="L1082">
        <v>0</v>
      </c>
      <c r="M1082" t="s">
        <v>20</v>
      </c>
    </row>
    <row r="1083" spans="1:13" x14ac:dyDescent="0.35">
      <c r="A1083">
        <v>1082</v>
      </c>
      <c r="B1083">
        <v>583006545</v>
      </c>
      <c r="C1083">
        <v>37805</v>
      </c>
      <c r="D1083" t="s">
        <v>403</v>
      </c>
      <c r="E1083" t="s">
        <v>404</v>
      </c>
      <c r="F1083" t="s">
        <v>405</v>
      </c>
      <c r="G1083" t="s">
        <v>406</v>
      </c>
      <c r="H1083" t="s">
        <v>17</v>
      </c>
      <c r="I1083" t="s">
        <v>18</v>
      </c>
      <c r="J1083" t="s">
        <v>19</v>
      </c>
      <c r="K1083">
        <v>909</v>
      </c>
      <c r="L1083">
        <v>0</v>
      </c>
      <c r="M1083" t="s">
        <v>20</v>
      </c>
    </row>
    <row r="1084" spans="1:13" x14ac:dyDescent="0.35">
      <c r="A1084">
        <v>1083</v>
      </c>
      <c r="B1084">
        <v>583006529</v>
      </c>
      <c r="C1084">
        <v>37776</v>
      </c>
      <c r="D1084" t="s">
        <v>116</v>
      </c>
      <c r="E1084" t="s">
        <v>404</v>
      </c>
      <c r="F1084" t="s">
        <v>117</v>
      </c>
      <c r="G1084" t="s">
        <v>118</v>
      </c>
      <c r="H1084" t="s">
        <v>17</v>
      </c>
      <c r="I1084" t="s">
        <v>18</v>
      </c>
      <c r="J1084" t="s">
        <v>19</v>
      </c>
      <c r="K1084">
        <v>4017</v>
      </c>
      <c r="L1084">
        <v>0</v>
      </c>
      <c r="M1084" t="s">
        <v>20</v>
      </c>
    </row>
    <row r="1085" spans="1:13" x14ac:dyDescent="0.35">
      <c r="A1085">
        <v>1084</v>
      </c>
      <c r="B1085">
        <v>583006550</v>
      </c>
      <c r="C1085">
        <v>37810</v>
      </c>
      <c r="D1085" t="s">
        <v>374</v>
      </c>
      <c r="E1085" t="s">
        <v>404</v>
      </c>
      <c r="F1085" t="s">
        <v>375</v>
      </c>
      <c r="G1085" t="s">
        <v>376</v>
      </c>
      <c r="H1085" t="s">
        <v>17</v>
      </c>
      <c r="I1085" t="s">
        <v>24</v>
      </c>
      <c r="J1085" t="s">
        <v>25</v>
      </c>
      <c r="K1085">
        <v>55</v>
      </c>
      <c r="L1085">
        <v>0</v>
      </c>
      <c r="M1085" t="s">
        <v>20</v>
      </c>
    </row>
    <row r="1086" spans="1:13" x14ac:dyDescent="0.35">
      <c r="A1086">
        <v>1085</v>
      </c>
      <c r="B1086">
        <v>583006514</v>
      </c>
      <c r="C1086">
        <v>37760</v>
      </c>
      <c r="D1086" t="s">
        <v>32</v>
      </c>
      <c r="E1086" t="s">
        <v>404</v>
      </c>
      <c r="F1086" t="s">
        <v>33</v>
      </c>
      <c r="G1086" t="s">
        <v>34</v>
      </c>
      <c r="H1086" t="s">
        <v>17</v>
      </c>
      <c r="I1086" t="s">
        <v>18</v>
      </c>
      <c r="J1086" t="s">
        <v>19</v>
      </c>
      <c r="K1086">
        <v>432</v>
      </c>
      <c r="L1086">
        <v>0</v>
      </c>
      <c r="M1086" t="s">
        <v>20</v>
      </c>
    </row>
    <row r="1087" spans="1:13" x14ac:dyDescent="0.35">
      <c r="A1087">
        <v>1086</v>
      </c>
      <c r="B1087">
        <v>583006546</v>
      </c>
      <c r="C1087">
        <v>37806</v>
      </c>
      <c r="D1087" t="s">
        <v>403</v>
      </c>
      <c r="E1087" t="s">
        <v>404</v>
      </c>
      <c r="F1087" t="s">
        <v>405</v>
      </c>
      <c r="G1087" t="s">
        <v>406</v>
      </c>
      <c r="H1087" t="s">
        <v>17</v>
      </c>
      <c r="I1087" t="s">
        <v>24</v>
      </c>
      <c r="J1087" t="s">
        <v>25</v>
      </c>
      <c r="K1087">
        <v>10</v>
      </c>
      <c r="L1087">
        <v>0</v>
      </c>
      <c r="M1087" t="s">
        <v>20</v>
      </c>
    </row>
    <row r="1088" spans="1:13" x14ac:dyDescent="0.35">
      <c r="A1088">
        <v>1087</v>
      </c>
      <c r="B1088">
        <v>583006556</v>
      </c>
      <c r="C1088">
        <v>37816</v>
      </c>
      <c r="D1088" t="s">
        <v>32</v>
      </c>
      <c r="E1088" t="s">
        <v>404</v>
      </c>
      <c r="F1088" t="s">
        <v>33</v>
      </c>
      <c r="G1088" t="s">
        <v>34</v>
      </c>
      <c r="H1088" t="s">
        <v>17</v>
      </c>
      <c r="I1088" t="s">
        <v>18</v>
      </c>
      <c r="J1088" t="s">
        <v>19</v>
      </c>
      <c r="K1088">
        <v>1878</v>
      </c>
      <c r="L1088">
        <v>0</v>
      </c>
      <c r="M1088" t="s">
        <v>20</v>
      </c>
    </row>
    <row r="1089" spans="1:13" x14ac:dyDescent="0.35">
      <c r="A1089">
        <v>1088</v>
      </c>
      <c r="B1089">
        <v>583006549</v>
      </c>
      <c r="C1089">
        <v>37809</v>
      </c>
      <c r="D1089" t="s">
        <v>374</v>
      </c>
      <c r="E1089" t="s">
        <v>404</v>
      </c>
      <c r="F1089" t="s">
        <v>375</v>
      </c>
      <c r="G1089" t="s">
        <v>376</v>
      </c>
      <c r="H1089" t="s">
        <v>17</v>
      </c>
      <c r="I1089" t="s">
        <v>18</v>
      </c>
      <c r="J1089" t="s">
        <v>19</v>
      </c>
      <c r="K1089">
        <v>576</v>
      </c>
      <c r="L1089">
        <v>0</v>
      </c>
      <c r="M1089" t="s">
        <v>20</v>
      </c>
    </row>
    <row r="1090" spans="1:13" x14ac:dyDescent="0.35">
      <c r="A1090">
        <v>1089</v>
      </c>
      <c r="B1090">
        <v>583006556</v>
      </c>
      <c r="C1090">
        <v>37816</v>
      </c>
      <c r="D1090" t="s">
        <v>32</v>
      </c>
      <c r="E1090" t="s">
        <v>404</v>
      </c>
      <c r="F1090" t="s">
        <v>33</v>
      </c>
      <c r="G1090" t="s">
        <v>34</v>
      </c>
      <c r="H1090" t="s">
        <v>17</v>
      </c>
      <c r="I1090" t="s">
        <v>18</v>
      </c>
      <c r="J1090" t="s">
        <v>19</v>
      </c>
      <c r="K1090">
        <v>297</v>
      </c>
      <c r="L1090">
        <v>0</v>
      </c>
      <c r="M1090" t="s">
        <v>20</v>
      </c>
    </row>
    <row r="1091" spans="1:13" x14ac:dyDescent="0.35">
      <c r="A1091">
        <v>1090</v>
      </c>
      <c r="B1091">
        <v>583006556</v>
      </c>
      <c r="C1091">
        <v>37816</v>
      </c>
      <c r="D1091" t="s">
        <v>32</v>
      </c>
      <c r="E1091" t="s">
        <v>404</v>
      </c>
      <c r="F1091" t="s">
        <v>33</v>
      </c>
      <c r="G1091" t="s">
        <v>34</v>
      </c>
      <c r="H1091" t="s">
        <v>17</v>
      </c>
      <c r="I1091" t="s">
        <v>18</v>
      </c>
      <c r="J1091" t="s">
        <v>19</v>
      </c>
      <c r="K1091">
        <v>1419</v>
      </c>
      <c r="L1091">
        <v>0</v>
      </c>
      <c r="M1091" t="s">
        <v>20</v>
      </c>
    </row>
    <row r="1092" spans="1:13" x14ac:dyDescent="0.35">
      <c r="A1092">
        <v>1091</v>
      </c>
      <c r="B1092">
        <v>583006556</v>
      </c>
      <c r="C1092">
        <v>37816</v>
      </c>
      <c r="D1092" t="s">
        <v>32</v>
      </c>
      <c r="E1092" t="s">
        <v>404</v>
      </c>
      <c r="F1092" t="s">
        <v>33</v>
      </c>
      <c r="G1092" t="s">
        <v>34</v>
      </c>
      <c r="H1092" t="s">
        <v>17</v>
      </c>
      <c r="I1092" t="s">
        <v>18</v>
      </c>
      <c r="J1092" t="s">
        <v>19</v>
      </c>
      <c r="K1092">
        <v>72</v>
      </c>
      <c r="L1092">
        <v>0</v>
      </c>
      <c r="M1092" t="s">
        <v>20</v>
      </c>
    </row>
    <row r="1093" spans="1:13" x14ac:dyDescent="0.35">
      <c r="A1093">
        <v>1092</v>
      </c>
      <c r="B1093">
        <v>583006501</v>
      </c>
      <c r="C1093">
        <v>37740</v>
      </c>
      <c r="D1093" t="s">
        <v>82</v>
      </c>
      <c r="E1093" t="s">
        <v>404</v>
      </c>
      <c r="F1093" t="s">
        <v>83</v>
      </c>
      <c r="G1093" t="s">
        <v>84</v>
      </c>
      <c r="H1093" t="s">
        <v>17</v>
      </c>
      <c r="I1093" t="s">
        <v>18</v>
      </c>
      <c r="J1093" t="s">
        <v>19</v>
      </c>
      <c r="K1093">
        <v>504</v>
      </c>
      <c r="L1093">
        <v>0</v>
      </c>
      <c r="M1093" t="s">
        <v>20</v>
      </c>
    </row>
    <row r="1094" spans="1:13" x14ac:dyDescent="0.35">
      <c r="A1094">
        <v>1093</v>
      </c>
      <c r="B1094">
        <v>583006501</v>
      </c>
      <c r="C1094">
        <v>37740</v>
      </c>
      <c r="D1094" t="s">
        <v>82</v>
      </c>
      <c r="E1094" t="s">
        <v>404</v>
      </c>
      <c r="F1094" t="s">
        <v>83</v>
      </c>
      <c r="G1094" t="s">
        <v>84</v>
      </c>
      <c r="H1094" t="s">
        <v>17</v>
      </c>
      <c r="I1094" t="s">
        <v>18</v>
      </c>
      <c r="J1094" t="s">
        <v>19</v>
      </c>
      <c r="K1094">
        <v>2250</v>
      </c>
      <c r="L1094">
        <v>0</v>
      </c>
      <c r="M1094" t="s">
        <v>20</v>
      </c>
    </row>
    <row r="1095" spans="1:13" x14ac:dyDescent="0.35">
      <c r="A1095">
        <v>1094</v>
      </c>
      <c r="B1095">
        <v>583006501</v>
      </c>
      <c r="C1095">
        <v>37740</v>
      </c>
      <c r="D1095" t="s">
        <v>82</v>
      </c>
      <c r="E1095" t="s">
        <v>404</v>
      </c>
      <c r="F1095" t="s">
        <v>83</v>
      </c>
      <c r="G1095" t="s">
        <v>84</v>
      </c>
      <c r="H1095" t="s">
        <v>17</v>
      </c>
      <c r="I1095" t="s">
        <v>18</v>
      </c>
      <c r="J1095" t="s">
        <v>19</v>
      </c>
      <c r="K1095">
        <v>90</v>
      </c>
      <c r="L1095">
        <v>0</v>
      </c>
      <c r="M1095" t="s">
        <v>20</v>
      </c>
    </row>
    <row r="1096" spans="1:13" x14ac:dyDescent="0.35">
      <c r="A1096">
        <v>1095</v>
      </c>
      <c r="B1096">
        <v>583006501</v>
      </c>
      <c r="C1096">
        <v>37740</v>
      </c>
      <c r="D1096" t="s">
        <v>82</v>
      </c>
      <c r="E1096" t="s">
        <v>404</v>
      </c>
      <c r="F1096" t="s">
        <v>83</v>
      </c>
      <c r="G1096" t="s">
        <v>84</v>
      </c>
      <c r="H1096" t="s">
        <v>17</v>
      </c>
      <c r="I1096" t="s">
        <v>18</v>
      </c>
      <c r="J1096" t="s">
        <v>19</v>
      </c>
      <c r="K1096">
        <v>864</v>
      </c>
      <c r="L1096">
        <v>0</v>
      </c>
      <c r="M1096" t="s">
        <v>20</v>
      </c>
    </row>
    <row r="1097" spans="1:13" x14ac:dyDescent="0.35">
      <c r="A1097">
        <v>1096</v>
      </c>
      <c r="B1097">
        <v>583006549</v>
      </c>
      <c r="C1097">
        <v>37809</v>
      </c>
      <c r="D1097" t="s">
        <v>374</v>
      </c>
      <c r="E1097" t="s">
        <v>404</v>
      </c>
      <c r="F1097" t="s">
        <v>375</v>
      </c>
      <c r="G1097" t="s">
        <v>376</v>
      </c>
      <c r="H1097" t="s">
        <v>17</v>
      </c>
      <c r="I1097" t="s">
        <v>18</v>
      </c>
      <c r="J1097" t="s">
        <v>19</v>
      </c>
      <c r="K1097">
        <v>792</v>
      </c>
      <c r="L1097">
        <v>0</v>
      </c>
      <c r="M1097" t="s">
        <v>20</v>
      </c>
    </row>
    <row r="1098" spans="1:13" x14ac:dyDescent="0.35">
      <c r="A1098">
        <v>1097</v>
      </c>
      <c r="B1098">
        <v>583006549</v>
      </c>
      <c r="C1098">
        <v>37809</v>
      </c>
      <c r="D1098" t="s">
        <v>374</v>
      </c>
      <c r="E1098" t="s">
        <v>404</v>
      </c>
      <c r="F1098" t="s">
        <v>375</v>
      </c>
      <c r="G1098" t="s">
        <v>376</v>
      </c>
      <c r="H1098" t="s">
        <v>17</v>
      </c>
      <c r="I1098" t="s">
        <v>18</v>
      </c>
      <c r="J1098" t="s">
        <v>19</v>
      </c>
      <c r="K1098">
        <v>270</v>
      </c>
      <c r="L1098">
        <v>0</v>
      </c>
      <c r="M1098" t="s">
        <v>20</v>
      </c>
    </row>
    <row r="1099" spans="1:13" x14ac:dyDescent="0.35">
      <c r="A1099">
        <v>1098</v>
      </c>
      <c r="B1099">
        <v>583006514</v>
      </c>
      <c r="C1099">
        <v>37760</v>
      </c>
      <c r="D1099" t="s">
        <v>32</v>
      </c>
      <c r="E1099" t="s">
        <v>404</v>
      </c>
      <c r="F1099" t="s">
        <v>33</v>
      </c>
      <c r="G1099" t="s">
        <v>34</v>
      </c>
      <c r="H1099" t="s">
        <v>17</v>
      </c>
      <c r="I1099" t="s">
        <v>18</v>
      </c>
      <c r="J1099" t="s">
        <v>19</v>
      </c>
      <c r="K1099">
        <v>720</v>
      </c>
      <c r="L1099">
        <v>0</v>
      </c>
      <c r="M1099" t="s">
        <v>20</v>
      </c>
    </row>
    <row r="1100" spans="1:13" x14ac:dyDescent="0.35">
      <c r="A1100">
        <v>1099</v>
      </c>
      <c r="B1100">
        <v>583006514</v>
      </c>
      <c r="C1100">
        <v>37760</v>
      </c>
      <c r="D1100" t="s">
        <v>32</v>
      </c>
      <c r="E1100" t="s">
        <v>404</v>
      </c>
      <c r="F1100" t="s">
        <v>33</v>
      </c>
      <c r="G1100" t="s">
        <v>34</v>
      </c>
      <c r="H1100" t="s">
        <v>17</v>
      </c>
      <c r="I1100" t="s">
        <v>18</v>
      </c>
      <c r="J1100" t="s">
        <v>19</v>
      </c>
      <c r="K1100">
        <v>432</v>
      </c>
      <c r="L1100">
        <v>0</v>
      </c>
      <c r="M1100" t="s">
        <v>20</v>
      </c>
    </row>
    <row r="1101" spans="1:13" x14ac:dyDescent="0.35">
      <c r="A1101">
        <v>1100</v>
      </c>
      <c r="B1101">
        <v>583006549</v>
      </c>
      <c r="C1101">
        <v>37809</v>
      </c>
      <c r="D1101" t="s">
        <v>374</v>
      </c>
      <c r="E1101" t="s">
        <v>404</v>
      </c>
      <c r="F1101" t="s">
        <v>375</v>
      </c>
      <c r="G1101" t="s">
        <v>376</v>
      </c>
      <c r="H1101" t="s">
        <v>17</v>
      </c>
      <c r="I1101" t="s">
        <v>18</v>
      </c>
      <c r="J1101" t="s">
        <v>19</v>
      </c>
      <c r="K1101">
        <v>2007</v>
      </c>
      <c r="L1101">
        <v>0</v>
      </c>
      <c r="M1101" t="s">
        <v>20</v>
      </c>
    </row>
    <row r="1102" spans="1:13" x14ac:dyDescent="0.35">
      <c r="A1102">
        <v>1101</v>
      </c>
      <c r="B1102">
        <v>583006556</v>
      </c>
      <c r="C1102">
        <v>37816</v>
      </c>
      <c r="D1102" t="s">
        <v>32</v>
      </c>
      <c r="E1102" t="s">
        <v>404</v>
      </c>
      <c r="F1102" t="s">
        <v>33</v>
      </c>
      <c r="G1102" t="s">
        <v>34</v>
      </c>
      <c r="H1102" t="s">
        <v>17</v>
      </c>
      <c r="I1102" t="s">
        <v>18</v>
      </c>
      <c r="J1102" t="s">
        <v>19</v>
      </c>
      <c r="K1102">
        <v>39</v>
      </c>
      <c r="L1102">
        <v>0</v>
      </c>
      <c r="M1102" t="s">
        <v>20</v>
      </c>
    </row>
    <row r="1103" spans="1:13" x14ac:dyDescent="0.35">
      <c r="A1103">
        <v>1102</v>
      </c>
      <c r="B1103">
        <v>583006555</v>
      </c>
      <c r="C1103">
        <v>37815</v>
      </c>
      <c r="D1103" t="s">
        <v>32</v>
      </c>
      <c r="E1103" t="s">
        <v>404</v>
      </c>
      <c r="F1103" t="s">
        <v>33</v>
      </c>
      <c r="G1103" t="s">
        <v>34</v>
      </c>
      <c r="H1103" t="s">
        <v>17</v>
      </c>
      <c r="I1103" t="s">
        <v>135</v>
      </c>
      <c r="J1103" t="s">
        <v>19</v>
      </c>
      <c r="K1103">
        <v>240</v>
      </c>
      <c r="L1103">
        <v>0</v>
      </c>
      <c r="M1103" t="s">
        <v>20</v>
      </c>
    </row>
    <row r="1104" spans="1:13" x14ac:dyDescent="0.35">
      <c r="A1104">
        <v>1103</v>
      </c>
      <c r="B1104">
        <v>583006502</v>
      </c>
      <c r="C1104">
        <v>37741</v>
      </c>
      <c r="D1104" t="s">
        <v>45</v>
      </c>
      <c r="E1104" t="s">
        <v>404</v>
      </c>
      <c r="F1104" t="s">
        <v>46</v>
      </c>
      <c r="G1104" t="s">
        <v>47</v>
      </c>
      <c r="H1104" t="s">
        <v>17</v>
      </c>
      <c r="I1104" t="s">
        <v>18</v>
      </c>
      <c r="J1104" t="s">
        <v>19</v>
      </c>
      <c r="K1104">
        <v>297</v>
      </c>
      <c r="L1104">
        <v>0</v>
      </c>
      <c r="M1104" t="s">
        <v>20</v>
      </c>
    </row>
    <row r="1105" spans="1:13" x14ac:dyDescent="0.35">
      <c r="A1105">
        <v>1104</v>
      </c>
      <c r="B1105">
        <v>583006502</v>
      </c>
      <c r="C1105">
        <v>37741</v>
      </c>
      <c r="D1105" t="s">
        <v>45</v>
      </c>
      <c r="E1105" t="s">
        <v>404</v>
      </c>
      <c r="F1105" t="s">
        <v>46</v>
      </c>
      <c r="G1105" t="s">
        <v>47</v>
      </c>
      <c r="H1105" t="s">
        <v>17</v>
      </c>
      <c r="I1105" t="s">
        <v>18</v>
      </c>
      <c r="J1105" t="s">
        <v>19</v>
      </c>
      <c r="K1105">
        <v>465</v>
      </c>
      <c r="L1105">
        <v>0</v>
      </c>
      <c r="M1105" t="s">
        <v>20</v>
      </c>
    </row>
    <row r="1106" spans="1:13" x14ac:dyDescent="0.35">
      <c r="A1106">
        <v>1105</v>
      </c>
      <c r="B1106">
        <v>583006502</v>
      </c>
      <c r="C1106">
        <v>37741</v>
      </c>
      <c r="D1106" t="s">
        <v>45</v>
      </c>
      <c r="E1106" t="s">
        <v>404</v>
      </c>
      <c r="F1106" t="s">
        <v>46</v>
      </c>
      <c r="G1106" t="s">
        <v>47</v>
      </c>
      <c r="H1106" t="s">
        <v>17</v>
      </c>
      <c r="I1106" t="s">
        <v>18</v>
      </c>
      <c r="J1106" t="s">
        <v>19</v>
      </c>
      <c r="K1106">
        <v>405</v>
      </c>
      <c r="L1106">
        <v>0</v>
      </c>
      <c r="M1106" t="s">
        <v>20</v>
      </c>
    </row>
    <row r="1107" spans="1:13" x14ac:dyDescent="0.35">
      <c r="A1107">
        <v>1106</v>
      </c>
      <c r="B1107">
        <v>583006502</v>
      </c>
      <c r="C1107">
        <v>37741</v>
      </c>
      <c r="D1107" t="s">
        <v>45</v>
      </c>
      <c r="E1107" t="s">
        <v>404</v>
      </c>
      <c r="F1107" t="s">
        <v>46</v>
      </c>
      <c r="G1107" t="s">
        <v>47</v>
      </c>
      <c r="H1107" t="s">
        <v>17</v>
      </c>
      <c r="I1107" t="s">
        <v>18</v>
      </c>
      <c r="J1107" t="s">
        <v>19</v>
      </c>
      <c r="K1107">
        <v>2691</v>
      </c>
      <c r="L1107">
        <v>0</v>
      </c>
      <c r="M1107" t="s">
        <v>20</v>
      </c>
    </row>
    <row r="1108" spans="1:13" x14ac:dyDescent="0.35">
      <c r="A1108">
        <v>1107</v>
      </c>
      <c r="B1108">
        <v>583006486</v>
      </c>
      <c r="C1108">
        <v>37716</v>
      </c>
      <c r="D1108" t="s">
        <v>116</v>
      </c>
      <c r="E1108" t="s">
        <v>404</v>
      </c>
      <c r="F1108" t="s">
        <v>117</v>
      </c>
      <c r="G1108" t="s">
        <v>118</v>
      </c>
      <c r="H1108" t="s">
        <v>17</v>
      </c>
      <c r="I1108" t="s">
        <v>18</v>
      </c>
      <c r="J1108" t="s">
        <v>19</v>
      </c>
      <c r="K1108">
        <v>3621</v>
      </c>
      <c r="L1108">
        <v>0</v>
      </c>
      <c r="M1108" t="s">
        <v>20</v>
      </c>
    </row>
    <row r="1109" spans="1:13" x14ac:dyDescent="0.35">
      <c r="A1109">
        <v>1108</v>
      </c>
      <c r="B1109">
        <v>583006524</v>
      </c>
      <c r="C1109">
        <v>37771</v>
      </c>
      <c r="D1109" t="s">
        <v>116</v>
      </c>
      <c r="E1109" t="s">
        <v>404</v>
      </c>
      <c r="F1109" t="s">
        <v>117</v>
      </c>
      <c r="G1109" t="s">
        <v>118</v>
      </c>
      <c r="H1109" t="s">
        <v>17</v>
      </c>
      <c r="I1109" t="s">
        <v>24</v>
      </c>
      <c r="J1109" t="s">
        <v>25</v>
      </c>
      <c r="K1109">
        <v>40</v>
      </c>
      <c r="L1109">
        <v>0</v>
      </c>
      <c r="M1109" t="s">
        <v>20</v>
      </c>
    </row>
    <row r="1110" spans="1:13" x14ac:dyDescent="0.35">
      <c r="A1110">
        <v>1109</v>
      </c>
      <c r="B1110">
        <v>583006495</v>
      </c>
      <c r="C1110">
        <v>37731</v>
      </c>
      <c r="D1110" t="s">
        <v>226</v>
      </c>
      <c r="E1110" t="s">
        <v>404</v>
      </c>
      <c r="F1110" t="s">
        <v>227</v>
      </c>
      <c r="G1110" t="s">
        <v>228</v>
      </c>
      <c r="H1110" t="s">
        <v>17</v>
      </c>
      <c r="I1110" t="s">
        <v>24</v>
      </c>
      <c r="J1110" t="s">
        <v>25</v>
      </c>
      <c r="K1110">
        <v>6</v>
      </c>
      <c r="L1110">
        <v>0</v>
      </c>
      <c r="M1110" t="s">
        <v>20</v>
      </c>
    </row>
    <row r="1111" spans="1:13" x14ac:dyDescent="0.35">
      <c r="A1111">
        <v>1110</v>
      </c>
      <c r="B1111">
        <v>583006494</v>
      </c>
      <c r="C1111">
        <v>37730</v>
      </c>
      <c r="D1111" t="s">
        <v>226</v>
      </c>
      <c r="E1111" t="s">
        <v>404</v>
      </c>
      <c r="F1111" t="s">
        <v>227</v>
      </c>
      <c r="G1111" t="s">
        <v>228</v>
      </c>
      <c r="H1111" t="s">
        <v>17</v>
      </c>
      <c r="I1111" t="s">
        <v>135</v>
      </c>
      <c r="J1111" t="s">
        <v>19</v>
      </c>
      <c r="K1111">
        <v>360</v>
      </c>
      <c r="L1111">
        <v>0</v>
      </c>
      <c r="M1111" t="s">
        <v>20</v>
      </c>
    </row>
    <row r="1112" spans="1:13" x14ac:dyDescent="0.35">
      <c r="A1112">
        <v>1111</v>
      </c>
      <c r="B1112">
        <v>583006493</v>
      </c>
      <c r="C1112">
        <v>37729</v>
      </c>
      <c r="D1112" t="s">
        <v>226</v>
      </c>
      <c r="E1112" t="s">
        <v>404</v>
      </c>
      <c r="F1112" t="s">
        <v>227</v>
      </c>
      <c r="G1112" t="s">
        <v>228</v>
      </c>
      <c r="H1112" t="s">
        <v>17</v>
      </c>
      <c r="I1112" t="s">
        <v>18</v>
      </c>
      <c r="J1112" t="s">
        <v>19</v>
      </c>
      <c r="K1112">
        <v>90</v>
      </c>
      <c r="L1112">
        <v>0</v>
      </c>
      <c r="M1112" t="s">
        <v>20</v>
      </c>
    </row>
    <row r="1113" spans="1:13" x14ac:dyDescent="0.35">
      <c r="A1113">
        <v>1112</v>
      </c>
      <c r="B1113">
        <v>583006525</v>
      </c>
      <c r="C1113">
        <v>37772</v>
      </c>
      <c r="D1113" t="s">
        <v>116</v>
      </c>
      <c r="E1113" t="s">
        <v>404</v>
      </c>
      <c r="F1113" t="s">
        <v>117</v>
      </c>
      <c r="G1113" t="s">
        <v>118</v>
      </c>
      <c r="H1113" t="s">
        <v>17</v>
      </c>
      <c r="I1113" t="s">
        <v>24</v>
      </c>
      <c r="J1113" t="s">
        <v>25</v>
      </c>
      <c r="K1113">
        <v>7</v>
      </c>
      <c r="L1113">
        <v>0</v>
      </c>
      <c r="M1113" t="s">
        <v>20</v>
      </c>
    </row>
    <row r="1114" spans="1:13" x14ac:dyDescent="0.35">
      <c r="A1114">
        <v>1113</v>
      </c>
      <c r="B1114">
        <v>583006493</v>
      </c>
      <c r="C1114">
        <v>37729</v>
      </c>
      <c r="D1114" t="s">
        <v>226</v>
      </c>
      <c r="E1114" t="s">
        <v>404</v>
      </c>
      <c r="F1114" t="s">
        <v>227</v>
      </c>
      <c r="G1114" t="s">
        <v>228</v>
      </c>
      <c r="H1114" t="s">
        <v>17</v>
      </c>
      <c r="I1114" t="s">
        <v>18</v>
      </c>
      <c r="J1114" t="s">
        <v>19</v>
      </c>
      <c r="K1114">
        <v>936</v>
      </c>
      <c r="L1114">
        <v>0</v>
      </c>
      <c r="M1114" t="s">
        <v>20</v>
      </c>
    </row>
    <row r="1115" spans="1:13" x14ac:dyDescent="0.35">
      <c r="A1115">
        <v>1114</v>
      </c>
      <c r="B1115">
        <v>583006541</v>
      </c>
      <c r="C1115">
        <v>37798</v>
      </c>
      <c r="D1115" t="s">
        <v>116</v>
      </c>
      <c r="E1115" t="s">
        <v>404</v>
      </c>
      <c r="F1115" t="s">
        <v>117</v>
      </c>
      <c r="G1115" t="s">
        <v>118</v>
      </c>
      <c r="H1115" t="s">
        <v>17</v>
      </c>
      <c r="I1115" t="s">
        <v>18</v>
      </c>
      <c r="J1115" t="s">
        <v>19</v>
      </c>
      <c r="K1115">
        <v>495</v>
      </c>
      <c r="L1115">
        <v>0</v>
      </c>
      <c r="M1115" t="s">
        <v>20</v>
      </c>
    </row>
    <row r="1116" spans="1:13" x14ac:dyDescent="0.35">
      <c r="A1116">
        <v>1115</v>
      </c>
      <c r="B1116">
        <v>583006493</v>
      </c>
      <c r="C1116">
        <v>37729</v>
      </c>
      <c r="D1116" t="s">
        <v>226</v>
      </c>
      <c r="E1116" t="s">
        <v>404</v>
      </c>
      <c r="F1116" t="s">
        <v>227</v>
      </c>
      <c r="G1116" t="s">
        <v>228</v>
      </c>
      <c r="H1116" t="s">
        <v>17</v>
      </c>
      <c r="I1116" t="s">
        <v>18</v>
      </c>
      <c r="J1116" t="s">
        <v>19</v>
      </c>
      <c r="K1116">
        <v>2958</v>
      </c>
      <c r="L1116">
        <v>0</v>
      </c>
      <c r="M1116" t="s">
        <v>20</v>
      </c>
    </row>
    <row r="1117" spans="1:13" x14ac:dyDescent="0.35">
      <c r="A1117">
        <v>1116</v>
      </c>
      <c r="B1117">
        <v>583006490</v>
      </c>
      <c r="C1117">
        <v>37721</v>
      </c>
      <c r="D1117" t="s">
        <v>407</v>
      </c>
      <c r="E1117" t="s">
        <v>404</v>
      </c>
      <c r="F1117" t="s">
        <v>408</v>
      </c>
      <c r="G1117" t="s">
        <v>409</v>
      </c>
      <c r="H1117" t="s">
        <v>17</v>
      </c>
      <c r="I1117" t="s">
        <v>24</v>
      </c>
      <c r="J1117" t="s">
        <v>25</v>
      </c>
      <c r="K1117">
        <v>15</v>
      </c>
      <c r="L1117">
        <v>0</v>
      </c>
      <c r="M1117" t="s">
        <v>20</v>
      </c>
    </row>
    <row r="1118" spans="1:13" x14ac:dyDescent="0.35">
      <c r="A1118">
        <v>1117</v>
      </c>
      <c r="B1118">
        <v>583006500</v>
      </c>
      <c r="C1118">
        <v>37739</v>
      </c>
      <c r="D1118" t="s">
        <v>334</v>
      </c>
      <c r="E1118" t="s">
        <v>404</v>
      </c>
      <c r="F1118" t="s">
        <v>335</v>
      </c>
      <c r="G1118" t="s">
        <v>336</v>
      </c>
      <c r="H1118" t="s">
        <v>17</v>
      </c>
      <c r="I1118" t="s">
        <v>18</v>
      </c>
      <c r="J1118" t="s">
        <v>19</v>
      </c>
      <c r="K1118">
        <v>1962</v>
      </c>
      <c r="L1118">
        <v>0</v>
      </c>
      <c r="M1118" t="s">
        <v>20</v>
      </c>
    </row>
    <row r="1119" spans="1:13" x14ac:dyDescent="0.35">
      <c r="A1119">
        <v>1118</v>
      </c>
      <c r="B1119">
        <v>583006500</v>
      </c>
      <c r="C1119">
        <v>37739</v>
      </c>
      <c r="D1119" t="s">
        <v>334</v>
      </c>
      <c r="E1119" t="s">
        <v>404</v>
      </c>
      <c r="F1119" t="s">
        <v>335</v>
      </c>
      <c r="G1119" t="s">
        <v>336</v>
      </c>
      <c r="H1119" t="s">
        <v>17</v>
      </c>
      <c r="I1119" t="s">
        <v>18</v>
      </c>
      <c r="J1119" t="s">
        <v>19</v>
      </c>
      <c r="K1119">
        <v>72</v>
      </c>
      <c r="L1119">
        <v>0</v>
      </c>
      <c r="M1119" t="s">
        <v>20</v>
      </c>
    </row>
    <row r="1120" spans="1:13" x14ac:dyDescent="0.35">
      <c r="A1120">
        <v>1119</v>
      </c>
      <c r="B1120">
        <v>583006488</v>
      </c>
      <c r="C1120">
        <v>37719</v>
      </c>
      <c r="D1120" t="s">
        <v>407</v>
      </c>
      <c r="E1120" t="s">
        <v>404</v>
      </c>
      <c r="F1120" t="s">
        <v>408</v>
      </c>
      <c r="G1120" t="s">
        <v>409</v>
      </c>
      <c r="H1120" t="s">
        <v>17</v>
      </c>
      <c r="I1120" t="s">
        <v>18</v>
      </c>
      <c r="J1120" t="s">
        <v>19</v>
      </c>
      <c r="K1120">
        <v>900</v>
      </c>
      <c r="L1120">
        <v>0</v>
      </c>
      <c r="M1120" t="s">
        <v>20</v>
      </c>
    </row>
    <row r="1121" spans="1:13" x14ac:dyDescent="0.35">
      <c r="A1121">
        <v>1120</v>
      </c>
      <c r="B1121">
        <v>583006488</v>
      </c>
      <c r="C1121">
        <v>37719</v>
      </c>
      <c r="D1121" t="s">
        <v>407</v>
      </c>
      <c r="E1121" t="s">
        <v>404</v>
      </c>
      <c r="F1121" t="s">
        <v>408</v>
      </c>
      <c r="G1121" t="s">
        <v>409</v>
      </c>
      <c r="H1121" t="s">
        <v>17</v>
      </c>
      <c r="I1121" t="s">
        <v>18</v>
      </c>
      <c r="J1121" t="s">
        <v>19</v>
      </c>
      <c r="K1121">
        <v>324</v>
      </c>
      <c r="L1121">
        <v>0</v>
      </c>
      <c r="M1121" t="s">
        <v>20</v>
      </c>
    </row>
    <row r="1122" spans="1:13" x14ac:dyDescent="0.35">
      <c r="A1122">
        <v>1121</v>
      </c>
      <c r="B1122">
        <v>583006488</v>
      </c>
      <c r="C1122">
        <v>37719</v>
      </c>
      <c r="D1122" t="s">
        <v>407</v>
      </c>
      <c r="E1122" t="s">
        <v>404</v>
      </c>
      <c r="F1122" t="s">
        <v>408</v>
      </c>
      <c r="G1122" t="s">
        <v>409</v>
      </c>
      <c r="H1122" t="s">
        <v>17</v>
      </c>
      <c r="I1122" t="s">
        <v>18</v>
      </c>
      <c r="J1122" t="s">
        <v>19</v>
      </c>
      <c r="K1122">
        <v>135</v>
      </c>
      <c r="L1122">
        <v>0</v>
      </c>
      <c r="M1122" t="s">
        <v>20</v>
      </c>
    </row>
    <row r="1123" spans="1:13" x14ac:dyDescent="0.35">
      <c r="A1123">
        <v>1122</v>
      </c>
      <c r="B1123">
        <v>583006536</v>
      </c>
      <c r="C1123">
        <v>37790</v>
      </c>
      <c r="D1123" t="s">
        <v>39</v>
      </c>
      <c r="E1123" t="s">
        <v>404</v>
      </c>
      <c r="F1123" t="s">
        <v>40</v>
      </c>
      <c r="G1123" t="s">
        <v>41</v>
      </c>
      <c r="H1123" t="s">
        <v>17</v>
      </c>
      <c r="I1123" t="s">
        <v>35</v>
      </c>
      <c r="J1123" t="s">
        <v>25</v>
      </c>
      <c r="K1123">
        <v>6</v>
      </c>
      <c r="L1123">
        <v>0</v>
      </c>
      <c r="M1123" t="s">
        <v>20</v>
      </c>
    </row>
    <row r="1124" spans="1:13" x14ac:dyDescent="0.35">
      <c r="A1124">
        <v>1123</v>
      </c>
      <c r="B1124">
        <v>583006532</v>
      </c>
      <c r="C1124">
        <v>37781</v>
      </c>
      <c r="D1124" t="s">
        <v>39</v>
      </c>
      <c r="E1124" t="s">
        <v>404</v>
      </c>
      <c r="F1124" t="s">
        <v>40</v>
      </c>
      <c r="G1124" t="s">
        <v>41</v>
      </c>
      <c r="H1124" t="s">
        <v>17</v>
      </c>
      <c r="I1124" t="s">
        <v>18</v>
      </c>
      <c r="J1124" t="s">
        <v>19</v>
      </c>
      <c r="K1124">
        <v>1824</v>
      </c>
      <c r="L1124">
        <v>0</v>
      </c>
      <c r="M1124" t="s">
        <v>20</v>
      </c>
    </row>
    <row r="1125" spans="1:13" x14ac:dyDescent="0.35">
      <c r="A1125">
        <v>1124</v>
      </c>
      <c r="B1125">
        <v>583006531</v>
      </c>
      <c r="C1125">
        <v>37780</v>
      </c>
      <c r="D1125" t="s">
        <v>116</v>
      </c>
      <c r="E1125" t="s">
        <v>404</v>
      </c>
      <c r="F1125" t="s">
        <v>117</v>
      </c>
      <c r="G1125" t="s">
        <v>118</v>
      </c>
      <c r="H1125" t="s">
        <v>17</v>
      </c>
      <c r="I1125" t="s">
        <v>18</v>
      </c>
      <c r="J1125" t="s">
        <v>19</v>
      </c>
      <c r="K1125">
        <v>3465</v>
      </c>
      <c r="L1125">
        <v>0</v>
      </c>
      <c r="M1125" t="s">
        <v>20</v>
      </c>
    </row>
    <row r="1126" spans="1:13" x14ac:dyDescent="0.35">
      <c r="A1126">
        <v>1125</v>
      </c>
      <c r="B1126">
        <v>583006517</v>
      </c>
      <c r="C1126">
        <v>37763</v>
      </c>
      <c r="D1126" t="s">
        <v>344</v>
      </c>
      <c r="E1126" t="s">
        <v>404</v>
      </c>
      <c r="F1126" t="s">
        <v>345</v>
      </c>
      <c r="G1126" t="s">
        <v>346</v>
      </c>
      <c r="H1126" t="s">
        <v>17</v>
      </c>
      <c r="I1126" t="s">
        <v>35</v>
      </c>
      <c r="J1126" t="s">
        <v>25</v>
      </c>
      <c r="K1126">
        <v>8</v>
      </c>
      <c r="L1126">
        <v>0</v>
      </c>
      <c r="M1126" t="s">
        <v>20</v>
      </c>
    </row>
    <row r="1127" spans="1:13" x14ac:dyDescent="0.35">
      <c r="A1127">
        <v>1126</v>
      </c>
      <c r="B1127">
        <v>583006516</v>
      </c>
      <c r="C1127">
        <v>37762</v>
      </c>
      <c r="D1127" t="s">
        <v>344</v>
      </c>
      <c r="E1127" t="s">
        <v>404</v>
      </c>
      <c r="F1127" t="s">
        <v>345</v>
      </c>
      <c r="G1127" t="s">
        <v>346</v>
      </c>
      <c r="H1127" t="s">
        <v>17</v>
      </c>
      <c r="I1127" t="s">
        <v>18</v>
      </c>
      <c r="J1127" t="s">
        <v>19</v>
      </c>
      <c r="K1127">
        <v>612</v>
      </c>
      <c r="L1127">
        <v>0</v>
      </c>
      <c r="M1127" t="s">
        <v>20</v>
      </c>
    </row>
    <row r="1128" spans="1:13" x14ac:dyDescent="0.35">
      <c r="A1128">
        <v>1127</v>
      </c>
      <c r="B1128">
        <v>583006516</v>
      </c>
      <c r="C1128">
        <v>37762</v>
      </c>
      <c r="D1128" t="s">
        <v>344</v>
      </c>
      <c r="E1128" t="s">
        <v>404</v>
      </c>
      <c r="F1128" t="s">
        <v>345</v>
      </c>
      <c r="G1128" t="s">
        <v>346</v>
      </c>
      <c r="H1128" t="s">
        <v>17</v>
      </c>
      <c r="I1128" t="s">
        <v>18</v>
      </c>
      <c r="J1128" t="s">
        <v>19</v>
      </c>
      <c r="K1128">
        <v>2673</v>
      </c>
      <c r="L1128">
        <v>0</v>
      </c>
      <c r="M1128" t="s">
        <v>20</v>
      </c>
    </row>
    <row r="1129" spans="1:13" x14ac:dyDescent="0.35">
      <c r="A1129">
        <v>1128</v>
      </c>
      <c r="B1129">
        <v>583006516</v>
      </c>
      <c r="C1129">
        <v>37762</v>
      </c>
      <c r="D1129" t="s">
        <v>344</v>
      </c>
      <c r="E1129" t="s">
        <v>404</v>
      </c>
      <c r="F1129" t="s">
        <v>345</v>
      </c>
      <c r="G1129" t="s">
        <v>346</v>
      </c>
      <c r="H1129" t="s">
        <v>17</v>
      </c>
      <c r="I1129" t="s">
        <v>18</v>
      </c>
      <c r="J1129" t="s">
        <v>19</v>
      </c>
      <c r="K1129">
        <v>630</v>
      </c>
      <c r="L1129">
        <v>0</v>
      </c>
      <c r="M1129" t="s">
        <v>20</v>
      </c>
    </row>
    <row r="1130" spans="1:13" x14ac:dyDescent="0.35">
      <c r="A1130">
        <v>1129</v>
      </c>
      <c r="B1130">
        <v>583006530</v>
      </c>
      <c r="C1130">
        <v>37777</v>
      </c>
      <c r="D1130" t="s">
        <v>410</v>
      </c>
      <c r="E1130" t="s">
        <v>404</v>
      </c>
      <c r="F1130" t="s">
        <v>411</v>
      </c>
      <c r="G1130" t="s">
        <v>412</v>
      </c>
      <c r="H1130" t="s">
        <v>17</v>
      </c>
      <c r="I1130" t="s">
        <v>35</v>
      </c>
      <c r="J1130" t="s">
        <v>59</v>
      </c>
      <c r="K1130">
        <v>25</v>
      </c>
      <c r="L1130">
        <v>0</v>
      </c>
      <c r="M1130" t="s">
        <v>20</v>
      </c>
    </row>
    <row r="1131" spans="1:13" x14ac:dyDescent="0.35">
      <c r="A1131">
        <v>1130</v>
      </c>
      <c r="B1131">
        <v>583006528</v>
      </c>
      <c r="C1131">
        <v>37775</v>
      </c>
      <c r="D1131" t="s">
        <v>190</v>
      </c>
      <c r="E1131" t="s">
        <v>404</v>
      </c>
      <c r="F1131" t="s">
        <v>191</v>
      </c>
      <c r="G1131" t="s">
        <v>192</v>
      </c>
      <c r="H1131" t="s">
        <v>17</v>
      </c>
      <c r="I1131" t="s">
        <v>35</v>
      </c>
      <c r="J1131" t="s">
        <v>25</v>
      </c>
      <c r="K1131">
        <v>5</v>
      </c>
      <c r="L1131">
        <v>0</v>
      </c>
      <c r="M1131" t="s">
        <v>20</v>
      </c>
    </row>
    <row r="1132" spans="1:13" x14ac:dyDescent="0.35">
      <c r="A1132">
        <v>1131</v>
      </c>
      <c r="B1132">
        <v>583006527</v>
      </c>
      <c r="C1132">
        <v>37774</v>
      </c>
      <c r="D1132" t="s">
        <v>190</v>
      </c>
      <c r="E1132" t="s">
        <v>404</v>
      </c>
      <c r="F1132" t="s">
        <v>191</v>
      </c>
      <c r="G1132" t="s">
        <v>192</v>
      </c>
      <c r="H1132" t="s">
        <v>17</v>
      </c>
      <c r="I1132" t="s">
        <v>18</v>
      </c>
      <c r="J1132" t="s">
        <v>19</v>
      </c>
      <c r="K1132">
        <v>1440</v>
      </c>
      <c r="L1132">
        <v>0</v>
      </c>
      <c r="M1132" t="s">
        <v>20</v>
      </c>
    </row>
    <row r="1133" spans="1:13" x14ac:dyDescent="0.35">
      <c r="A1133">
        <v>1132</v>
      </c>
      <c r="B1133">
        <v>583006527</v>
      </c>
      <c r="C1133">
        <v>37774</v>
      </c>
      <c r="D1133" t="s">
        <v>190</v>
      </c>
      <c r="E1133" t="s">
        <v>404</v>
      </c>
      <c r="F1133" t="s">
        <v>191</v>
      </c>
      <c r="G1133" t="s">
        <v>192</v>
      </c>
      <c r="H1133" t="s">
        <v>17</v>
      </c>
      <c r="I1133" t="s">
        <v>18</v>
      </c>
      <c r="J1133" t="s">
        <v>19</v>
      </c>
      <c r="K1133">
        <v>546</v>
      </c>
      <c r="L1133">
        <v>0</v>
      </c>
      <c r="M1133" t="s">
        <v>20</v>
      </c>
    </row>
    <row r="1134" spans="1:13" x14ac:dyDescent="0.35">
      <c r="A1134">
        <v>1133</v>
      </c>
      <c r="B1134">
        <v>583006489</v>
      </c>
      <c r="C1134">
        <v>37720</v>
      </c>
      <c r="D1134" t="s">
        <v>407</v>
      </c>
      <c r="E1134" t="s">
        <v>404</v>
      </c>
      <c r="F1134" t="s">
        <v>408</v>
      </c>
      <c r="G1134" t="s">
        <v>409</v>
      </c>
      <c r="H1134" t="s">
        <v>17</v>
      </c>
      <c r="I1134" t="s">
        <v>135</v>
      </c>
      <c r="J1134" t="s">
        <v>19</v>
      </c>
      <c r="K1134">
        <v>450</v>
      </c>
      <c r="L1134">
        <v>0</v>
      </c>
      <c r="M1134" t="s">
        <v>20</v>
      </c>
    </row>
    <row r="1135" spans="1:13" x14ac:dyDescent="0.35">
      <c r="A1135">
        <v>1134</v>
      </c>
      <c r="B1135">
        <v>583006644</v>
      </c>
      <c r="C1135">
        <v>37924</v>
      </c>
      <c r="D1135" t="s">
        <v>36</v>
      </c>
      <c r="E1135" t="s">
        <v>413</v>
      </c>
      <c r="F1135" t="s">
        <v>37</v>
      </c>
      <c r="G1135" t="s">
        <v>38</v>
      </c>
      <c r="H1135" t="s">
        <v>17</v>
      </c>
      <c r="I1135" t="s">
        <v>18</v>
      </c>
      <c r="J1135" t="s">
        <v>19</v>
      </c>
      <c r="K1135">
        <v>1308</v>
      </c>
      <c r="L1135">
        <v>0</v>
      </c>
      <c r="M1135" t="s">
        <v>20</v>
      </c>
    </row>
    <row r="1136" spans="1:13" x14ac:dyDescent="0.35">
      <c r="A1136">
        <v>1135</v>
      </c>
      <c r="B1136">
        <v>583006644</v>
      </c>
      <c r="C1136">
        <v>37924</v>
      </c>
      <c r="D1136" t="s">
        <v>36</v>
      </c>
      <c r="E1136" t="s">
        <v>413</v>
      </c>
      <c r="F1136" t="s">
        <v>37</v>
      </c>
      <c r="G1136" t="s">
        <v>38</v>
      </c>
      <c r="H1136" t="s">
        <v>17</v>
      </c>
      <c r="I1136" t="s">
        <v>18</v>
      </c>
      <c r="J1136" t="s">
        <v>19</v>
      </c>
      <c r="K1136">
        <v>423</v>
      </c>
      <c r="L1136">
        <v>0</v>
      </c>
      <c r="M1136" t="s">
        <v>20</v>
      </c>
    </row>
    <row r="1137" spans="1:13" x14ac:dyDescent="0.35">
      <c r="A1137">
        <v>1136</v>
      </c>
      <c r="B1137">
        <v>583006626</v>
      </c>
      <c r="C1137">
        <v>37905</v>
      </c>
      <c r="D1137" t="s">
        <v>247</v>
      </c>
      <c r="E1137" t="s">
        <v>413</v>
      </c>
      <c r="F1137" t="s">
        <v>248</v>
      </c>
      <c r="G1137" t="s">
        <v>249</v>
      </c>
      <c r="H1137" t="s">
        <v>17</v>
      </c>
      <c r="I1137" t="s">
        <v>18</v>
      </c>
      <c r="J1137" t="s">
        <v>19</v>
      </c>
      <c r="K1137">
        <v>555</v>
      </c>
      <c r="L1137">
        <v>0</v>
      </c>
      <c r="M1137" t="s">
        <v>20</v>
      </c>
    </row>
    <row r="1138" spans="1:13" x14ac:dyDescent="0.35">
      <c r="A1138">
        <v>1137</v>
      </c>
      <c r="B1138">
        <v>583006644</v>
      </c>
      <c r="C1138">
        <v>37924</v>
      </c>
      <c r="D1138" t="s">
        <v>36</v>
      </c>
      <c r="E1138" t="s">
        <v>413</v>
      </c>
      <c r="F1138" t="s">
        <v>37</v>
      </c>
      <c r="G1138" t="s">
        <v>38</v>
      </c>
      <c r="H1138" t="s">
        <v>17</v>
      </c>
      <c r="I1138" t="s">
        <v>18</v>
      </c>
      <c r="J1138" t="s">
        <v>19</v>
      </c>
      <c r="K1138">
        <v>90</v>
      </c>
      <c r="L1138">
        <v>0</v>
      </c>
      <c r="M1138" t="s">
        <v>20</v>
      </c>
    </row>
    <row r="1139" spans="1:13" x14ac:dyDescent="0.35">
      <c r="A1139">
        <v>1138</v>
      </c>
      <c r="B1139">
        <v>583006589</v>
      </c>
      <c r="C1139">
        <v>37851</v>
      </c>
      <c r="D1139" t="s">
        <v>340</v>
      </c>
      <c r="E1139" t="s">
        <v>413</v>
      </c>
      <c r="F1139" t="s">
        <v>341</v>
      </c>
      <c r="G1139" t="s">
        <v>342</v>
      </c>
      <c r="H1139" t="s">
        <v>17</v>
      </c>
      <c r="I1139" t="s">
        <v>63</v>
      </c>
      <c r="J1139" t="s">
        <v>64</v>
      </c>
      <c r="K1139">
        <v>54</v>
      </c>
      <c r="L1139">
        <v>89.1</v>
      </c>
      <c r="M1139" t="s">
        <v>20</v>
      </c>
    </row>
    <row r="1140" spans="1:13" x14ac:dyDescent="0.35">
      <c r="A1140">
        <v>1139</v>
      </c>
      <c r="B1140">
        <v>583006630</v>
      </c>
      <c r="C1140">
        <v>37910</v>
      </c>
      <c r="D1140" t="s">
        <v>153</v>
      </c>
      <c r="E1140" t="s">
        <v>413</v>
      </c>
      <c r="F1140" t="s">
        <v>154</v>
      </c>
      <c r="G1140" t="s">
        <v>155</v>
      </c>
      <c r="H1140" t="s">
        <v>17</v>
      </c>
      <c r="I1140" t="s">
        <v>18</v>
      </c>
      <c r="J1140" t="s">
        <v>19</v>
      </c>
      <c r="K1140">
        <v>3366</v>
      </c>
      <c r="L1140">
        <v>0</v>
      </c>
      <c r="M1140" t="s">
        <v>20</v>
      </c>
    </row>
    <row r="1141" spans="1:13" x14ac:dyDescent="0.35">
      <c r="A1141">
        <v>1140</v>
      </c>
      <c r="B1141">
        <v>583006630</v>
      </c>
      <c r="C1141">
        <v>37910</v>
      </c>
      <c r="D1141" t="s">
        <v>153</v>
      </c>
      <c r="E1141" t="s">
        <v>413</v>
      </c>
      <c r="F1141" t="s">
        <v>154</v>
      </c>
      <c r="G1141" t="s">
        <v>155</v>
      </c>
      <c r="H1141" t="s">
        <v>17</v>
      </c>
      <c r="I1141" t="s">
        <v>18</v>
      </c>
      <c r="J1141" t="s">
        <v>19</v>
      </c>
      <c r="K1141">
        <v>450</v>
      </c>
      <c r="L1141">
        <v>0</v>
      </c>
      <c r="M1141" t="s">
        <v>20</v>
      </c>
    </row>
    <row r="1142" spans="1:13" x14ac:dyDescent="0.35">
      <c r="A1142">
        <v>1141</v>
      </c>
      <c r="B1142">
        <v>583006612</v>
      </c>
      <c r="C1142">
        <v>37891</v>
      </c>
      <c r="D1142" t="s">
        <v>21</v>
      </c>
      <c r="E1142" t="s">
        <v>413</v>
      </c>
      <c r="F1142" t="s">
        <v>22</v>
      </c>
      <c r="G1142" t="s">
        <v>23</v>
      </c>
      <c r="H1142" t="s">
        <v>17</v>
      </c>
      <c r="I1142" t="s">
        <v>18</v>
      </c>
      <c r="J1142" t="s">
        <v>19</v>
      </c>
      <c r="K1142">
        <v>72</v>
      </c>
      <c r="L1142">
        <v>0</v>
      </c>
      <c r="M1142" t="s">
        <v>20</v>
      </c>
    </row>
    <row r="1143" spans="1:13" x14ac:dyDescent="0.35">
      <c r="A1143">
        <v>1142</v>
      </c>
      <c r="B1143">
        <v>583006612</v>
      </c>
      <c r="C1143">
        <v>37891</v>
      </c>
      <c r="D1143" t="s">
        <v>21</v>
      </c>
      <c r="E1143" t="s">
        <v>413</v>
      </c>
      <c r="F1143" t="s">
        <v>22</v>
      </c>
      <c r="G1143" t="s">
        <v>23</v>
      </c>
      <c r="H1143" t="s">
        <v>17</v>
      </c>
      <c r="I1143" t="s">
        <v>18</v>
      </c>
      <c r="J1143" t="s">
        <v>19</v>
      </c>
      <c r="K1143">
        <v>342</v>
      </c>
      <c r="L1143">
        <v>0</v>
      </c>
      <c r="M1143" t="s">
        <v>20</v>
      </c>
    </row>
    <row r="1144" spans="1:13" x14ac:dyDescent="0.35">
      <c r="A1144">
        <v>1143</v>
      </c>
      <c r="B1144">
        <v>583006612</v>
      </c>
      <c r="C1144">
        <v>37891</v>
      </c>
      <c r="D1144" t="s">
        <v>21</v>
      </c>
      <c r="E1144" t="s">
        <v>413</v>
      </c>
      <c r="F1144" t="s">
        <v>22</v>
      </c>
      <c r="G1144" t="s">
        <v>23</v>
      </c>
      <c r="H1144" t="s">
        <v>17</v>
      </c>
      <c r="I1144" t="s">
        <v>18</v>
      </c>
      <c r="J1144" t="s">
        <v>19</v>
      </c>
      <c r="K1144">
        <v>3315</v>
      </c>
      <c r="L1144">
        <v>0</v>
      </c>
      <c r="M1144" t="s">
        <v>20</v>
      </c>
    </row>
    <row r="1145" spans="1:13" x14ac:dyDescent="0.35">
      <c r="A1145">
        <v>1144</v>
      </c>
      <c r="B1145">
        <v>583006635</v>
      </c>
      <c r="C1145">
        <v>37915</v>
      </c>
      <c r="D1145" t="s">
        <v>165</v>
      </c>
      <c r="E1145" t="s">
        <v>413</v>
      </c>
      <c r="F1145" t="s">
        <v>166</v>
      </c>
      <c r="G1145" t="s">
        <v>167</v>
      </c>
      <c r="H1145" t="s">
        <v>17</v>
      </c>
      <c r="I1145" t="s">
        <v>18</v>
      </c>
      <c r="J1145" t="s">
        <v>19</v>
      </c>
      <c r="K1145">
        <v>576</v>
      </c>
      <c r="L1145">
        <v>0</v>
      </c>
      <c r="M1145" t="s">
        <v>20</v>
      </c>
    </row>
    <row r="1146" spans="1:13" x14ac:dyDescent="0.35">
      <c r="A1146">
        <v>1145</v>
      </c>
      <c r="B1146">
        <v>583006622</v>
      </c>
      <c r="C1146">
        <v>37901</v>
      </c>
      <c r="E1146" t="s">
        <v>413</v>
      </c>
      <c r="F1146" t="s">
        <v>142</v>
      </c>
      <c r="G1146" t="s">
        <v>143</v>
      </c>
      <c r="H1146" t="s">
        <v>17</v>
      </c>
      <c r="I1146" t="s">
        <v>24</v>
      </c>
      <c r="J1146" t="s">
        <v>25</v>
      </c>
      <c r="K1146">
        <v>10</v>
      </c>
      <c r="L1146">
        <v>0</v>
      </c>
      <c r="M1146" t="s">
        <v>20</v>
      </c>
    </row>
    <row r="1147" spans="1:13" x14ac:dyDescent="0.35">
      <c r="A1147">
        <v>1146</v>
      </c>
      <c r="B1147">
        <v>583006628</v>
      </c>
      <c r="C1147">
        <v>37908</v>
      </c>
      <c r="D1147" t="s">
        <v>165</v>
      </c>
      <c r="E1147" t="s">
        <v>413</v>
      </c>
      <c r="F1147" t="s">
        <v>166</v>
      </c>
      <c r="G1147" t="s">
        <v>167</v>
      </c>
      <c r="H1147" t="s">
        <v>17</v>
      </c>
      <c r="I1147" t="s">
        <v>35</v>
      </c>
      <c r="J1147" t="s">
        <v>25</v>
      </c>
      <c r="K1147">
        <v>7</v>
      </c>
      <c r="L1147">
        <v>0</v>
      </c>
      <c r="M1147" t="s">
        <v>20</v>
      </c>
    </row>
    <row r="1148" spans="1:13" x14ac:dyDescent="0.35">
      <c r="A1148">
        <v>1147</v>
      </c>
      <c r="B1148">
        <v>583006645</v>
      </c>
      <c r="C1148">
        <v>37925</v>
      </c>
      <c r="D1148" t="s">
        <v>231</v>
      </c>
      <c r="E1148" t="s">
        <v>413</v>
      </c>
      <c r="F1148" t="s">
        <v>232</v>
      </c>
      <c r="G1148" t="s">
        <v>233</v>
      </c>
      <c r="H1148" t="s">
        <v>17</v>
      </c>
      <c r="I1148" t="s">
        <v>18</v>
      </c>
      <c r="J1148" t="s">
        <v>19</v>
      </c>
      <c r="K1148">
        <v>417</v>
      </c>
      <c r="L1148">
        <v>0</v>
      </c>
      <c r="M1148" t="s">
        <v>20</v>
      </c>
    </row>
    <row r="1149" spans="1:13" x14ac:dyDescent="0.35">
      <c r="A1149">
        <v>1148</v>
      </c>
      <c r="B1149">
        <v>583006645</v>
      </c>
      <c r="C1149">
        <v>37925</v>
      </c>
      <c r="D1149" t="s">
        <v>231</v>
      </c>
      <c r="E1149" t="s">
        <v>413</v>
      </c>
      <c r="F1149" t="s">
        <v>232</v>
      </c>
      <c r="G1149" t="s">
        <v>233</v>
      </c>
      <c r="H1149" t="s">
        <v>17</v>
      </c>
      <c r="I1149" t="s">
        <v>18</v>
      </c>
      <c r="J1149" t="s">
        <v>19</v>
      </c>
      <c r="K1149">
        <v>606</v>
      </c>
      <c r="L1149">
        <v>0</v>
      </c>
      <c r="M1149" t="s">
        <v>20</v>
      </c>
    </row>
    <row r="1150" spans="1:13" x14ac:dyDescent="0.35">
      <c r="A1150">
        <v>1149</v>
      </c>
      <c r="B1150">
        <v>583006642</v>
      </c>
      <c r="C1150">
        <v>37922</v>
      </c>
      <c r="D1150" t="s">
        <v>122</v>
      </c>
      <c r="E1150" t="s">
        <v>413</v>
      </c>
      <c r="F1150" t="s">
        <v>123</v>
      </c>
      <c r="G1150" t="s">
        <v>124</v>
      </c>
      <c r="H1150" t="s">
        <v>17</v>
      </c>
      <c r="I1150" t="s">
        <v>18</v>
      </c>
      <c r="J1150" t="s">
        <v>19</v>
      </c>
      <c r="K1150">
        <v>252</v>
      </c>
      <c r="L1150">
        <v>0</v>
      </c>
      <c r="M1150" t="s">
        <v>20</v>
      </c>
    </row>
    <row r="1151" spans="1:13" x14ac:dyDescent="0.35">
      <c r="A1151">
        <v>1150</v>
      </c>
      <c r="B1151">
        <v>583006639</v>
      </c>
      <c r="C1151">
        <v>37919</v>
      </c>
      <c r="D1151" t="s">
        <v>216</v>
      </c>
      <c r="E1151" t="s">
        <v>413</v>
      </c>
      <c r="F1151" t="s">
        <v>218</v>
      </c>
      <c r="G1151" t="s">
        <v>219</v>
      </c>
      <c r="H1151" t="s">
        <v>17</v>
      </c>
      <c r="I1151" t="s">
        <v>18</v>
      </c>
      <c r="J1151" t="s">
        <v>19</v>
      </c>
      <c r="K1151">
        <v>702</v>
      </c>
      <c r="L1151">
        <v>0</v>
      </c>
      <c r="M1151" t="s">
        <v>20</v>
      </c>
    </row>
    <row r="1152" spans="1:13" x14ac:dyDescent="0.35">
      <c r="A1152">
        <v>1151</v>
      </c>
      <c r="B1152">
        <v>583006639</v>
      </c>
      <c r="C1152">
        <v>37919</v>
      </c>
      <c r="D1152" t="s">
        <v>216</v>
      </c>
      <c r="E1152" t="s">
        <v>413</v>
      </c>
      <c r="F1152" t="s">
        <v>218</v>
      </c>
      <c r="G1152" t="s">
        <v>219</v>
      </c>
      <c r="H1152" t="s">
        <v>17</v>
      </c>
      <c r="I1152" t="s">
        <v>18</v>
      </c>
      <c r="J1152" t="s">
        <v>19</v>
      </c>
      <c r="K1152">
        <v>180</v>
      </c>
      <c r="L1152">
        <v>0</v>
      </c>
      <c r="M1152" t="s">
        <v>20</v>
      </c>
    </row>
    <row r="1153" spans="1:13" x14ac:dyDescent="0.35">
      <c r="A1153">
        <v>1152</v>
      </c>
      <c r="B1153">
        <v>583006639</v>
      </c>
      <c r="C1153">
        <v>37919</v>
      </c>
      <c r="D1153" t="s">
        <v>216</v>
      </c>
      <c r="E1153" t="s">
        <v>413</v>
      </c>
      <c r="F1153" t="s">
        <v>218</v>
      </c>
      <c r="G1153" t="s">
        <v>219</v>
      </c>
      <c r="H1153" t="s">
        <v>17</v>
      </c>
      <c r="I1153" t="s">
        <v>18</v>
      </c>
      <c r="J1153" t="s">
        <v>19</v>
      </c>
      <c r="K1153">
        <v>966</v>
      </c>
      <c r="L1153">
        <v>0</v>
      </c>
      <c r="M1153" t="s">
        <v>20</v>
      </c>
    </row>
    <row r="1154" spans="1:13" x14ac:dyDescent="0.35">
      <c r="A1154">
        <v>1153</v>
      </c>
      <c r="B1154">
        <v>583006627</v>
      </c>
      <c r="C1154">
        <v>37907</v>
      </c>
      <c r="D1154" t="s">
        <v>165</v>
      </c>
      <c r="E1154" t="s">
        <v>413</v>
      </c>
      <c r="F1154" t="s">
        <v>166</v>
      </c>
      <c r="G1154" t="s">
        <v>167</v>
      </c>
      <c r="H1154" t="s">
        <v>17</v>
      </c>
      <c r="I1154" t="s">
        <v>24</v>
      </c>
      <c r="J1154" t="s">
        <v>25</v>
      </c>
      <c r="K1154">
        <v>8</v>
      </c>
      <c r="L1154">
        <v>0</v>
      </c>
      <c r="M1154" t="s">
        <v>20</v>
      </c>
    </row>
    <row r="1155" spans="1:13" x14ac:dyDescent="0.35">
      <c r="A1155">
        <v>1154</v>
      </c>
      <c r="B1155">
        <v>583006640</v>
      </c>
      <c r="C1155">
        <v>37920</v>
      </c>
      <c r="D1155" t="s">
        <v>216</v>
      </c>
      <c r="E1155" t="s">
        <v>413</v>
      </c>
      <c r="F1155" t="s">
        <v>218</v>
      </c>
      <c r="G1155" t="s">
        <v>219</v>
      </c>
      <c r="H1155" t="s">
        <v>17</v>
      </c>
      <c r="I1155" t="s">
        <v>24</v>
      </c>
      <c r="J1155" t="s">
        <v>25</v>
      </c>
      <c r="K1155">
        <v>8</v>
      </c>
      <c r="L1155">
        <v>0</v>
      </c>
      <c r="M1155" t="s">
        <v>20</v>
      </c>
    </row>
    <row r="1156" spans="1:13" x14ac:dyDescent="0.35">
      <c r="A1156">
        <v>1155</v>
      </c>
      <c r="B1156">
        <v>583006635</v>
      </c>
      <c r="C1156">
        <v>37915</v>
      </c>
      <c r="D1156" t="s">
        <v>165</v>
      </c>
      <c r="E1156" t="s">
        <v>413</v>
      </c>
      <c r="F1156" t="s">
        <v>166</v>
      </c>
      <c r="G1156" t="s">
        <v>167</v>
      </c>
      <c r="H1156" t="s">
        <v>17</v>
      </c>
      <c r="I1156" t="s">
        <v>18</v>
      </c>
      <c r="J1156" t="s">
        <v>19</v>
      </c>
      <c r="K1156">
        <v>288</v>
      </c>
      <c r="L1156">
        <v>0</v>
      </c>
      <c r="M1156" t="s">
        <v>20</v>
      </c>
    </row>
    <row r="1157" spans="1:13" x14ac:dyDescent="0.35">
      <c r="A1157">
        <v>1156</v>
      </c>
      <c r="B1157">
        <v>583006635</v>
      </c>
      <c r="C1157">
        <v>37915</v>
      </c>
      <c r="D1157" t="s">
        <v>165</v>
      </c>
      <c r="E1157" t="s">
        <v>413</v>
      </c>
      <c r="F1157" t="s">
        <v>166</v>
      </c>
      <c r="G1157" t="s">
        <v>167</v>
      </c>
      <c r="H1157" t="s">
        <v>17</v>
      </c>
      <c r="I1157" t="s">
        <v>18</v>
      </c>
      <c r="J1157" t="s">
        <v>19</v>
      </c>
      <c r="K1157">
        <v>2937</v>
      </c>
      <c r="L1157">
        <v>0</v>
      </c>
      <c r="M1157" t="s">
        <v>20</v>
      </c>
    </row>
    <row r="1158" spans="1:13" x14ac:dyDescent="0.35">
      <c r="A1158">
        <v>1157</v>
      </c>
      <c r="B1158">
        <v>583006635</v>
      </c>
      <c r="C1158">
        <v>37915</v>
      </c>
      <c r="D1158" t="s">
        <v>165</v>
      </c>
      <c r="E1158" t="s">
        <v>413</v>
      </c>
      <c r="F1158" t="s">
        <v>166</v>
      </c>
      <c r="G1158" t="s">
        <v>167</v>
      </c>
      <c r="H1158" t="s">
        <v>17</v>
      </c>
      <c r="I1158" t="s">
        <v>18</v>
      </c>
      <c r="J1158" t="s">
        <v>19</v>
      </c>
      <c r="K1158">
        <v>180</v>
      </c>
      <c r="L1158">
        <v>0</v>
      </c>
      <c r="M1158" t="s">
        <v>20</v>
      </c>
    </row>
    <row r="1159" spans="1:13" x14ac:dyDescent="0.35">
      <c r="A1159">
        <v>1158</v>
      </c>
      <c r="B1159">
        <v>583006626</v>
      </c>
      <c r="C1159">
        <v>37905</v>
      </c>
      <c r="D1159" t="s">
        <v>247</v>
      </c>
      <c r="E1159" t="s">
        <v>413</v>
      </c>
      <c r="F1159" t="s">
        <v>248</v>
      </c>
      <c r="G1159" t="s">
        <v>249</v>
      </c>
      <c r="H1159" t="s">
        <v>17</v>
      </c>
      <c r="I1159" t="s">
        <v>18</v>
      </c>
      <c r="J1159" t="s">
        <v>19</v>
      </c>
      <c r="K1159">
        <v>1365</v>
      </c>
      <c r="L1159">
        <v>0</v>
      </c>
      <c r="M1159" t="s">
        <v>20</v>
      </c>
    </row>
    <row r="1160" spans="1:13" x14ac:dyDescent="0.35">
      <c r="A1160">
        <v>1159</v>
      </c>
      <c r="B1160">
        <v>583006569</v>
      </c>
      <c r="C1160">
        <v>37831</v>
      </c>
      <c r="D1160" t="s">
        <v>223</v>
      </c>
      <c r="E1160" t="s">
        <v>413</v>
      </c>
      <c r="F1160" t="s">
        <v>224</v>
      </c>
      <c r="G1160" t="s">
        <v>225</v>
      </c>
      <c r="H1160" t="s">
        <v>17</v>
      </c>
      <c r="I1160" t="s">
        <v>18</v>
      </c>
      <c r="J1160" t="s">
        <v>19</v>
      </c>
      <c r="K1160">
        <v>27</v>
      </c>
      <c r="L1160">
        <v>0</v>
      </c>
      <c r="M1160" t="s">
        <v>20</v>
      </c>
    </row>
    <row r="1161" spans="1:13" x14ac:dyDescent="0.35">
      <c r="A1161">
        <v>1160</v>
      </c>
      <c r="B1161">
        <v>583006575</v>
      </c>
      <c r="C1161">
        <v>37837</v>
      </c>
      <c r="D1161" t="s">
        <v>328</v>
      </c>
      <c r="E1161" t="s">
        <v>413</v>
      </c>
      <c r="F1161" t="s">
        <v>329</v>
      </c>
      <c r="G1161" t="s">
        <v>330</v>
      </c>
      <c r="H1161" t="s">
        <v>17</v>
      </c>
      <c r="I1161" t="s">
        <v>18</v>
      </c>
      <c r="J1161" t="s">
        <v>19</v>
      </c>
      <c r="K1161">
        <v>27</v>
      </c>
      <c r="L1161">
        <v>0</v>
      </c>
      <c r="M1161" t="s">
        <v>20</v>
      </c>
    </row>
    <row r="1162" spans="1:13" x14ac:dyDescent="0.35">
      <c r="A1162">
        <v>1161</v>
      </c>
      <c r="B1162">
        <v>583006577</v>
      </c>
      <c r="C1162">
        <v>37839</v>
      </c>
      <c r="D1162" t="s">
        <v>247</v>
      </c>
      <c r="E1162" t="s">
        <v>413</v>
      </c>
      <c r="F1162" t="s">
        <v>248</v>
      </c>
      <c r="G1162" t="s">
        <v>249</v>
      </c>
      <c r="H1162" t="s">
        <v>17</v>
      </c>
      <c r="I1162" t="s">
        <v>18</v>
      </c>
      <c r="J1162" t="s">
        <v>19</v>
      </c>
      <c r="K1162">
        <v>117</v>
      </c>
      <c r="L1162">
        <v>0</v>
      </c>
      <c r="M1162" t="s">
        <v>20</v>
      </c>
    </row>
    <row r="1163" spans="1:13" x14ac:dyDescent="0.35">
      <c r="A1163">
        <v>1162</v>
      </c>
      <c r="B1163">
        <v>583006574</v>
      </c>
      <c r="C1163">
        <v>37836</v>
      </c>
      <c r="D1163" t="s">
        <v>71</v>
      </c>
      <c r="E1163" t="s">
        <v>413</v>
      </c>
      <c r="F1163" t="s">
        <v>72</v>
      </c>
      <c r="G1163" t="s">
        <v>73</v>
      </c>
      <c r="H1163" t="s">
        <v>17</v>
      </c>
      <c r="I1163" t="s">
        <v>18</v>
      </c>
      <c r="J1163" t="s">
        <v>19</v>
      </c>
      <c r="K1163">
        <v>36</v>
      </c>
      <c r="L1163">
        <v>0</v>
      </c>
      <c r="M1163" t="s">
        <v>20</v>
      </c>
    </row>
    <row r="1164" spans="1:13" x14ac:dyDescent="0.35">
      <c r="A1164">
        <v>1163</v>
      </c>
      <c r="B1164">
        <v>583006643</v>
      </c>
      <c r="C1164">
        <v>37923</v>
      </c>
      <c r="D1164" t="s">
        <v>116</v>
      </c>
      <c r="E1164" t="s">
        <v>413</v>
      </c>
      <c r="F1164" t="s">
        <v>117</v>
      </c>
      <c r="G1164" t="s">
        <v>118</v>
      </c>
      <c r="H1164" t="s">
        <v>17</v>
      </c>
      <c r="I1164" t="s">
        <v>24</v>
      </c>
      <c r="J1164" t="s">
        <v>25</v>
      </c>
      <c r="K1164">
        <v>6</v>
      </c>
      <c r="L1164">
        <v>0</v>
      </c>
      <c r="M1164" t="s">
        <v>20</v>
      </c>
    </row>
    <row r="1165" spans="1:13" x14ac:dyDescent="0.35">
      <c r="A1165">
        <v>1164</v>
      </c>
      <c r="B1165">
        <v>583006620</v>
      </c>
      <c r="C1165">
        <v>37899</v>
      </c>
      <c r="D1165" t="s">
        <v>21</v>
      </c>
      <c r="E1165" t="s">
        <v>413</v>
      </c>
      <c r="F1165" t="s">
        <v>22</v>
      </c>
      <c r="G1165" t="s">
        <v>23</v>
      </c>
      <c r="H1165" t="s">
        <v>17</v>
      </c>
      <c r="I1165" t="s">
        <v>18</v>
      </c>
      <c r="J1165" t="s">
        <v>19</v>
      </c>
      <c r="K1165">
        <v>432</v>
      </c>
      <c r="L1165">
        <v>0</v>
      </c>
      <c r="M1165" t="s">
        <v>20</v>
      </c>
    </row>
    <row r="1166" spans="1:13" x14ac:dyDescent="0.35">
      <c r="A1166">
        <v>1165</v>
      </c>
      <c r="B1166">
        <v>583006587</v>
      </c>
      <c r="C1166">
        <v>37849</v>
      </c>
      <c r="D1166" t="s">
        <v>414</v>
      </c>
      <c r="E1166" t="s">
        <v>413</v>
      </c>
      <c r="F1166" t="s">
        <v>415</v>
      </c>
      <c r="G1166" t="s">
        <v>416</v>
      </c>
      <c r="H1166" t="s">
        <v>17</v>
      </c>
      <c r="I1166" t="s">
        <v>18</v>
      </c>
      <c r="J1166" t="s">
        <v>19</v>
      </c>
      <c r="K1166">
        <v>9</v>
      </c>
      <c r="L1166">
        <v>0</v>
      </c>
      <c r="M1166" t="s">
        <v>20</v>
      </c>
    </row>
    <row r="1167" spans="1:13" x14ac:dyDescent="0.35">
      <c r="A1167">
        <v>1166</v>
      </c>
      <c r="B1167">
        <v>583006620</v>
      </c>
      <c r="C1167">
        <v>37899</v>
      </c>
      <c r="D1167" t="s">
        <v>21</v>
      </c>
      <c r="E1167" t="s">
        <v>413</v>
      </c>
      <c r="F1167" t="s">
        <v>22</v>
      </c>
      <c r="G1167" t="s">
        <v>23</v>
      </c>
      <c r="H1167" t="s">
        <v>17</v>
      </c>
      <c r="I1167" t="s">
        <v>18</v>
      </c>
      <c r="J1167" t="s">
        <v>19</v>
      </c>
      <c r="K1167">
        <v>3015</v>
      </c>
      <c r="L1167">
        <v>0</v>
      </c>
      <c r="M1167" t="s">
        <v>20</v>
      </c>
    </row>
    <row r="1168" spans="1:13" x14ac:dyDescent="0.35">
      <c r="A1168">
        <v>1167</v>
      </c>
      <c r="B1168">
        <v>583006573</v>
      </c>
      <c r="C1168">
        <v>37835</v>
      </c>
      <c r="D1168" t="s">
        <v>71</v>
      </c>
      <c r="E1168" t="s">
        <v>413</v>
      </c>
      <c r="F1168" t="s">
        <v>72</v>
      </c>
      <c r="G1168" t="s">
        <v>73</v>
      </c>
      <c r="H1168" t="s">
        <v>17</v>
      </c>
      <c r="I1168" t="s">
        <v>18</v>
      </c>
      <c r="J1168" t="s">
        <v>19</v>
      </c>
      <c r="K1168">
        <v>198</v>
      </c>
      <c r="L1168">
        <v>0</v>
      </c>
      <c r="M1168" t="s">
        <v>20</v>
      </c>
    </row>
    <row r="1169" spans="1:13" x14ac:dyDescent="0.35">
      <c r="A1169">
        <v>1168</v>
      </c>
      <c r="B1169">
        <v>583006571</v>
      </c>
      <c r="C1169">
        <v>37833</v>
      </c>
      <c r="D1169" t="s">
        <v>383</v>
      </c>
      <c r="E1169" t="s">
        <v>413</v>
      </c>
      <c r="F1169" t="s">
        <v>384</v>
      </c>
      <c r="G1169" t="s">
        <v>385</v>
      </c>
      <c r="H1169" t="s">
        <v>17</v>
      </c>
      <c r="I1169" t="s">
        <v>18</v>
      </c>
      <c r="J1169" t="s">
        <v>19</v>
      </c>
      <c r="K1169">
        <v>24</v>
      </c>
      <c r="L1169">
        <v>0</v>
      </c>
      <c r="M1169" t="s">
        <v>20</v>
      </c>
    </row>
    <row r="1170" spans="1:13" x14ac:dyDescent="0.35">
      <c r="A1170">
        <v>1169</v>
      </c>
      <c r="B1170">
        <v>583006576</v>
      </c>
      <c r="C1170">
        <v>37838</v>
      </c>
      <c r="D1170" t="s">
        <v>286</v>
      </c>
      <c r="E1170" t="s">
        <v>413</v>
      </c>
      <c r="F1170" t="s">
        <v>287</v>
      </c>
      <c r="G1170" t="s">
        <v>288</v>
      </c>
      <c r="H1170" t="s">
        <v>17</v>
      </c>
      <c r="I1170" t="s">
        <v>18</v>
      </c>
      <c r="J1170" t="s">
        <v>19</v>
      </c>
      <c r="K1170">
        <v>240</v>
      </c>
      <c r="L1170">
        <v>0</v>
      </c>
      <c r="M1170" t="s">
        <v>20</v>
      </c>
    </row>
    <row r="1171" spans="1:13" x14ac:dyDescent="0.35">
      <c r="A1171">
        <v>1170</v>
      </c>
      <c r="B1171">
        <v>583006579</v>
      </c>
      <c r="C1171">
        <v>37841</v>
      </c>
      <c r="D1171" t="s">
        <v>129</v>
      </c>
      <c r="E1171" t="s">
        <v>413</v>
      </c>
      <c r="F1171" t="s">
        <v>130</v>
      </c>
      <c r="G1171" t="s">
        <v>131</v>
      </c>
      <c r="H1171" t="s">
        <v>17</v>
      </c>
      <c r="I1171" t="s">
        <v>18</v>
      </c>
      <c r="J1171" t="s">
        <v>19</v>
      </c>
      <c r="K1171">
        <v>45</v>
      </c>
      <c r="L1171">
        <v>0</v>
      </c>
      <c r="M1171" t="s">
        <v>20</v>
      </c>
    </row>
    <row r="1172" spans="1:13" x14ac:dyDescent="0.35">
      <c r="A1172">
        <v>1171</v>
      </c>
      <c r="B1172">
        <v>583006585</v>
      </c>
      <c r="C1172">
        <v>37847</v>
      </c>
      <c r="D1172" t="s">
        <v>56</v>
      </c>
      <c r="E1172" t="s">
        <v>413</v>
      </c>
      <c r="F1172" t="s">
        <v>57</v>
      </c>
      <c r="G1172" t="s">
        <v>58</v>
      </c>
      <c r="H1172" t="s">
        <v>17</v>
      </c>
      <c r="I1172" t="s">
        <v>18</v>
      </c>
      <c r="J1172" t="s">
        <v>19</v>
      </c>
      <c r="K1172">
        <v>12</v>
      </c>
      <c r="L1172">
        <v>0</v>
      </c>
      <c r="M1172" t="s">
        <v>20</v>
      </c>
    </row>
    <row r="1173" spans="1:13" x14ac:dyDescent="0.35">
      <c r="A1173">
        <v>1172</v>
      </c>
      <c r="B1173">
        <v>583006581</v>
      </c>
      <c r="C1173">
        <v>37843</v>
      </c>
      <c r="D1173" t="s">
        <v>98</v>
      </c>
      <c r="E1173" t="s">
        <v>413</v>
      </c>
      <c r="F1173" t="s">
        <v>99</v>
      </c>
      <c r="G1173" t="s">
        <v>100</v>
      </c>
      <c r="H1173" t="s">
        <v>17</v>
      </c>
      <c r="I1173" t="s">
        <v>18</v>
      </c>
      <c r="J1173" t="s">
        <v>19</v>
      </c>
      <c r="K1173">
        <v>81</v>
      </c>
      <c r="L1173">
        <v>0</v>
      </c>
      <c r="M1173" t="s">
        <v>20</v>
      </c>
    </row>
    <row r="1174" spans="1:13" x14ac:dyDescent="0.35">
      <c r="A1174">
        <v>1173</v>
      </c>
      <c r="B1174">
        <v>583006586</v>
      </c>
      <c r="C1174">
        <v>37848</v>
      </c>
      <c r="D1174" t="s">
        <v>56</v>
      </c>
      <c r="E1174" t="s">
        <v>413</v>
      </c>
      <c r="F1174" t="s">
        <v>57</v>
      </c>
      <c r="G1174" t="s">
        <v>58</v>
      </c>
      <c r="H1174" t="s">
        <v>17</v>
      </c>
      <c r="I1174" t="s">
        <v>18</v>
      </c>
      <c r="J1174" t="s">
        <v>19</v>
      </c>
      <c r="K1174">
        <v>126</v>
      </c>
      <c r="L1174">
        <v>0</v>
      </c>
      <c r="M1174" t="s">
        <v>20</v>
      </c>
    </row>
    <row r="1175" spans="1:13" x14ac:dyDescent="0.35">
      <c r="A1175">
        <v>1174</v>
      </c>
      <c r="B1175">
        <v>583006616</v>
      </c>
      <c r="C1175">
        <v>37895</v>
      </c>
      <c r="D1175" t="s">
        <v>116</v>
      </c>
      <c r="E1175" t="s">
        <v>413</v>
      </c>
      <c r="F1175" t="s">
        <v>117</v>
      </c>
      <c r="G1175" t="s">
        <v>118</v>
      </c>
      <c r="H1175" t="s">
        <v>17</v>
      </c>
      <c r="I1175" t="s">
        <v>18</v>
      </c>
      <c r="J1175" t="s">
        <v>19</v>
      </c>
      <c r="K1175">
        <v>3867</v>
      </c>
      <c r="L1175">
        <v>0</v>
      </c>
      <c r="M1175" t="s">
        <v>20</v>
      </c>
    </row>
    <row r="1176" spans="1:13" x14ac:dyDescent="0.35">
      <c r="A1176">
        <v>1175</v>
      </c>
      <c r="B1176">
        <v>583006613</v>
      </c>
      <c r="C1176">
        <v>37892</v>
      </c>
      <c r="D1176" t="s">
        <v>21</v>
      </c>
      <c r="E1176" t="s">
        <v>413</v>
      </c>
      <c r="F1176" t="s">
        <v>22</v>
      </c>
      <c r="G1176" t="s">
        <v>23</v>
      </c>
      <c r="H1176" t="s">
        <v>17</v>
      </c>
      <c r="I1176" t="s">
        <v>24</v>
      </c>
      <c r="J1176" t="s">
        <v>25</v>
      </c>
      <c r="K1176">
        <v>9</v>
      </c>
      <c r="L1176">
        <v>0</v>
      </c>
      <c r="M1176" t="s">
        <v>20</v>
      </c>
    </row>
    <row r="1177" spans="1:13" x14ac:dyDescent="0.35">
      <c r="A1177">
        <v>1176</v>
      </c>
      <c r="B1177">
        <v>583006564</v>
      </c>
      <c r="C1177">
        <v>37826</v>
      </c>
      <c r="D1177" t="s">
        <v>321</v>
      </c>
      <c r="E1177" t="s">
        <v>413</v>
      </c>
      <c r="F1177" t="s">
        <v>322</v>
      </c>
      <c r="G1177" t="s">
        <v>323</v>
      </c>
      <c r="H1177" t="s">
        <v>17</v>
      </c>
      <c r="I1177" t="s">
        <v>18</v>
      </c>
      <c r="J1177" t="s">
        <v>19</v>
      </c>
      <c r="K1177">
        <v>45</v>
      </c>
      <c r="L1177">
        <v>0</v>
      </c>
      <c r="M1177" t="s">
        <v>20</v>
      </c>
    </row>
    <row r="1178" spans="1:13" x14ac:dyDescent="0.35">
      <c r="A1178">
        <v>1177</v>
      </c>
      <c r="B1178">
        <v>583006566</v>
      </c>
      <c r="C1178">
        <v>37828</v>
      </c>
      <c r="D1178" t="s">
        <v>226</v>
      </c>
      <c r="E1178" t="s">
        <v>413</v>
      </c>
      <c r="F1178" t="s">
        <v>227</v>
      </c>
      <c r="G1178" t="s">
        <v>228</v>
      </c>
      <c r="H1178" t="s">
        <v>17</v>
      </c>
      <c r="I1178" t="s">
        <v>18</v>
      </c>
      <c r="J1178" t="s">
        <v>19</v>
      </c>
      <c r="K1178">
        <v>180</v>
      </c>
      <c r="L1178">
        <v>0</v>
      </c>
      <c r="M1178" t="s">
        <v>20</v>
      </c>
    </row>
    <row r="1179" spans="1:13" x14ac:dyDescent="0.35">
      <c r="A1179">
        <v>1178</v>
      </c>
      <c r="B1179">
        <v>583006588</v>
      </c>
      <c r="C1179">
        <v>37850</v>
      </c>
      <c r="D1179" t="s">
        <v>414</v>
      </c>
      <c r="E1179" t="s">
        <v>413</v>
      </c>
      <c r="F1179" t="s">
        <v>415</v>
      </c>
      <c r="G1179" t="s">
        <v>416</v>
      </c>
      <c r="H1179" t="s">
        <v>17</v>
      </c>
      <c r="I1179" t="s">
        <v>63</v>
      </c>
      <c r="J1179" t="s">
        <v>64</v>
      </c>
      <c r="K1179">
        <v>12</v>
      </c>
      <c r="L1179">
        <v>19.8</v>
      </c>
      <c r="M1179" t="s">
        <v>20</v>
      </c>
    </row>
    <row r="1180" spans="1:13" x14ac:dyDescent="0.35">
      <c r="A1180">
        <v>1179</v>
      </c>
      <c r="B1180">
        <v>583006583</v>
      </c>
      <c r="C1180">
        <v>37845</v>
      </c>
      <c r="D1180" t="s">
        <v>136</v>
      </c>
      <c r="E1180" t="s">
        <v>413</v>
      </c>
      <c r="F1180" t="s">
        <v>137</v>
      </c>
      <c r="G1180" t="s">
        <v>138</v>
      </c>
      <c r="H1180" t="s">
        <v>17</v>
      </c>
      <c r="I1180" t="s">
        <v>18</v>
      </c>
      <c r="J1180" t="s">
        <v>19</v>
      </c>
      <c r="K1180">
        <v>72</v>
      </c>
      <c r="L1180">
        <v>0</v>
      </c>
      <c r="M1180" t="s">
        <v>20</v>
      </c>
    </row>
    <row r="1181" spans="1:13" x14ac:dyDescent="0.35">
      <c r="A1181">
        <v>1180</v>
      </c>
      <c r="B1181">
        <v>583006584</v>
      </c>
      <c r="C1181">
        <v>37846</v>
      </c>
      <c r="D1181" t="s">
        <v>417</v>
      </c>
      <c r="E1181" t="s">
        <v>413</v>
      </c>
      <c r="F1181" t="s">
        <v>418</v>
      </c>
      <c r="G1181" t="s">
        <v>419</v>
      </c>
      <c r="H1181" t="s">
        <v>17</v>
      </c>
      <c r="I1181" t="s">
        <v>18</v>
      </c>
      <c r="J1181" t="s">
        <v>19</v>
      </c>
      <c r="K1181">
        <v>36</v>
      </c>
      <c r="L1181">
        <v>0</v>
      </c>
      <c r="M1181" t="s">
        <v>20</v>
      </c>
    </row>
    <row r="1182" spans="1:13" x14ac:dyDescent="0.35">
      <c r="A1182">
        <v>1181</v>
      </c>
      <c r="B1182">
        <v>583006568</v>
      </c>
      <c r="C1182">
        <v>37830</v>
      </c>
      <c r="D1182" t="s">
        <v>226</v>
      </c>
      <c r="E1182" t="s">
        <v>413</v>
      </c>
      <c r="F1182" t="s">
        <v>227</v>
      </c>
      <c r="G1182" t="s">
        <v>228</v>
      </c>
      <c r="H1182" t="s">
        <v>17</v>
      </c>
      <c r="I1182" t="s">
        <v>90</v>
      </c>
      <c r="J1182" t="s">
        <v>74</v>
      </c>
      <c r="K1182">
        <v>17</v>
      </c>
      <c r="L1182">
        <v>0</v>
      </c>
      <c r="M1182" t="s">
        <v>20</v>
      </c>
    </row>
    <row r="1183" spans="1:13" x14ac:dyDescent="0.35">
      <c r="A1183">
        <v>1182</v>
      </c>
      <c r="B1183">
        <v>583006565</v>
      </c>
      <c r="C1183">
        <v>37827</v>
      </c>
      <c r="D1183" t="s">
        <v>226</v>
      </c>
      <c r="E1183" t="s">
        <v>413</v>
      </c>
      <c r="F1183" t="s">
        <v>227</v>
      </c>
      <c r="G1183" t="s">
        <v>228</v>
      </c>
      <c r="H1183" t="s">
        <v>17</v>
      </c>
      <c r="I1183" t="s">
        <v>18</v>
      </c>
      <c r="J1183" t="s">
        <v>19</v>
      </c>
      <c r="K1183">
        <v>72</v>
      </c>
      <c r="L1183">
        <v>0</v>
      </c>
      <c r="M1183" t="s">
        <v>20</v>
      </c>
    </row>
    <row r="1184" spans="1:13" x14ac:dyDescent="0.35">
      <c r="A1184">
        <v>1183</v>
      </c>
      <c r="B1184">
        <v>583006578</v>
      </c>
      <c r="C1184">
        <v>37840</v>
      </c>
      <c r="D1184" t="s">
        <v>247</v>
      </c>
      <c r="E1184" t="s">
        <v>413</v>
      </c>
      <c r="F1184" t="s">
        <v>248</v>
      </c>
      <c r="G1184" t="s">
        <v>249</v>
      </c>
      <c r="H1184" t="s">
        <v>17</v>
      </c>
      <c r="I1184" t="s">
        <v>18</v>
      </c>
      <c r="J1184" t="s">
        <v>19</v>
      </c>
      <c r="K1184">
        <v>27</v>
      </c>
      <c r="L1184">
        <v>0</v>
      </c>
      <c r="M1184" t="s">
        <v>20</v>
      </c>
    </row>
    <row r="1185" spans="1:13" x14ac:dyDescent="0.35">
      <c r="A1185">
        <v>1184</v>
      </c>
      <c r="B1185">
        <v>583006582</v>
      </c>
      <c r="C1185">
        <v>37844</v>
      </c>
      <c r="D1185" t="s">
        <v>193</v>
      </c>
      <c r="E1185" t="s">
        <v>413</v>
      </c>
      <c r="F1185" t="s">
        <v>194</v>
      </c>
      <c r="G1185" t="s">
        <v>195</v>
      </c>
      <c r="H1185" t="s">
        <v>17</v>
      </c>
      <c r="I1185" t="s">
        <v>18</v>
      </c>
      <c r="J1185" t="s">
        <v>19</v>
      </c>
      <c r="K1185">
        <v>63</v>
      </c>
      <c r="L1185">
        <v>0</v>
      </c>
      <c r="M1185" t="s">
        <v>20</v>
      </c>
    </row>
    <row r="1186" spans="1:13" x14ac:dyDescent="0.35">
      <c r="A1186">
        <v>1185</v>
      </c>
      <c r="B1186">
        <v>583006570</v>
      </c>
      <c r="C1186">
        <v>37832</v>
      </c>
      <c r="D1186" t="s">
        <v>39</v>
      </c>
      <c r="E1186" t="s">
        <v>413</v>
      </c>
      <c r="F1186" t="s">
        <v>40</v>
      </c>
      <c r="G1186" t="s">
        <v>41</v>
      </c>
      <c r="H1186" t="s">
        <v>17</v>
      </c>
      <c r="I1186" t="s">
        <v>18</v>
      </c>
      <c r="J1186" t="s">
        <v>19</v>
      </c>
      <c r="K1186">
        <v>96</v>
      </c>
      <c r="L1186">
        <v>0</v>
      </c>
      <c r="M1186" t="s">
        <v>20</v>
      </c>
    </row>
    <row r="1187" spans="1:13" x14ac:dyDescent="0.35">
      <c r="A1187">
        <v>1186</v>
      </c>
      <c r="B1187">
        <v>583006572</v>
      </c>
      <c r="C1187">
        <v>37834</v>
      </c>
      <c r="D1187" t="s">
        <v>383</v>
      </c>
      <c r="E1187" t="s">
        <v>413</v>
      </c>
      <c r="F1187" t="s">
        <v>384</v>
      </c>
      <c r="G1187" t="s">
        <v>385</v>
      </c>
      <c r="H1187" t="s">
        <v>17</v>
      </c>
      <c r="I1187" t="s">
        <v>18</v>
      </c>
      <c r="J1187" t="s">
        <v>19</v>
      </c>
      <c r="K1187">
        <v>9</v>
      </c>
      <c r="L1187">
        <v>0</v>
      </c>
      <c r="M1187" t="s">
        <v>20</v>
      </c>
    </row>
    <row r="1188" spans="1:13" x14ac:dyDescent="0.35">
      <c r="A1188">
        <v>1187</v>
      </c>
      <c r="B1188">
        <v>583006580</v>
      </c>
      <c r="C1188">
        <v>37842</v>
      </c>
      <c r="D1188" t="s">
        <v>129</v>
      </c>
      <c r="E1188" t="s">
        <v>413</v>
      </c>
      <c r="F1188" t="s">
        <v>130</v>
      </c>
      <c r="G1188" t="s">
        <v>131</v>
      </c>
      <c r="H1188" t="s">
        <v>17</v>
      </c>
      <c r="I1188" t="s">
        <v>18</v>
      </c>
      <c r="J1188" t="s">
        <v>19</v>
      </c>
      <c r="K1188">
        <v>45</v>
      </c>
      <c r="L1188">
        <v>0</v>
      </c>
      <c r="M1188" t="s">
        <v>20</v>
      </c>
    </row>
    <row r="1189" spans="1:13" x14ac:dyDescent="0.35">
      <c r="A1189">
        <v>1188</v>
      </c>
      <c r="B1189">
        <v>583006567</v>
      </c>
      <c r="C1189">
        <v>37829</v>
      </c>
      <c r="D1189" t="s">
        <v>226</v>
      </c>
      <c r="E1189" t="s">
        <v>413</v>
      </c>
      <c r="F1189" t="s">
        <v>227</v>
      </c>
      <c r="G1189" t="s">
        <v>228</v>
      </c>
      <c r="H1189" t="s">
        <v>17</v>
      </c>
      <c r="I1189" t="s">
        <v>18</v>
      </c>
      <c r="J1189" t="s">
        <v>19</v>
      </c>
      <c r="K1189">
        <v>225</v>
      </c>
      <c r="L1189">
        <v>0</v>
      </c>
      <c r="M1189" t="s">
        <v>20</v>
      </c>
    </row>
    <row r="1190" spans="1:13" x14ac:dyDescent="0.35">
      <c r="A1190">
        <v>1189</v>
      </c>
      <c r="B1190">
        <v>583006620</v>
      </c>
      <c r="C1190">
        <v>37899</v>
      </c>
      <c r="D1190" t="s">
        <v>21</v>
      </c>
      <c r="E1190" t="s">
        <v>413</v>
      </c>
      <c r="F1190" t="s">
        <v>22</v>
      </c>
      <c r="G1190" t="s">
        <v>23</v>
      </c>
      <c r="H1190" t="s">
        <v>17</v>
      </c>
      <c r="I1190" t="s">
        <v>18</v>
      </c>
      <c r="J1190" t="s">
        <v>19</v>
      </c>
      <c r="K1190">
        <v>180</v>
      </c>
      <c r="L1190">
        <v>0</v>
      </c>
      <c r="M1190" t="s">
        <v>20</v>
      </c>
    </row>
    <row r="1191" spans="1:13" x14ac:dyDescent="0.35">
      <c r="A1191">
        <v>1190</v>
      </c>
      <c r="B1191">
        <v>583006651</v>
      </c>
      <c r="C1191">
        <v>37933</v>
      </c>
      <c r="D1191" t="s">
        <v>153</v>
      </c>
      <c r="E1191" t="s">
        <v>420</v>
      </c>
      <c r="F1191" t="s">
        <v>154</v>
      </c>
      <c r="G1191" t="s">
        <v>155</v>
      </c>
      <c r="H1191" t="s">
        <v>17</v>
      </c>
      <c r="I1191" t="s">
        <v>24</v>
      </c>
      <c r="J1191" t="s">
        <v>25</v>
      </c>
      <c r="K1191">
        <v>4</v>
      </c>
      <c r="L1191">
        <v>0</v>
      </c>
      <c r="M1191" t="s">
        <v>20</v>
      </c>
    </row>
    <row r="1192" spans="1:13" x14ac:dyDescent="0.35">
      <c r="A1192">
        <v>1191</v>
      </c>
      <c r="B1192">
        <v>583006652</v>
      </c>
      <c r="C1192">
        <v>37934</v>
      </c>
      <c r="D1192" t="s">
        <v>21</v>
      </c>
      <c r="E1192" t="s">
        <v>420</v>
      </c>
      <c r="F1192" t="s">
        <v>22</v>
      </c>
      <c r="G1192" t="s">
        <v>23</v>
      </c>
      <c r="H1192" t="s">
        <v>17</v>
      </c>
      <c r="I1192" t="s">
        <v>24</v>
      </c>
      <c r="J1192" t="s">
        <v>25</v>
      </c>
      <c r="K1192">
        <v>10</v>
      </c>
      <c r="L1192">
        <v>0</v>
      </c>
      <c r="M1192" t="s">
        <v>20</v>
      </c>
    </row>
    <row r="1193" spans="1:13" x14ac:dyDescent="0.35">
      <c r="A1193">
        <v>1192</v>
      </c>
      <c r="B1193">
        <v>583006653</v>
      </c>
      <c r="C1193">
        <v>37935</v>
      </c>
      <c r="D1193" t="s">
        <v>21</v>
      </c>
      <c r="E1193" t="s">
        <v>420</v>
      </c>
      <c r="F1193" t="s">
        <v>22</v>
      </c>
      <c r="G1193" t="s">
        <v>23</v>
      </c>
      <c r="H1193" t="s">
        <v>17</v>
      </c>
      <c r="I1193" t="s">
        <v>18</v>
      </c>
      <c r="J1193" t="s">
        <v>19</v>
      </c>
      <c r="K1193">
        <v>1077</v>
      </c>
      <c r="L1193">
        <v>0</v>
      </c>
      <c r="M1193" t="s">
        <v>20</v>
      </c>
    </row>
    <row r="1194" spans="1:13" x14ac:dyDescent="0.35">
      <c r="A1194">
        <v>1193</v>
      </c>
      <c r="B1194">
        <v>583006658</v>
      </c>
      <c r="C1194">
        <v>37941</v>
      </c>
      <c r="D1194" t="s">
        <v>421</v>
      </c>
      <c r="E1194" t="s">
        <v>420</v>
      </c>
      <c r="F1194" t="s">
        <v>422</v>
      </c>
      <c r="G1194" t="s">
        <v>423</v>
      </c>
      <c r="H1194" t="s">
        <v>17</v>
      </c>
      <c r="I1194" t="s">
        <v>24</v>
      </c>
      <c r="J1194" t="s">
        <v>25</v>
      </c>
      <c r="K1194">
        <v>1</v>
      </c>
      <c r="L1194">
        <v>0</v>
      </c>
      <c r="M1194" t="s">
        <v>20</v>
      </c>
    </row>
    <row r="1195" spans="1:13" x14ac:dyDescent="0.35">
      <c r="A1195">
        <v>1194</v>
      </c>
      <c r="B1195">
        <v>583006647</v>
      </c>
      <c r="C1195">
        <v>37928</v>
      </c>
      <c r="D1195" t="s">
        <v>223</v>
      </c>
      <c r="E1195" t="s">
        <v>420</v>
      </c>
      <c r="F1195" t="s">
        <v>224</v>
      </c>
      <c r="G1195" t="s">
        <v>225</v>
      </c>
      <c r="H1195" t="s">
        <v>17</v>
      </c>
      <c r="I1195" t="s">
        <v>24</v>
      </c>
      <c r="J1195" t="s">
        <v>25</v>
      </c>
      <c r="K1195">
        <v>1</v>
      </c>
      <c r="L1195">
        <v>0</v>
      </c>
      <c r="M1195" t="s">
        <v>20</v>
      </c>
    </row>
    <row r="1196" spans="1:13" x14ac:dyDescent="0.35">
      <c r="A1196">
        <v>1195</v>
      </c>
      <c r="B1196">
        <v>583006657</v>
      </c>
      <c r="C1196">
        <v>37940</v>
      </c>
      <c r="D1196" t="s">
        <v>421</v>
      </c>
      <c r="E1196" t="s">
        <v>420</v>
      </c>
      <c r="F1196" t="s">
        <v>422</v>
      </c>
      <c r="G1196" t="s">
        <v>423</v>
      </c>
      <c r="H1196" t="s">
        <v>17</v>
      </c>
      <c r="I1196" t="s">
        <v>18</v>
      </c>
      <c r="J1196" t="s">
        <v>19</v>
      </c>
      <c r="K1196">
        <v>1053</v>
      </c>
      <c r="L1196">
        <v>0</v>
      </c>
      <c r="M1196" t="s">
        <v>20</v>
      </c>
    </row>
    <row r="1197" spans="1:13" x14ac:dyDescent="0.35">
      <c r="A1197">
        <v>1196</v>
      </c>
      <c r="B1197">
        <v>583006657</v>
      </c>
      <c r="C1197">
        <v>37940</v>
      </c>
      <c r="D1197" t="s">
        <v>421</v>
      </c>
      <c r="E1197" t="s">
        <v>420</v>
      </c>
      <c r="F1197" t="s">
        <v>422</v>
      </c>
      <c r="G1197" t="s">
        <v>423</v>
      </c>
      <c r="H1197" t="s">
        <v>17</v>
      </c>
      <c r="I1197" t="s">
        <v>18</v>
      </c>
      <c r="J1197" t="s">
        <v>19</v>
      </c>
      <c r="K1197">
        <v>684</v>
      </c>
      <c r="L1197">
        <v>0</v>
      </c>
      <c r="M1197" t="s">
        <v>20</v>
      </c>
    </row>
    <row r="1198" spans="1:13" x14ac:dyDescent="0.35">
      <c r="A1198">
        <v>1197</v>
      </c>
      <c r="B1198">
        <v>583006657</v>
      </c>
      <c r="C1198">
        <v>37940</v>
      </c>
      <c r="D1198" t="s">
        <v>421</v>
      </c>
      <c r="E1198" t="s">
        <v>420</v>
      </c>
      <c r="F1198" t="s">
        <v>422</v>
      </c>
      <c r="G1198" t="s">
        <v>423</v>
      </c>
      <c r="H1198" t="s">
        <v>17</v>
      </c>
      <c r="I1198" t="s">
        <v>18</v>
      </c>
      <c r="J1198" t="s">
        <v>19</v>
      </c>
      <c r="K1198">
        <v>39</v>
      </c>
      <c r="L1198">
        <v>0</v>
      </c>
      <c r="M1198" t="s">
        <v>20</v>
      </c>
    </row>
    <row r="1199" spans="1:13" x14ac:dyDescent="0.35">
      <c r="A1199">
        <v>1198</v>
      </c>
      <c r="B1199">
        <v>583006646</v>
      </c>
      <c r="C1199">
        <v>37927</v>
      </c>
      <c r="D1199" t="s">
        <v>223</v>
      </c>
      <c r="E1199" t="s">
        <v>420</v>
      </c>
      <c r="F1199" t="s">
        <v>224</v>
      </c>
      <c r="G1199" t="s">
        <v>225</v>
      </c>
      <c r="H1199" t="s">
        <v>17</v>
      </c>
      <c r="I1199" t="s">
        <v>18</v>
      </c>
      <c r="J1199" t="s">
        <v>19</v>
      </c>
      <c r="K1199">
        <v>1269</v>
      </c>
      <c r="L1199">
        <v>0</v>
      </c>
      <c r="M1199" t="s">
        <v>20</v>
      </c>
    </row>
    <row r="1200" spans="1:13" x14ac:dyDescent="0.35">
      <c r="A1200">
        <v>1199</v>
      </c>
      <c r="B1200">
        <v>583006646</v>
      </c>
      <c r="C1200">
        <v>37927</v>
      </c>
      <c r="D1200" t="s">
        <v>223</v>
      </c>
      <c r="E1200" t="s">
        <v>420</v>
      </c>
      <c r="F1200" t="s">
        <v>224</v>
      </c>
      <c r="G1200" t="s">
        <v>225</v>
      </c>
      <c r="H1200" t="s">
        <v>17</v>
      </c>
      <c r="I1200" t="s">
        <v>18</v>
      </c>
      <c r="J1200" t="s">
        <v>19</v>
      </c>
      <c r="K1200">
        <v>420</v>
      </c>
      <c r="L1200">
        <v>0</v>
      </c>
      <c r="M1200" t="s">
        <v>20</v>
      </c>
    </row>
    <row r="1201" spans="1:13" x14ac:dyDescent="0.35">
      <c r="A1201">
        <v>1200</v>
      </c>
      <c r="B1201">
        <v>583006654</v>
      </c>
      <c r="C1201">
        <v>37936</v>
      </c>
      <c r="D1201" t="s">
        <v>21</v>
      </c>
      <c r="E1201" t="s">
        <v>420</v>
      </c>
      <c r="F1201" t="s">
        <v>22</v>
      </c>
      <c r="G1201" t="s">
        <v>23</v>
      </c>
      <c r="H1201" t="s">
        <v>17</v>
      </c>
      <c r="I1201" t="s">
        <v>18</v>
      </c>
      <c r="J1201" t="s">
        <v>19</v>
      </c>
      <c r="K1201">
        <v>2043</v>
      </c>
      <c r="L1201">
        <v>0</v>
      </c>
      <c r="M1201" t="s">
        <v>20</v>
      </c>
    </row>
    <row r="1202" spans="1:13" x14ac:dyDescent="0.35">
      <c r="A1202">
        <v>1201</v>
      </c>
      <c r="B1202">
        <v>583006654</v>
      </c>
      <c r="C1202">
        <v>37936</v>
      </c>
      <c r="D1202" t="s">
        <v>21</v>
      </c>
      <c r="E1202" t="s">
        <v>420</v>
      </c>
      <c r="F1202" t="s">
        <v>22</v>
      </c>
      <c r="G1202" t="s">
        <v>23</v>
      </c>
      <c r="H1202" t="s">
        <v>17</v>
      </c>
      <c r="I1202" t="s">
        <v>18</v>
      </c>
      <c r="J1202" t="s">
        <v>19</v>
      </c>
      <c r="K1202">
        <v>675</v>
      </c>
      <c r="L1202">
        <v>0</v>
      </c>
      <c r="M1202" t="s">
        <v>20</v>
      </c>
    </row>
    <row r="1203" spans="1:13" x14ac:dyDescent="0.35">
      <c r="A1203">
        <v>1202</v>
      </c>
      <c r="B1203">
        <v>583006654</v>
      </c>
      <c r="C1203">
        <v>37936</v>
      </c>
      <c r="D1203" t="s">
        <v>21</v>
      </c>
      <c r="E1203" t="s">
        <v>420</v>
      </c>
      <c r="F1203" t="s">
        <v>22</v>
      </c>
      <c r="G1203" t="s">
        <v>23</v>
      </c>
      <c r="H1203" t="s">
        <v>17</v>
      </c>
      <c r="I1203" t="s">
        <v>18</v>
      </c>
      <c r="J1203" t="s">
        <v>19</v>
      </c>
      <c r="K1203">
        <v>879</v>
      </c>
      <c r="L1203">
        <v>0</v>
      </c>
      <c r="M1203" t="s">
        <v>20</v>
      </c>
    </row>
    <row r="1204" spans="1:13" x14ac:dyDescent="0.35">
      <c r="A1204">
        <v>1203</v>
      </c>
      <c r="B1204">
        <v>583006655</v>
      </c>
      <c r="C1204">
        <v>37937</v>
      </c>
      <c r="D1204" t="s">
        <v>82</v>
      </c>
      <c r="E1204" t="s">
        <v>420</v>
      </c>
      <c r="F1204" t="s">
        <v>83</v>
      </c>
      <c r="G1204" t="s">
        <v>84</v>
      </c>
      <c r="H1204" t="s">
        <v>17</v>
      </c>
      <c r="I1204" t="s">
        <v>18</v>
      </c>
      <c r="J1204" t="s">
        <v>19</v>
      </c>
      <c r="K1204">
        <v>774</v>
      </c>
      <c r="L1204">
        <v>0</v>
      </c>
      <c r="M1204" t="s">
        <v>20</v>
      </c>
    </row>
    <row r="1205" spans="1:13" x14ac:dyDescent="0.35">
      <c r="A1205">
        <v>1204</v>
      </c>
      <c r="B1205">
        <v>583006655</v>
      </c>
      <c r="C1205">
        <v>37937</v>
      </c>
      <c r="D1205" t="s">
        <v>82</v>
      </c>
      <c r="E1205" t="s">
        <v>420</v>
      </c>
      <c r="F1205" t="s">
        <v>83</v>
      </c>
      <c r="G1205" t="s">
        <v>84</v>
      </c>
      <c r="H1205" t="s">
        <v>17</v>
      </c>
      <c r="I1205" t="s">
        <v>18</v>
      </c>
      <c r="J1205" t="s">
        <v>19</v>
      </c>
      <c r="K1205">
        <v>1926</v>
      </c>
      <c r="L1205">
        <v>0</v>
      </c>
      <c r="M1205" t="s">
        <v>20</v>
      </c>
    </row>
    <row r="1206" spans="1:13" x14ac:dyDescent="0.35">
      <c r="A1206">
        <v>1205</v>
      </c>
      <c r="B1206">
        <v>583006655</v>
      </c>
      <c r="C1206">
        <v>37937</v>
      </c>
      <c r="D1206" t="s">
        <v>82</v>
      </c>
      <c r="E1206" t="s">
        <v>420</v>
      </c>
      <c r="F1206" t="s">
        <v>83</v>
      </c>
      <c r="G1206" t="s">
        <v>84</v>
      </c>
      <c r="H1206" t="s">
        <v>17</v>
      </c>
      <c r="I1206" t="s">
        <v>18</v>
      </c>
      <c r="J1206" t="s">
        <v>19</v>
      </c>
      <c r="K1206">
        <v>1071</v>
      </c>
      <c r="L1206">
        <v>0</v>
      </c>
      <c r="M1206" t="s">
        <v>20</v>
      </c>
    </row>
    <row r="1207" spans="1:13" x14ac:dyDescent="0.35">
      <c r="A1207">
        <v>1206</v>
      </c>
      <c r="B1207">
        <v>583006656</v>
      </c>
      <c r="C1207">
        <v>37938</v>
      </c>
      <c r="D1207" t="s">
        <v>82</v>
      </c>
      <c r="E1207" t="s">
        <v>420</v>
      </c>
      <c r="F1207" t="s">
        <v>83</v>
      </c>
      <c r="G1207" t="s">
        <v>84</v>
      </c>
      <c r="H1207" t="s">
        <v>17</v>
      </c>
      <c r="I1207" t="s">
        <v>24</v>
      </c>
      <c r="J1207" t="s">
        <v>25</v>
      </c>
      <c r="K1207">
        <v>35</v>
      </c>
      <c r="L1207">
        <v>0</v>
      </c>
      <c r="M1207" t="s">
        <v>20</v>
      </c>
    </row>
    <row r="1208" spans="1:13" x14ac:dyDescent="0.35">
      <c r="A1208">
        <v>1207</v>
      </c>
      <c r="B1208">
        <v>583006649</v>
      </c>
      <c r="C1208">
        <v>37931</v>
      </c>
      <c r="D1208" t="s">
        <v>314</v>
      </c>
      <c r="E1208" t="s">
        <v>420</v>
      </c>
      <c r="F1208" t="s">
        <v>315</v>
      </c>
      <c r="G1208" t="s">
        <v>316</v>
      </c>
      <c r="H1208" t="s">
        <v>17</v>
      </c>
      <c r="I1208" t="s">
        <v>18</v>
      </c>
      <c r="J1208" t="s">
        <v>19</v>
      </c>
      <c r="K1208">
        <v>2322</v>
      </c>
      <c r="L1208">
        <v>0</v>
      </c>
      <c r="M1208" t="s">
        <v>20</v>
      </c>
    </row>
    <row r="1209" spans="1:13" x14ac:dyDescent="0.35">
      <c r="A1209">
        <v>1208</v>
      </c>
      <c r="B1209">
        <v>583006649</v>
      </c>
      <c r="C1209">
        <v>37931</v>
      </c>
      <c r="D1209" t="s">
        <v>314</v>
      </c>
      <c r="E1209" t="s">
        <v>420</v>
      </c>
      <c r="F1209" t="s">
        <v>315</v>
      </c>
      <c r="G1209" t="s">
        <v>316</v>
      </c>
      <c r="H1209" t="s">
        <v>17</v>
      </c>
      <c r="I1209" t="s">
        <v>18</v>
      </c>
      <c r="J1209" t="s">
        <v>19</v>
      </c>
      <c r="K1209">
        <v>369</v>
      </c>
      <c r="L1209">
        <v>0</v>
      </c>
      <c r="M1209" t="s">
        <v>20</v>
      </c>
    </row>
    <row r="1210" spans="1:13" x14ac:dyDescent="0.35">
      <c r="A1210">
        <v>1209</v>
      </c>
      <c r="B1210">
        <v>583006649</v>
      </c>
      <c r="C1210">
        <v>37931</v>
      </c>
      <c r="D1210" t="s">
        <v>314</v>
      </c>
      <c r="E1210" t="s">
        <v>420</v>
      </c>
      <c r="F1210" t="s">
        <v>315</v>
      </c>
      <c r="G1210" t="s">
        <v>316</v>
      </c>
      <c r="H1210" t="s">
        <v>17</v>
      </c>
      <c r="I1210" t="s">
        <v>18</v>
      </c>
      <c r="J1210" t="s">
        <v>19</v>
      </c>
      <c r="K1210">
        <v>1035</v>
      </c>
      <c r="L1210">
        <v>0</v>
      </c>
      <c r="M1210" t="s">
        <v>20</v>
      </c>
    </row>
    <row r="1211" spans="1:13" x14ac:dyDescent="0.35">
      <c r="A1211">
        <v>1210</v>
      </c>
      <c r="B1211">
        <v>583006660</v>
      </c>
      <c r="C1211">
        <v>37943</v>
      </c>
      <c r="D1211" t="s">
        <v>314</v>
      </c>
      <c r="E1211" t="s">
        <v>420</v>
      </c>
      <c r="F1211" t="s">
        <v>315</v>
      </c>
      <c r="G1211" t="s">
        <v>316</v>
      </c>
      <c r="H1211" t="s">
        <v>17</v>
      </c>
      <c r="I1211" t="s">
        <v>135</v>
      </c>
      <c r="J1211" t="s">
        <v>19</v>
      </c>
      <c r="K1211">
        <v>1800</v>
      </c>
      <c r="L1211">
        <v>0</v>
      </c>
      <c r="M1211" t="s">
        <v>20</v>
      </c>
    </row>
    <row r="1212" spans="1:13" x14ac:dyDescent="0.35">
      <c r="A1212">
        <v>1211</v>
      </c>
      <c r="B1212">
        <v>583006648</v>
      </c>
      <c r="C1212">
        <v>37930</v>
      </c>
      <c r="D1212" t="s">
        <v>125</v>
      </c>
      <c r="E1212" t="s">
        <v>420</v>
      </c>
      <c r="F1212" t="s">
        <v>127</v>
      </c>
      <c r="G1212" t="s">
        <v>128</v>
      </c>
      <c r="H1212" t="s">
        <v>17</v>
      </c>
      <c r="I1212" t="s">
        <v>18</v>
      </c>
      <c r="J1212" t="s">
        <v>19</v>
      </c>
      <c r="K1212">
        <v>792</v>
      </c>
      <c r="L1212">
        <v>0</v>
      </c>
      <c r="M1212" t="s">
        <v>20</v>
      </c>
    </row>
    <row r="1213" spans="1:13" x14ac:dyDescent="0.35">
      <c r="A1213">
        <v>1212</v>
      </c>
      <c r="B1213">
        <v>583006648</v>
      </c>
      <c r="C1213">
        <v>37930</v>
      </c>
      <c r="D1213" t="s">
        <v>125</v>
      </c>
      <c r="E1213" t="s">
        <v>420</v>
      </c>
      <c r="F1213" t="s">
        <v>127</v>
      </c>
      <c r="G1213" t="s">
        <v>128</v>
      </c>
      <c r="H1213" t="s">
        <v>17</v>
      </c>
      <c r="I1213" t="s">
        <v>18</v>
      </c>
      <c r="J1213" t="s">
        <v>19</v>
      </c>
      <c r="K1213">
        <v>1737</v>
      </c>
      <c r="L1213">
        <v>0</v>
      </c>
      <c r="M1213" t="s">
        <v>20</v>
      </c>
    </row>
    <row r="1214" spans="1:13" x14ac:dyDescent="0.35">
      <c r="A1214">
        <v>1213</v>
      </c>
      <c r="B1214">
        <v>583006648</v>
      </c>
      <c r="C1214">
        <v>37930</v>
      </c>
      <c r="D1214" t="s">
        <v>125</v>
      </c>
      <c r="E1214" t="s">
        <v>420</v>
      </c>
      <c r="F1214" t="s">
        <v>127</v>
      </c>
      <c r="G1214" t="s">
        <v>128</v>
      </c>
      <c r="H1214" t="s">
        <v>17</v>
      </c>
      <c r="I1214" t="s">
        <v>18</v>
      </c>
      <c r="J1214" t="s">
        <v>19</v>
      </c>
      <c r="K1214">
        <v>450</v>
      </c>
      <c r="L1214">
        <v>0</v>
      </c>
      <c r="M1214" t="s">
        <v>20</v>
      </c>
    </row>
    <row r="1215" spans="1:13" x14ac:dyDescent="0.35">
      <c r="A1215">
        <v>1214</v>
      </c>
      <c r="B1215">
        <v>583006648</v>
      </c>
      <c r="C1215">
        <v>37930</v>
      </c>
      <c r="D1215" t="s">
        <v>125</v>
      </c>
      <c r="E1215" t="s">
        <v>420</v>
      </c>
      <c r="F1215" t="s">
        <v>127</v>
      </c>
      <c r="G1215" t="s">
        <v>128</v>
      </c>
      <c r="H1215" t="s">
        <v>17</v>
      </c>
      <c r="I1215" t="s">
        <v>18</v>
      </c>
      <c r="J1215" t="s">
        <v>19</v>
      </c>
      <c r="K1215">
        <v>918</v>
      </c>
      <c r="L1215">
        <v>0</v>
      </c>
      <c r="M1215" t="s">
        <v>20</v>
      </c>
    </row>
    <row r="1216" spans="1:13" x14ac:dyDescent="0.35">
      <c r="A1216">
        <v>1215</v>
      </c>
      <c r="B1216">
        <v>583006661</v>
      </c>
      <c r="C1216">
        <v>37946</v>
      </c>
      <c r="D1216" t="s">
        <v>314</v>
      </c>
      <c r="E1216" t="s">
        <v>420</v>
      </c>
      <c r="F1216" t="s">
        <v>315</v>
      </c>
      <c r="G1216" t="s">
        <v>316</v>
      </c>
      <c r="H1216" t="s">
        <v>17</v>
      </c>
      <c r="I1216" t="s">
        <v>18</v>
      </c>
      <c r="J1216" t="s">
        <v>19</v>
      </c>
      <c r="K1216">
        <v>2247</v>
      </c>
      <c r="L1216">
        <v>0</v>
      </c>
      <c r="M1216" t="s">
        <v>20</v>
      </c>
    </row>
    <row r="1217" spans="1:13" x14ac:dyDescent="0.35">
      <c r="A1217">
        <v>1216</v>
      </c>
      <c r="B1217">
        <v>583006661</v>
      </c>
      <c r="C1217">
        <v>37946</v>
      </c>
      <c r="D1217" t="s">
        <v>314</v>
      </c>
      <c r="E1217" t="s">
        <v>420</v>
      </c>
      <c r="F1217" t="s">
        <v>315</v>
      </c>
      <c r="G1217" t="s">
        <v>316</v>
      </c>
      <c r="H1217" t="s">
        <v>17</v>
      </c>
      <c r="I1217" t="s">
        <v>18</v>
      </c>
      <c r="J1217" t="s">
        <v>19</v>
      </c>
      <c r="K1217">
        <v>114</v>
      </c>
      <c r="L1217">
        <v>0</v>
      </c>
      <c r="M1217" t="s">
        <v>20</v>
      </c>
    </row>
    <row r="1218" spans="1:13" x14ac:dyDescent="0.35">
      <c r="A1218">
        <v>1217</v>
      </c>
      <c r="B1218">
        <v>583006661</v>
      </c>
      <c r="C1218">
        <v>37946</v>
      </c>
      <c r="D1218" t="s">
        <v>314</v>
      </c>
      <c r="E1218" t="s">
        <v>420</v>
      </c>
      <c r="F1218" t="s">
        <v>315</v>
      </c>
      <c r="G1218" t="s">
        <v>316</v>
      </c>
      <c r="H1218" t="s">
        <v>17</v>
      </c>
      <c r="I1218" t="s">
        <v>18</v>
      </c>
      <c r="J1218" t="s">
        <v>19</v>
      </c>
      <c r="K1218">
        <v>723</v>
      </c>
      <c r="L1218">
        <v>0</v>
      </c>
      <c r="M1218" t="s">
        <v>20</v>
      </c>
    </row>
    <row r="1219" spans="1:13" x14ac:dyDescent="0.35">
      <c r="A1219">
        <v>1218</v>
      </c>
      <c r="B1219">
        <v>583006653</v>
      </c>
      <c r="C1219">
        <v>37935</v>
      </c>
      <c r="D1219" t="s">
        <v>21</v>
      </c>
      <c r="E1219" t="s">
        <v>420</v>
      </c>
      <c r="F1219" t="s">
        <v>22</v>
      </c>
      <c r="G1219" t="s">
        <v>23</v>
      </c>
      <c r="H1219" t="s">
        <v>17</v>
      </c>
      <c r="I1219" t="s">
        <v>18</v>
      </c>
      <c r="J1219" t="s">
        <v>19</v>
      </c>
      <c r="K1219">
        <v>561</v>
      </c>
      <c r="L1219">
        <v>0</v>
      </c>
      <c r="M1219" t="s">
        <v>20</v>
      </c>
    </row>
    <row r="1220" spans="1:13" x14ac:dyDescent="0.35">
      <c r="A1220">
        <v>1219</v>
      </c>
      <c r="B1220">
        <v>583006653</v>
      </c>
      <c r="C1220">
        <v>37935</v>
      </c>
      <c r="D1220" t="s">
        <v>21</v>
      </c>
      <c r="E1220" t="s">
        <v>420</v>
      </c>
      <c r="F1220" t="s">
        <v>22</v>
      </c>
      <c r="G1220" t="s">
        <v>23</v>
      </c>
      <c r="H1220" t="s">
        <v>17</v>
      </c>
      <c r="I1220" t="s">
        <v>18</v>
      </c>
      <c r="J1220" t="s">
        <v>19</v>
      </c>
      <c r="K1220">
        <v>2154</v>
      </c>
      <c r="L1220">
        <v>0</v>
      </c>
      <c r="M1220" t="s">
        <v>20</v>
      </c>
    </row>
    <row r="1221" spans="1:13" x14ac:dyDescent="0.35">
      <c r="A1221">
        <v>1220</v>
      </c>
      <c r="B1221">
        <v>583006650</v>
      </c>
      <c r="C1221">
        <v>37932</v>
      </c>
      <c r="D1221" t="s">
        <v>153</v>
      </c>
      <c r="E1221" t="s">
        <v>420</v>
      </c>
      <c r="F1221" t="s">
        <v>154</v>
      </c>
      <c r="G1221" t="s">
        <v>155</v>
      </c>
      <c r="H1221" t="s">
        <v>17</v>
      </c>
      <c r="I1221" t="s">
        <v>18</v>
      </c>
      <c r="J1221" t="s">
        <v>19</v>
      </c>
      <c r="K1221">
        <v>2796</v>
      </c>
      <c r="L1221">
        <v>0</v>
      </c>
      <c r="M1221" t="s">
        <v>20</v>
      </c>
    </row>
    <row r="1222" spans="1:13" x14ac:dyDescent="0.35">
      <c r="A1222">
        <v>1221</v>
      </c>
      <c r="B1222">
        <v>583006650</v>
      </c>
      <c r="C1222">
        <v>37932</v>
      </c>
      <c r="D1222" t="s">
        <v>153</v>
      </c>
      <c r="E1222" t="s">
        <v>420</v>
      </c>
      <c r="F1222" t="s">
        <v>154</v>
      </c>
      <c r="G1222" t="s">
        <v>155</v>
      </c>
      <c r="H1222" t="s">
        <v>17</v>
      </c>
      <c r="I1222" t="s">
        <v>18</v>
      </c>
      <c r="J1222" t="s">
        <v>19</v>
      </c>
      <c r="K1222">
        <v>486</v>
      </c>
      <c r="L1222">
        <v>0</v>
      </c>
      <c r="M1222" t="s">
        <v>20</v>
      </c>
    </row>
    <row r="1223" spans="1:13" x14ac:dyDescent="0.35">
      <c r="A1223">
        <v>1222</v>
      </c>
      <c r="B1223">
        <v>583006650</v>
      </c>
      <c r="C1223">
        <v>37932</v>
      </c>
      <c r="D1223" t="s">
        <v>153</v>
      </c>
      <c r="E1223" t="s">
        <v>420</v>
      </c>
      <c r="F1223" t="s">
        <v>154</v>
      </c>
      <c r="G1223" t="s">
        <v>155</v>
      </c>
      <c r="H1223" t="s">
        <v>17</v>
      </c>
      <c r="I1223" t="s">
        <v>18</v>
      </c>
      <c r="J1223" t="s">
        <v>19</v>
      </c>
      <c r="K1223">
        <v>216</v>
      </c>
      <c r="L1223">
        <v>0</v>
      </c>
      <c r="M1223" t="s">
        <v>20</v>
      </c>
    </row>
    <row r="1224" spans="1:13" x14ac:dyDescent="0.35">
      <c r="A1224">
        <v>1223</v>
      </c>
      <c r="B1224">
        <v>583006650</v>
      </c>
      <c r="C1224">
        <v>37932</v>
      </c>
      <c r="D1224" t="s">
        <v>153</v>
      </c>
      <c r="E1224" t="s">
        <v>420</v>
      </c>
      <c r="F1224" t="s">
        <v>154</v>
      </c>
      <c r="G1224" t="s">
        <v>155</v>
      </c>
      <c r="H1224" t="s">
        <v>17</v>
      </c>
      <c r="I1224" t="s">
        <v>18</v>
      </c>
      <c r="J1224" t="s">
        <v>19</v>
      </c>
      <c r="K1224">
        <v>225</v>
      </c>
      <c r="L1224">
        <v>0</v>
      </c>
      <c r="M1224" t="s">
        <v>20</v>
      </c>
    </row>
    <row r="1225" spans="1:13" x14ac:dyDescent="0.35">
      <c r="A1225">
        <v>1224</v>
      </c>
      <c r="B1225">
        <v>583006727</v>
      </c>
      <c r="C1225">
        <v>38041</v>
      </c>
      <c r="D1225" t="s">
        <v>45</v>
      </c>
      <c r="E1225" t="s">
        <v>424</v>
      </c>
      <c r="F1225" t="s">
        <v>46</v>
      </c>
      <c r="G1225" t="s">
        <v>47</v>
      </c>
      <c r="H1225" t="s">
        <v>17</v>
      </c>
      <c r="I1225" t="s">
        <v>18</v>
      </c>
      <c r="J1225" t="s">
        <v>19</v>
      </c>
      <c r="K1225">
        <v>30</v>
      </c>
      <c r="L1225">
        <v>0</v>
      </c>
      <c r="M1225" t="s">
        <v>20</v>
      </c>
    </row>
    <row r="1226" spans="1:13" x14ac:dyDescent="0.35">
      <c r="A1226">
        <v>1225</v>
      </c>
      <c r="B1226">
        <v>583006692</v>
      </c>
      <c r="C1226">
        <v>37996</v>
      </c>
      <c r="D1226" t="s">
        <v>136</v>
      </c>
      <c r="E1226" t="s">
        <v>424</v>
      </c>
      <c r="F1226" t="s">
        <v>137</v>
      </c>
      <c r="G1226" t="s">
        <v>138</v>
      </c>
      <c r="H1226" t="s">
        <v>17</v>
      </c>
      <c r="I1226" t="s">
        <v>18</v>
      </c>
      <c r="J1226" t="s">
        <v>19</v>
      </c>
      <c r="K1226">
        <v>1248</v>
      </c>
      <c r="L1226">
        <v>0</v>
      </c>
      <c r="M1226" t="s">
        <v>20</v>
      </c>
    </row>
    <row r="1227" spans="1:13" x14ac:dyDescent="0.35">
      <c r="A1227">
        <v>1226</v>
      </c>
      <c r="B1227">
        <v>583006726</v>
      </c>
      <c r="C1227">
        <v>38040</v>
      </c>
      <c r="D1227" t="s">
        <v>45</v>
      </c>
      <c r="E1227" t="s">
        <v>424</v>
      </c>
      <c r="F1227" t="s">
        <v>46</v>
      </c>
      <c r="G1227" t="s">
        <v>47</v>
      </c>
      <c r="H1227" t="s">
        <v>17</v>
      </c>
      <c r="I1227" t="s">
        <v>18</v>
      </c>
      <c r="J1227" t="s">
        <v>19</v>
      </c>
      <c r="K1227">
        <v>180</v>
      </c>
      <c r="L1227">
        <v>0</v>
      </c>
      <c r="M1227" t="s">
        <v>20</v>
      </c>
    </row>
    <row r="1228" spans="1:13" x14ac:dyDescent="0.35">
      <c r="A1228">
        <v>1227</v>
      </c>
      <c r="B1228">
        <v>583006692</v>
      </c>
      <c r="C1228">
        <v>37996</v>
      </c>
      <c r="D1228" t="s">
        <v>136</v>
      </c>
      <c r="E1228" t="s">
        <v>424</v>
      </c>
      <c r="F1228" t="s">
        <v>137</v>
      </c>
      <c r="G1228" t="s">
        <v>138</v>
      </c>
      <c r="H1228" t="s">
        <v>17</v>
      </c>
      <c r="I1228" t="s">
        <v>18</v>
      </c>
      <c r="J1228" t="s">
        <v>19</v>
      </c>
      <c r="K1228">
        <v>483</v>
      </c>
      <c r="L1228">
        <v>0</v>
      </c>
      <c r="M1228" t="s">
        <v>20</v>
      </c>
    </row>
    <row r="1229" spans="1:13" x14ac:dyDescent="0.35">
      <c r="A1229">
        <v>1228</v>
      </c>
      <c r="B1229">
        <v>583006750</v>
      </c>
      <c r="C1229">
        <v>38069</v>
      </c>
      <c r="D1229" t="s">
        <v>21</v>
      </c>
      <c r="E1229" t="s">
        <v>424</v>
      </c>
      <c r="F1229" t="s">
        <v>22</v>
      </c>
      <c r="G1229" t="s">
        <v>23</v>
      </c>
      <c r="H1229" t="s">
        <v>17</v>
      </c>
      <c r="I1229" t="s">
        <v>18</v>
      </c>
      <c r="J1229" t="s">
        <v>19</v>
      </c>
      <c r="K1229">
        <v>1494</v>
      </c>
      <c r="L1229">
        <v>0</v>
      </c>
      <c r="M1229" t="s">
        <v>20</v>
      </c>
    </row>
    <row r="1230" spans="1:13" x14ac:dyDescent="0.35">
      <c r="A1230">
        <v>1229</v>
      </c>
      <c r="B1230">
        <v>583006736</v>
      </c>
      <c r="C1230">
        <v>38052</v>
      </c>
      <c r="D1230" t="s">
        <v>21</v>
      </c>
      <c r="E1230" t="s">
        <v>424</v>
      </c>
      <c r="F1230" t="s">
        <v>22</v>
      </c>
      <c r="G1230" t="s">
        <v>23</v>
      </c>
      <c r="H1230" t="s">
        <v>17</v>
      </c>
      <c r="I1230" t="s">
        <v>18</v>
      </c>
      <c r="J1230" t="s">
        <v>19</v>
      </c>
      <c r="K1230">
        <v>2433</v>
      </c>
      <c r="L1230">
        <v>0</v>
      </c>
      <c r="M1230" t="s">
        <v>20</v>
      </c>
    </row>
    <row r="1231" spans="1:13" x14ac:dyDescent="0.35">
      <c r="A1231">
        <v>1230</v>
      </c>
      <c r="B1231">
        <v>583006725</v>
      </c>
      <c r="C1231">
        <v>38039</v>
      </c>
      <c r="D1231" t="s">
        <v>45</v>
      </c>
      <c r="E1231" t="s">
        <v>424</v>
      </c>
      <c r="F1231" t="s">
        <v>46</v>
      </c>
      <c r="G1231" t="s">
        <v>47</v>
      </c>
      <c r="H1231" t="s">
        <v>17</v>
      </c>
      <c r="I1231" t="s">
        <v>18</v>
      </c>
      <c r="J1231" t="s">
        <v>19</v>
      </c>
      <c r="K1231">
        <v>36</v>
      </c>
      <c r="L1231">
        <v>0</v>
      </c>
      <c r="M1231" t="s">
        <v>20</v>
      </c>
    </row>
    <row r="1232" spans="1:13" x14ac:dyDescent="0.35">
      <c r="A1232">
        <v>1231</v>
      </c>
      <c r="B1232">
        <v>583006724</v>
      </c>
      <c r="C1232">
        <v>38038</v>
      </c>
      <c r="D1232" t="s">
        <v>45</v>
      </c>
      <c r="E1232" t="s">
        <v>424</v>
      </c>
      <c r="F1232" t="s">
        <v>46</v>
      </c>
      <c r="G1232" t="s">
        <v>47</v>
      </c>
      <c r="H1232" t="s">
        <v>17</v>
      </c>
      <c r="I1232" t="s">
        <v>18</v>
      </c>
      <c r="J1232" t="s">
        <v>19</v>
      </c>
      <c r="K1232">
        <v>48</v>
      </c>
      <c r="L1232">
        <v>0</v>
      </c>
      <c r="M1232" t="s">
        <v>20</v>
      </c>
    </row>
    <row r="1233" spans="1:13" x14ac:dyDescent="0.35">
      <c r="A1233">
        <v>1232</v>
      </c>
      <c r="B1233">
        <v>583006752</v>
      </c>
      <c r="C1233">
        <v>38071</v>
      </c>
      <c r="D1233" t="s">
        <v>21</v>
      </c>
      <c r="E1233" t="s">
        <v>424</v>
      </c>
      <c r="F1233" t="s">
        <v>22</v>
      </c>
      <c r="G1233" t="s">
        <v>23</v>
      </c>
      <c r="H1233" t="s">
        <v>17</v>
      </c>
      <c r="I1233" t="s">
        <v>135</v>
      </c>
      <c r="J1233" t="s">
        <v>19</v>
      </c>
      <c r="K1233">
        <v>225</v>
      </c>
      <c r="L1233">
        <v>0</v>
      </c>
      <c r="M1233" t="s">
        <v>20</v>
      </c>
    </row>
    <row r="1234" spans="1:13" x14ac:dyDescent="0.35">
      <c r="A1234">
        <v>1233</v>
      </c>
      <c r="B1234">
        <v>583006718</v>
      </c>
      <c r="C1234">
        <v>38025</v>
      </c>
      <c r="D1234" t="s">
        <v>21</v>
      </c>
      <c r="E1234" t="s">
        <v>424</v>
      </c>
      <c r="F1234" t="s">
        <v>22</v>
      </c>
      <c r="G1234" t="s">
        <v>23</v>
      </c>
      <c r="H1234" t="s">
        <v>17</v>
      </c>
      <c r="I1234" t="s">
        <v>18</v>
      </c>
      <c r="J1234" t="s">
        <v>19</v>
      </c>
      <c r="K1234">
        <v>2016</v>
      </c>
      <c r="L1234">
        <v>0</v>
      </c>
      <c r="M1234" t="s">
        <v>20</v>
      </c>
    </row>
    <row r="1235" spans="1:13" x14ac:dyDescent="0.35">
      <c r="A1235">
        <v>1234</v>
      </c>
      <c r="B1235">
        <v>583006718</v>
      </c>
      <c r="C1235">
        <v>38025</v>
      </c>
      <c r="D1235" t="s">
        <v>21</v>
      </c>
      <c r="E1235" t="s">
        <v>424</v>
      </c>
      <c r="F1235" t="s">
        <v>22</v>
      </c>
      <c r="G1235" t="s">
        <v>23</v>
      </c>
      <c r="H1235" t="s">
        <v>17</v>
      </c>
      <c r="I1235" t="s">
        <v>18</v>
      </c>
      <c r="J1235" t="s">
        <v>19</v>
      </c>
      <c r="K1235">
        <v>927</v>
      </c>
      <c r="L1235">
        <v>0</v>
      </c>
      <c r="M1235" t="s">
        <v>20</v>
      </c>
    </row>
    <row r="1236" spans="1:13" x14ac:dyDescent="0.35">
      <c r="A1236">
        <v>1235</v>
      </c>
      <c r="B1236">
        <v>583006744</v>
      </c>
      <c r="C1236">
        <v>38062</v>
      </c>
      <c r="D1236" t="s">
        <v>425</v>
      </c>
      <c r="E1236" t="s">
        <v>424</v>
      </c>
      <c r="F1236" t="s">
        <v>426</v>
      </c>
      <c r="G1236" t="s">
        <v>427</v>
      </c>
      <c r="H1236" t="s">
        <v>17</v>
      </c>
      <c r="I1236" t="s">
        <v>18</v>
      </c>
      <c r="J1236" t="s">
        <v>19</v>
      </c>
      <c r="K1236">
        <v>1800</v>
      </c>
      <c r="L1236">
        <v>0</v>
      </c>
      <c r="M1236" t="s">
        <v>20</v>
      </c>
    </row>
    <row r="1237" spans="1:13" x14ac:dyDescent="0.35">
      <c r="A1237">
        <v>1236</v>
      </c>
      <c r="B1237">
        <v>583006737</v>
      </c>
      <c r="C1237">
        <v>38053</v>
      </c>
      <c r="D1237" t="s">
        <v>21</v>
      </c>
      <c r="E1237" t="s">
        <v>424</v>
      </c>
      <c r="F1237" t="s">
        <v>22</v>
      </c>
      <c r="G1237" t="s">
        <v>23</v>
      </c>
      <c r="H1237" t="s">
        <v>17</v>
      </c>
      <c r="I1237" t="s">
        <v>51</v>
      </c>
      <c r="J1237" t="s">
        <v>52</v>
      </c>
      <c r="K1237">
        <v>44.2</v>
      </c>
      <c r="L1237">
        <v>0</v>
      </c>
      <c r="M1237" t="s">
        <v>20</v>
      </c>
    </row>
    <row r="1238" spans="1:13" x14ac:dyDescent="0.35">
      <c r="A1238">
        <v>1237</v>
      </c>
      <c r="B1238">
        <v>583006695</v>
      </c>
      <c r="C1238">
        <v>38000</v>
      </c>
      <c r="D1238" t="s">
        <v>136</v>
      </c>
      <c r="E1238" t="s">
        <v>424</v>
      </c>
      <c r="F1238" t="s">
        <v>137</v>
      </c>
      <c r="G1238" t="s">
        <v>138</v>
      </c>
      <c r="H1238" t="s">
        <v>17</v>
      </c>
      <c r="I1238" t="s">
        <v>24</v>
      </c>
      <c r="J1238" t="s">
        <v>25</v>
      </c>
      <c r="K1238">
        <v>44</v>
      </c>
      <c r="L1238">
        <v>0</v>
      </c>
      <c r="M1238" t="s">
        <v>20</v>
      </c>
    </row>
    <row r="1239" spans="1:13" x14ac:dyDescent="0.35">
      <c r="A1239">
        <v>1238</v>
      </c>
      <c r="B1239">
        <v>583006694</v>
      </c>
      <c r="C1239">
        <v>37999</v>
      </c>
      <c r="D1239" t="s">
        <v>136</v>
      </c>
      <c r="E1239" t="s">
        <v>424</v>
      </c>
      <c r="F1239" t="s">
        <v>137</v>
      </c>
      <c r="G1239" t="s">
        <v>138</v>
      </c>
      <c r="H1239" t="s">
        <v>17</v>
      </c>
      <c r="I1239" t="s">
        <v>24</v>
      </c>
      <c r="J1239" t="s">
        <v>25</v>
      </c>
      <c r="K1239">
        <v>3</v>
      </c>
      <c r="L1239">
        <v>0</v>
      </c>
      <c r="M1239" t="s">
        <v>20</v>
      </c>
    </row>
    <row r="1240" spans="1:13" x14ac:dyDescent="0.35">
      <c r="A1240">
        <v>1239</v>
      </c>
      <c r="B1240">
        <v>583006718</v>
      </c>
      <c r="C1240">
        <v>38025</v>
      </c>
      <c r="D1240" t="s">
        <v>21</v>
      </c>
      <c r="E1240" t="s">
        <v>424</v>
      </c>
      <c r="F1240" t="s">
        <v>22</v>
      </c>
      <c r="G1240" t="s">
        <v>23</v>
      </c>
      <c r="H1240" t="s">
        <v>17</v>
      </c>
      <c r="I1240" t="s">
        <v>18</v>
      </c>
      <c r="J1240" t="s">
        <v>19</v>
      </c>
      <c r="K1240">
        <v>360</v>
      </c>
      <c r="L1240">
        <v>0</v>
      </c>
      <c r="M1240" t="s">
        <v>20</v>
      </c>
    </row>
    <row r="1241" spans="1:13" x14ac:dyDescent="0.35">
      <c r="A1241">
        <v>1240</v>
      </c>
      <c r="B1241">
        <v>583006743</v>
      </c>
      <c r="C1241">
        <v>38061</v>
      </c>
      <c r="D1241" t="s">
        <v>425</v>
      </c>
      <c r="E1241" t="s">
        <v>424</v>
      </c>
      <c r="F1241" t="s">
        <v>426</v>
      </c>
      <c r="G1241" t="s">
        <v>427</v>
      </c>
      <c r="H1241" t="s">
        <v>17</v>
      </c>
      <c r="I1241" t="s">
        <v>24</v>
      </c>
      <c r="J1241" t="s">
        <v>25</v>
      </c>
      <c r="K1241">
        <v>18</v>
      </c>
      <c r="L1241">
        <v>0</v>
      </c>
      <c r="M1241" t="s">
        <v>20</v>
      </c>
    </row>
    <row r="1242" spans="1:13" x14ac:dyDescent="0.35">
      <c r="A1242">
        <v>1241</v>
      </c>
      <c r="B1242">
        <v>583006736</v>
      </c>
      <c r="C1242">
        <v>38052</v>
      </c>
      <c r="D1242" t="s">
        <v>21</v>
      </c>
      <c r="E1242" t="s">
        <v>424</v>
      </c>
      <c r="F1242" t="s">
        <v>22</v>
      </c>
      <c r="G1242" t="s">
        <v>23</v>
      </c>
      <c r="H1242" t="s">
        <v>17</v>
      </c>
      <c r="I1242" t="s">
        <v>18</v>
      </c>
      <c r="J1242" t="s">
        <v>19</v>
      </c>
      <c r="K1242">
        <v>612</v>
      </c>
      <c r="L1242">
        <v>0</v>
      </c>
      <c r="M1242" t="s">
        <v>20</v>
      </c>
    </row>
    <row r="1243" spans="1:13" x14ac:dyDescent="0.35">
      <c r="A1243">
        <v>1242</v>
      </c>
      <c r="B1243">
        <v>583006736</v>
      </c>
      <c r="C1243">
        <v>38052</v>
      </c>
      <c r="D1243" t="s">
        <v>21</v>
      </c>
      <c r="E1243" t="s">
        <v>424</v>
      </c>
      <c r="F1243" t="s">
        <v>22</v>
      </c>
      <c r="G1243" t="s">
        <v>23</v>
      </c>
      <c r="H1243" t="s">
        <v>17</v>
      </c>
      <c r="I1243" t="s">
        <v>18</v>
      </c>
      <c r="J1243" t="s">
        <v>19</v>
      </c>
      <c r="K1243">
        <v>360</v>
      </c>
      <c r="L1243">
        <v>0</v>
      </c>
      <c r="M1243" t="s">
        <v>20</v>
      </c>
    </row>
    <row r="1244" spans="1:13" x14ac:dyDescent="0.35">
      <c r="A1244">
        <v>1243</v>
      </c>
      <c r="B1244">
        <v>583006706</v>
      </c>
      <c r="C1244">
        <v>38012</v>
      </c>
      <c r="D1244" t="s">
        <v>153</v>
      </c>
      <c r="E1244" t="s">
        <v>424</v>
      </c>
      <c r="F1244" t="s">
        <v>154</v>
      </c>
      <c r="G1244" t="s">
        <v>155</v>
      </c>
      <c r="H1244" t="s">
        <v>17</v>
      </c>
      <c r="I1244" t="s">
        <v>18</v>
      </c>
      <c r="J1244" t="s">
        <v>19</v>
      </c>
      <c r="K1244">
        <v>174</v>
      </c>
      <c r="L1244">
        <v>0</v>
      </c>
      <c r="M1244" t="s">
        <v>20</v>
      </c>
    </row>
    <row r="1245" spans="1:13" x14ac:dyDescent="0.35">
      <c r="A1245">
        <v>1244</v>
      </c>
      <c r="B1245">
        <v>583006750</v>
      </c>
      <c r="C1245">
        <v>38069</v>
      </c>
      <c r="D1245" t="s">
        <v>21</v>
      </c>
      <c r="E1245" t="s">
        <v>424</v>
      </c>
      <c r="F1245" t="s">
        <v>22</v>
      </c>
      <c r="G1245" t="s">
        <v>23</v>
      </c>
      <c r="H1245" t="s">
        <v>17</v>
      </c>
      <c r="I1245" t="s">
        <v>18</v>
      </c>
      <c r="J1245" t="s">
        <v>19</v>
      </c>
      <c r="K1245">
        <v>639</v>
      </c>
      <c r="L1245">
        <v>0</v>
      </c>
      <c r="M1245" t="s">
        <v>20</v>
      </c>
    </row>
    <row r="1246" spans="1:13" x14ac:dyDescent="0.35">
      <c r="A1246">
        <v>1245</v>
      </c>
      <c r="B1246">
        <v>583006750</v>
      </c>
      <c r="C1246">
        <v>38069</v>
      </c>
      <c r="D1246" t="s">
        <v>21</v>
      </c>
      <c r="E1246" t="s">
        <v>424</v>
      </c>
      <c r="F1246" t="s">
        <v>22</v>
      </c>
      <c r="G1246" t="s">
        <v>23</v>
      </c>
      <c r="H1246" t="s">
        <v>17</v>
      </c>
      <c r="I1246" t="s">
        <v>18</v>
      </c>
      <c r="J1246" t="s">
        <v>19</v>
      </c>
      <c r="K1246">
        <v>1179</v>
      </c>
      <c r="L1246">
        <v>0</v>
      </c>
      <c r="M1246" t="s">
        <v>20</v>
      </c>
    </row>
    <row r="1247" spans="1:13" x14ac:dyDescent="0.35">
      <c r="A1247">
        <v>1246</v>
      </c>
      <c r="B1247">
        <v>583006715</v>
      </c>
      <c r="C1247">
        <v>38021</v>
      </c>
      <c r="D1247" t="s">
        <v>277</v>
      </c>
      <c r="E1247" t="s">
        <v>424</v>
      </c>
      <c r="F1247" t="s">
        <v>278</v>
      </c>
      <c r="G1247" t="s">
        <v>279</v>
      </c>
      <c r="H1247" t="s">
        <v>17</v>
      </c>
      <c r="I1247" t="s">
        <v>18</v>
      </c>
      <c r="J1247" t="s">
        <v>19</v>
      </c>
      <c r="K1247">
        <v>36</v>
      </c>
      <c r="L1247">
        <v>0</v>
      </c>
      <c r="M1247" t="s">
        <v>20</v>
      </c>
    </row>
    <row r="1248" spans="1:13" x14ac:dyDescent="0.35">
      <c r="A1248">
        <v>1247</v>
      </c>
      <c r="B1248">
        <v>583006706</v>
      </c>
      <c r="C1248">
        <v>38012</v>
      </c>
      <c r="D1248" t="s">
        <v>153</v>
      </c>
      <c r="E1248" t="s">
        <v>424</v>
      </c>
      <c r="F1248" t="s">
        <v>154</v>
      </c>
      <c r="G1248" t="s">
        <v>155</v>
      </c>
      <c r="H1248" t="s">
        <v>17</v>
      </c>
      <c r="I1248" t="s">
        <v>18</v>
      </c>
      <c r="J1248" t="s">
        <v>19</v>
      </c>
      <c r="K1248">
        <v>447</v>
      </c>
      <c r="L1248">
        <v>0</v>
      </c>
      <c r="M1248" t="s">
        <v>20</v>
      </c>
    </row>
    <row r="1249" spans="1:13" x14ac:dyDescent="0.35">
      <c r="A1249">
        <v>1248</v>
      </c>
      <c r="B1249">
        <v>583006706</v>
      </c>
      <c r="C1249">
        <v>38012</v>
      </c>
      <c r="D1249" t="s">
        <v>153</v>
      </c>
      <c r="E1249" t="s">
        <v>424</v>
      </c>
      <c r="F1249" t="s">
        <v>154</v>
      </c>
      <c r="G1249" t="s">
        <v>155</v>
      </c>
      <c r="H1249" t="s">
        <v>17</v>
      </c>
      <c r="I1249" t="s">
        <v>18</v>
      </c>
      <c r="J1249" t="s">
        <v>19</v>
      </c>
      <c r="K1249">
        <v>1206</v>
      </c>
      <c r="L1249">
        <v>0</v>
      </c>
      <c r="M1249" t="s">
        <v>20</v>
      </c>
    </row>
    <row r="1250" spans="1:13" x14ac:dyDescent="0.35">
      <c r="A1250">
        <v>1249</v>
      </c>
      <c r="B1250">
        <v>583006693</v>
      </c>
      <c r="C1250">
        <v>37997</v>
      </c>
      <c r="D1250" t="s">
        <v>136</v>
      </c>
      <c r="E1250" t="s">
        <v>424</v>
      </c>
      <c r="F1250" t="s">
        <v>137</v>
      </c>
      <c r="G1250" t="s">
        <v>138</v>
      </c>
      <c r="H1250" t="s">
        <v>17</v>
      </c>
      <c r="I1250" t="s">
        <v>18</v>
      </c>
      <c r="J1250" t="s">
        <v>19</v>
      </c>
      <c r="K1250">
        <v>144</v>
      </c>
      <c r="L1250">
        <v>0</v>
      </c>
      <c r="M1250" t="s">
        <v>20</v>
      </c>
    </row>
    <row r="1251" spans="1:13" x14ac:dyDescent="0.35">
      <c r="A1251">
        <v>1250</v>
      </c>
      <c r="B1251">
        <v>583006716</v>
      </c>
      <c r="C1251">
        <v>38022</v>
      </c>
      <c r="D1251" t="s">
        <v>277</v>
      </c>
      <c r="E1251" t="s">
        <v>424</v>
      </c>
      <c r="F1251" t="s">
        <v>278</v>
      </c>
      <c r="G1251" t="s">
        <v>279</v>
      </c>
      <c r="H1251" t="s">
        <v>17</v>
      </c>
      <c r="I1251" t="s">
        <v>90</v>
      </c>
      <c r="J1251" t="s">
        <v>74</v>
      </c>
      <c r="K1251">
        <v>50</v>
      </c>
      <c r="L1251">
        <v>0</v>
      </c>
      <c r="M1251" t="s">
        <v>20</v>
      </c>
    </row>
    <row r="1252" spans="1:13" x14ac:dyDescent="0.35">
      <c r="A1252">
        <v>1251</v>
      </c>
      <c r="B1252">
        <v>583006705</v>
      </c>
      <c r="C1252">
        <v>38011</v>
      </c>
      <c r="D1252" t="s">
        <v>263</v>
      </c>
      <c r="E1252" t="s">
        <v>424</v>
      </c>
      <c r="F1252" t="s">
        <v>264</v>
      </c>
      <c r="G1252" t="s">
        <v>265</v>
      </c>
      <c r="H1252" t="s">
        <v>17</v>
      </c>
      <c r="I1252" t="s">
        <v>63</v>
      </c>
      <c r="J1252" t="s">
        <v>64</v>
      </c>
      <c r="K1252">
        <v>60</v>
      </c>
      <c r="L1252">
        <v>106.2</v>
      </c>
      <c r="M1252" t="s">
        <v>20</v>
      </c>
    </row>
    <row r="1253" spans="1:13" x14ac:dyDescent="0.35">
      <c r="A1253">
        <v>1252</v>
      </c>
      <c r="B1253">
        <v>583006751</v>
      </c>
      <c r="C1253">
        <v>38070</v>
      </c>
      <c r="D1253" t="s">
        <v>21</v>
      </c>
      <c r="E1253" t="s">
        <v>424</v>
      </c>
      <c r="F1253" t="s">
        <v>22</v>
      </c>
      <c r="G1253" t="s">
        <v>23</v>
      </c>
      <c r="H1253" t="s">
        <v>17</v>
      </c>
      <c r="I1253" t="s">
        <v>135</v>
      </c>
      <c r="J1253" t="s">
        <v>19</v>
      </c>
      <c r="K1253">
        <v>540</v>
      </c>
      <c r="L1253">
        <v>0</v>
      </c>
      <c r="M1253" t="s">
        <v>20</v>
      </c>
    </row>
    <row r="1254" spans="1:13" x14ac:dyDescent="0.35">
      <c r="A1254">
        <v>1253</v>
      </c>
      <c r="B1254">
        <v>583006714</v>
      </c>
      <c r="C1254">
        <v>38020</v>
      </c>
      <c r="D1254" t="s">
        <v>428</v>
      </c>
      <c r="E1254" t="s">
        <v>424</v>
      </c>
      <c r="F1254" t="s">
        <v>429</v>
      </c>
      <c r="G1254" t="s">
        <v>430</v>
      </c>
      <c r="H1254" t="s">
        <v>17</v>
      </c>
      <c r="I1254" t="s">
        <v>18</v>
      </c>
      <c r="J1254" t="s">
        <v>19</v>
      </c>
      <c r="K1254">
        <v>324</v>
      </c>
      <c r="L1254">
        <v>0</v>
      </c>
      <c r="M1254" t="s">
        <v>20</v>
      </c>
    </row>
    <row r="1255" spans="1:13" x14ac:dyDescent="0.35">
      <c r="A1255">
        <v>1254</v>
      </c>
      <c r="B1255">
        <v>583006714</v>
      </c>
      <c r="C1255">
        <v>38020</v>
      </c>
      <c r="D1255" t="s">
        <v>428</v>
      </c>
      <c r="E1255" t="s">
        <v>424</v>
      </c>
      <c r="F1255" t="s">
        <v>429</v>
      </c>
      <c r="G1255" t="s">
        <v>430</v>
      </c>
      <c r="H1255" t="s">
        <v>17</v>
      </c>
      <c r="I1255" t="s">
        <v>18</v>
      </c>
      <c r="J1255" t="s">
        <v>19</v>
      </c>
      <c r="K1255">
        <v>1440</v>
      </c>
      <c r="L1255">
        <v>0</v>
      </c>
      <c r="M1255" t="s">
        <v>20</v>
      </c>
    </row>
    <row r="1256" spans="1:13" x14ac:dyDescent="0.35">
      <c r="A1256">
        <v>1255</v>
      </c>
      <c r="B1256">
        <v>583006667</v>
      </c>
      <c r="C1256">
        <v>37962</v>
      </c>
      <c r="D1256" t="s">
        <v>190</v>
      </c>
      <c r="E1256" t="s">
        <v>424</v>
      </c>
      <c r="F1256" t="s">
        <v>191</v>
      </c>
      <c r="G1256" t="s">
        <v>192</v>
      </c>
      <c r="H1256" t="s">
        <v>17</v>
      </c>
      <c r="I1256" t="s">
        <v>18</v>
      </c>
      <c r="J1256" t="s">
        <v>19</v>
      </c>
      <c r="K1256">
        <v>204</v>
      </c>
      <c r="L1256">
        <v>0</v>
      </c>
      <c r="M1256" t="s">
        <v>20</v>
      </c>
    </row>
    <row r="1257" spans="1:13" x14ac:dyDescent="0.35">
      <c r="A1257">
        <v>1256</v>
      </c>
      <c r="B1257">
        <v>583006665</v>
      </c>
      <c r="C1257">
        <v>37960</v>
      </c>
      <c r="D1257" t="s">
        <v>190</v>
      </c>
      <c r="E1257" t="s">
        <v>424</v>
      </c>
      <c r="F1257" t="s">
        <v>191</v>
      </c>
      <c r="G1257" t="s">
        <v>192</v>
      </c>
      <c r="H1257" t="s">
        <v>17</v>
      </c>
      <c r="I1257" t="s">
        <v>18</v>
      </c>
      <c r="J1257" t="s">
        <v>19</v>
      </c>
      <c r="K1257">
        <v>276</v>
      </c>
      <c r="L1257">
        <v>0</v>
      </c>
      <c r="M1257" t="s">
        <v>20</v>
      </c>
    </row>
    <row r="1258" spans="1:13" x14ac:dyDescent="0.35">
      <c r="A1258">
        <v>1257</v>
      </c>
      <c r="B1258">
        <v>583006664</v>
      </c>
      <c r="C1258">
        <v>37959</v>
      </c>
      <c r="D1258" t="s">
        <v>190</v>
      </c>
      <c r="E1258" t="s">
        <v>424</v>
      </c>
      <c r="F1258" t="s">
        <v>191</v>
      </c>
      <c r="G1258" t="s">
        <v>192</v>
      </c>
      <c r="H1258" t="s">
        <v>17</v>
      </c>
      <c r="I1258" t="s">
        <v>18</v>
      </c>
      <c r="J1258" t="s">
        <v>19</v>
      </c>
      <c r="K1258">
        <v>282</v>
      </c>
      <c r="L1258">
        <v>0</v>
      </c>
      <c r="M1258" t="s">
        <v>20</v>
      </c>
    </row>
    <row r="1259" spans="1:13" x14ac:dyDescent="0.35">
      <c r="A1259">
        <v>1258</v>
      </c>
      <c r="B1259">
        <v>583006663</v>
      </c>
      <c r="C1259">
        <v>37952</v>
      </c>
      <c r="D1259" t="s">
        <v>374</v>
      </c>
      <c r="E1259" t="s">
        <v>424</v>
      </c>
      <c r="F1259" t="s">
        <v>375</v>
      </c>
      <c r="G1259" t="s">
        <v>376</v>
      </c>
      <c r="H1259" t="s">
        <v>17</v>
      </c>
      <c r="I1259" t="s">
        <v>18</v>
      </c>
      <c r="J1259" t="s">
        <v>19</v>
      </c>
      <c r="K1259">
        <v>72</v>
      </c>
      <c r="L1259">
        <v>0</v>
      </c>
      <c r="M1259" t="s">
        <v>20</v>
      </c>
    </row>
    <row r="1260" spans="1:13" x14ac:dyDescent="0.35">
      <c r="A1260">
        <v>1259</v>
      </c>
      <c r="B1260">
        <v>583006707</v>
      </c>
      <c r="C1260">
        <v>38013</v>
      </c>
      <c r="D1260" t="s">
        <v>263</v>
      </c>
      <c r="E1260" t="s">
        <v>424</v>
      </c>
      <c r="F1260" t="s">
        <v>264</v>
      </c>
      <c r="G1260" t="s">
        <v>265</v>
      </c>
      <c r="H1260" t="s">
        <v>17</v>
      </c>
      <c r="I1260" t="s">
        <v>63</v>
      </c>
      <c r="J1260" t="s">
        <v>64</v>
      </c>
      <c r="K1260">
        <v>32</v>
      </c>
      <c r="L1260">
        <v>56.64</v>
      </c>
      <c r="M1260" t="s">
        <v>20</v>
      </c>
    </row>
    <row r="1261" spans="1:13" x14ac:dyDescent="0.35">
      <c r="A1261">
        <v>1260</v>
      </c>
      <c r="B1261">
        <v>583006693</v>
      </c>
      <c r="C1261">
        <v>37997</v>
      </c>
      <c r="D1261" t="s">
        <v>136</v>
      </c>
      <c r="E1261" t="s">
        <v>424</v>
      </c>
      <c r="F1261" t="s">
        <v>137</v>
      </c>
      <c r="G1261" t="s">
        <v>138</v>
      </c>
      <c r="H1261" t="s">
        <v>17</v>
      </c>
      <c r="I1261" t="s">
        <v>18</v>
      </c>
      <c r="J1261" t="s">
        <v>19</v>
      </c>
      <c r="K1261">
        <v>432</v>
      </c>
      <c r="L1261">
        <v>0</v>
      </c>
      <c r="M1261" t="s">
        <v>20</v>
      </c>
    </row>
    <row r="1262" spans="1:13" x14ac:dyDescent="0.35">
      <c r="A1262">
        <v>1261</v>
      </c>
      <c r="B1262">
        <v>583006693</v>
      </c>
      <c r="C1262">
        <v>37997</v>
      </c>
      <c r="D1262" t="s">
        <v>136</v>
      </c>
      <c r="E1262" t="s">
        <v>424</v>
      </c>
      <c r="F1262" t="s">
        <v>137</v>
      </c>
      <c r="G1262" t="s">
        <v>138</v>
      </c>
      <c r="H1262" t="s">
        <v>17</v>
      </c>
      <c r="I1262" t="s">
        <v>18</v>
      </c>
      <c r="J1262" t="s">
        <v>19</v>
      </c>
      <c r="K1262">
        <v>1275</v>
      </c>
      <c r="L1262">
        <v>0</v>
      </c>
      <c r="M1262" t="s">
        <v>20</v>
      </c>
    </row>
    <row r="1263" spans="1:13" x14ac:dyDescent="0.35">
      <c r="A1263">
        <v>1262</v>
      </c>
      <c r="B1263">
        <v>583006663</v>
      </c>
      <c r="C1263">
        <v>37952</v>
      </c>
      <c r="D1263" t="s">
        <v>374</v>
      </c>
      <c r="E1263" t="s">
        <v>424</v>
      </c>
      <c r="F1263" t="s">
        <v>375</v>
      </c>
      <c r="G1263" t="s">
        <v>376</v>
      </c>
      <c r="H1263" t="s">
        <v>17</v>
      </c>
      <c r="I1263" t="s">
        <v>18</v>
      </c>
      <c r="J1263" t="s">
        <v>19</v>
      </c>
      <c r="K1263">
        <v>270</v>
      </c>
      <c r="L1263">
        <v>0</v>
      </c>
      <c r="M1263" t="s">
        <v>20</v>
      </c>
    </row>
    <row r="1264" spans="1:13" x14ac:dyDescent="0.35">
      <c r="A1264">
        <v>1263</v>
      </c>
      <c r="B1264">
        <v>583006662</v>
      </c>
      <c r="C1264">
        <v>37951</v>
      </c>
      <c r="D1264" t="s">
        <v>374</v>
      </c>
      <c r="E1264" t="s">
        <v>424</v>
      </c>
      <c r="F1264" t="s">
        <v>375</v>
      </c>
      <c r="G1264" t="s">
        <v>376</v>
      </c>
      <c r="H1264" t="s">
        <v>17</v>
      </c>
      <c r="I1264" t="s">
        <v>18</v>
      </c>
      <c r="J1264" t="s">
        <v>19</v>
      </c>
      <c r="K1264">
        <v>84</v>
      </c>
      <c r="L1264">
        <v>0</v>
      </c>
      <c r="M1264" t="s">
        <v>20</v>
      </c>
    </row>
    <row r="1265" spans="1:13" x14ac:dyDescent="0.35">
      <c r="A1265">
        <v>1264</v>
      </c>
      <c r="B1265">
        <v>583006677</v>
      </c>
      <c r="C1265">
        <v>37980</v>
      </c>
      <c r="D1265" t="s">
        <v>159</v>
      </c>
      <c r="E1265" t="s">
        <v>424</v>
      </c>
      <c r="F1265" t="s">
        <v>160</v>
      </c>
      <c r="G1265" t="s">
        <v>161</v>
      </c>
      <c r="H1265" t="s">
        <v>17</v>
      </c>
      <c r="I1265" t="s">
        <v>18</v>
      </c>
      <c r="J1265" t="s">
        <v>19</v>
      </c>
      <c r="K1265">
        <v>60</v>
      </c>
      <c r="L1265">
        <v>0</v>
      </c>
      <c r="M1265" t="s">
        <v>20</v>
      </c>
    </row>
    <row r="1266" spans="1:13" x14ac:dyDescent="0.35">
      <c r="A1266">
        <v>1265</v>
      </c>
      <c r="B1266">
        <v>583006685</v>
      </c>
      <c r="C1266">
        <v>37988</v>
      </c>
      <c r="D1266" t="s">
        <v>113</v>
      </c>
      <c r="E1266" t="s">
        <v>424</v>
      </c>
      <c r="F1266" t="s">
        <v>114</v>
      </c>
      <c r="G1266" t="s">
        <v>115</v>
      </c>
      <c r="H1266" t="s">
        <v>17</v>
      </c>
      <c r="I1266" t="s">
        <v>18</v>
      </c>
      <c r="J1266" t="s">
        <v>19</v>
      </c>
      <c r="K1266">
        <v>45</v>
      </c>
      <c r="L1266">
        <v>0</v>
      </c>
      <c r="M1266" t="s">
        <v>20</v>
      </c>
    </row>
    <row r="1267" spans="1:13" x14ac:dyDescent="0.35">
      <c r="A1267">
        <v>1266</v>
      </c>
      <c r="B1267">
        <v>583006679</v>
      </c>
      <c r="C1267">
        <v>37982</v>
      </c>
      <c r="D1267" t="s">
        <v>226</v>
      </c>
      <c r="E1267" t="s">
        <v>424</v>
      </c>
      <c r="F1267" t="s">
        <v>227</v>
      </c>
      <c r="G1267" t="s">
        <v>228</v>
      </c>
      <c r="H1267" t="s">
        <v>17</v>
      </c>
      <c r="I1267" t="s">
        <v>18</v>
      </c>
      <c r="J1267" t="s">
        <v>19</v>
      </c>
      <c r="K1267">
        <v>36</v>
      </c>
      <c r="L1267">
        <v>0</v>
      </c>
      <c r="M1267" t="s">
        <v>20</v>
      </c>
    </row>
    <row r="1268" spans="1:13" x14ac:dyDescent="0.35">
      <c r="A1268">
        <v>1267</v>
      </c>
      <c r="B1268">
        <v>583006680</v>
      </c>
      <c r="C1268">
        <v>37983</v>
      </c>
      <c r="D1268" t="s">
        <v>68</v>
      </c>
      <c r="E1268" t="s">
        <v>424</v>
      </c>
      <c r="F1268" t="s">
        <v>69</v>
      </c>
      <c r="G1268" t="s">
        <v>70</v>
      </c>
      <c r="H1268" t="s">
        <v>17</v>
      </c>
      <c r="I1268" t="s">
        <v>18</v>
      </c>
      <c r="J1268" t="s">
        <v>19</v>
      </c>
      <c r="K1268">
        <v>18</v>
      </c>
      <c r="L1268">
        <v>0</v>
      </c>
      <c r="M1268" t="s">
        <v>20</v>
      </c>
    </row>
    <row r="1269" spans="1:13" x14ac:dyDescent="0.35">
      <c r="A1269">
        <v>1268</v>
      </c>
      <c r="B1269">
        <v>583006732</v>
      </c>
      <c r="C1269">
        <v>38048</v>
      </c>
      <c r="D1269" t="s">
        <v>122</v>
      </c>
      <c r="E1269" t="s">
        <v>424</v>
      </c>
      <c r="F1269" t="s">
        <v>123</v>
      </c>
      <c r="G1269" t="s">
        <v>124</v>
      </c>
      <c r="H1269" t="s">
        <v>17</v>
      </c>
      <c r="I1269" t="s">
        <v>24</v>
      </c>
      <c r="J1269" t="s">
        <v>25</v>
      </c>
      <c r="K1269">
        <v>4</v>
      </c>
      <c r="L1269">
        <v>0</v>
      </c>
      <c r="M1269" t="s">
        <v>20</v>
      </c>
    </row>
    <row r="1270" spans="1:13" x14ac:dyDescent="0.35">
      <c r="A1270">
        <v>1269</v>
      </c>
      <c r="B1270">
        <v>583006713</v>
      </c>
      <c r="C1270">
        <v>38019</v>
      </c>
      <c r="D1270" t="s">
        <v>122</v>
      </c>
      <c r="E1270" t="s">
        <v>424</v>
      </c>
      <c r="F1270" t="s">
        <v>123</v>
      </c>
      <c r="G1270" t="s">
        <v>124</v>
      </c>
      <c r="H1270" t="s">
        <v>17</v>
      </c>
      <c r="I1270" t="s">
        <v>18</v>
      </c>
      <c r="J1270" t="s">
        <v>19</v>
      </c>
      <c r="K1270">
        <v>1209</v>
      </c>
      <c r="L1270">
        <v>0</v>
      </c>
      <c r="M1270" t="s">
        <v>20</v>
      </c>
    </row>
    <row r="1271" spans="1:13" x14ac:dyDescent="0.35">
      <c r="A1271">
        <v>1270</v>
      </c>
      <c r="B1271">
        <v>583006686</v>
      </c>
      <c r="C1271">
        <v>37989</v>
      </c>
      <c r="D1271" t="s">
        <v>39</v>
      </c>
      <c r="E1271" t="s">
        <v>424</v>
      </c>
      <c r="F1271" t="s">
        <v>40</v>
      </c>
      <c r="G1271" t="s">
        <v>41</v>
      </c>
      <c r="H1271" t="s">
        <v>17</v>
      </c>
      <c r="I1271" t="s">
        <v>18</v>
      </c>
      <c r="J1271" t="s">
        <v>19</v>
      </c>
      <c r="K1271">
        <v>15</v>
      </c>
      <c r="L1271">
        <v>0</v>
      </c>
      <c r="M1271" t="s">
        <v>20</v>
      </c>
    </row>
    <row r="1272" spans="1:13" x14ac:dyDescent="0.35">
      <c r="A1272">
        <v>1271</v>
      </c>
      <c r="B1272">
        <v>583006687</v>
      </c>
      <c r="C1272">
        <v>37990</v>
      </c>
      <c r="D1272" t="s">
        <v>98</v>
      </c>
      <c r="E1272" t="s">
        <v>424</v>
      </c>
      <c r="F1272" t="s">
        <v>99</v>
      </c>
      <c r="G1272" t="s">
        <v>100</v>
      </c>
      <c r="H1272" t="s">
        <v>17</v>
      </c>
      <c r="I1272" t="s">
        <v>18</v>
      </c>
      <c r="J1272" t="s">
        <v>19</v>
      </c>
      <c r="K1272">
        <v>15</v>
      </c>
      <c r="L1272">
        <v>0</v>
      </c>
      <c r="M1272" t="s">
        <v>20</v>
      </c>
    </row>
    <row r="1273" spans="1:13" x14ac:dyDescent="0.35">
      <c r="A1273">
        <v>1272</v>
      </c>
      <c r="B1273">
        <v>583006684</v>
      </c>
      <c r="C1273">
        <v>37987</v>
      </c>
      <c r="D1273" t="s">
        <v>71</v>
      </c>
      <c r="E1273" t="s">
        <v>424</v>
      </c>
      <c r="F1273" t="s">
        <v>72</v>
      </c>
      <c r="G1273" t="s">
        <v>73</v>
      </c>
      <c r="H1273" t="s">
        <v>17</v>
      </c>
      <c r="I1273" t="s">
        <v>18</v>
      </c>
      <c r="J1273" t="s">
        <v>19</v>
      </c>
      <c r="K1273">
        <v>12</v>
      </c>
      <c r="L1273">
        <v>0</v>
      </c>
      <c r="M1273" t="s">
        <v>20</v>
      </c>
    </row>
    <row r="1274" spans="1:13" x14ac:dyDescent="0.35">
      <c r="A1274">
        <v>1273</v>
      </c>
      <c r="B1274">
        <v>583006735</v>
      </c>
      <c r="C1274">
        <v>38051</v>
      </c>
      <c r="D1274" t="s">
        <v>431</v>
      </c>
      <c r="E1274" t="s">
        <v>424</v>
      </c>
      <c r="F1274" t="s">
        <v>432</v>
      </c>
      <c r="G1274" t="s">
        <v>433</v>
      </c>
      <c r="H1274" t="s">
        <v>17</v>
      </c>
      <c r="I1274" t="s">
        <v>35</v>
      </c>
      <c r="J1274" t="s">
        <v>25</v>
      </c>
      <c r="K1274">
        <v>7</v>
      </c>
      <c r="L1274">
        <v>0</v>
      </c>
      <c r="M1274" t="s">
        <v>20</v>
      </c>
    </row>
    <row r="1275" spans="1:13" x14ac:dyDescent="0.35">
      <c r="A1275">
        <v>1274</v>
      </c>
      <c r="B1275">
        <v>583006678</v>
      </c>
      <c r="C1275">
        <v>37981</v>
      </c>
      <c r="D1275" t="s">
        <v>226</v>
      </c>
      <c r="E1275" t="s">
        <v>424</v>
      </c>
      <c r="F1275" t="s">
        <v>227</v>
      </c>
      <c r="G1275" t="s">
        <v>228</v>
      </c>
      <c r="H1275" t="s">
        <v>17</v>
      </c>
      <c r="I1275" t="s">
        <v>18</v>
      </c>
      <c r="J1275" t="s">
        <v>19</v>
      </c>
      <c r="K1275">
        <v>9</v>
      </c>
      <c r="L1275">
        <v>0</v>
      </c>
      <c r="M1275" t="s">
        <v>20</v>
      </c>
    </row>
    <row r="1276" spans="1:13" x14ac:dyDescent="0.35">
      <c r="A1276">
        <v>1275</v>
      </c>
      <c r="B1276">
        <v>583006734</v>
      </c>
      <c r="C1276">
        <v>38050</v>
      </c>
      <c r="D1276" t="s">
        <v>431</v>
      </c>
      <c r="E1276" t="s">
        <v>424</v>
      </c>
      <c r="F1276" t="s">
        <v>432</v>
      </c>
      <c r="G1276" t="s">
        <v>433</v>
      </c>
      <c r="H1276" t="s">
        <v>17</v>
      </c>
      <c r="I1276" t="s">
        <v>18</v>
      </c>
      <c r="J1276" t="s">
        <v>19</v>
      </c>
      <c r="K1276">
        <v>468</v>
      </c>
      <c r="L1276">
        <v>0</v>
      </c>
      <c r="M1276" t="s">
        <v>20</v>
      </c>
    </row>
    <row r="1277" spans="1:13" x14ac:dyDescent="0.35">
      <c r="A1277">
        <v>1276</v>
      </c>
      <c r="B1277">
        <v>583006734</v>
      </c>
      <c r="C1277">
        <v>38050</v>
      </c>
      <c r="D1277" t="s">
        <v>431</v>
      </c>
      <c r="E1277" t="s">
        <v>424</v>
      </c>
      <c r="F1277" t="s">
        <v>432</v>
      </c>
      <c r="G1277" t="s">
        <v>433</v>
      </c>
      <c r="H1277" t="s">
        <v>17</v>
      </c>
      <c r="I1277" t="s">
        <v>18</v>
      </c>
      <c r="J1277" t="s">
        <v>19</v>
      </c>
      <c r="K1277">
        <v>981</v>
      </c>
      <c r="L1277">
        <v>0</v>
      </c>
      <c r="M1277" t="s">
        <v>20</v>
      </c>
    </row>
    <row r="1278" spans="1:13" x14ac:dyDescent="0.35">
      <c r="A1278">
        <v>1277</v>
      </c>
      <c r="B1278">
        <v>583006739</v>
      </c>
      <c r="C1278">
        <v>38056</v>
      </c>
      <c r="D1278" t="s">
        <v>314</v>
      </c>
      <c r="E1278" t="s">
        <v>424</v>
      </c>
      <c r="F1278" t="s">
        <v>315</v>
      </c>
      <c r="G1278" t="s">
        <v>316</v>
      </c>
      <c r="H1278" t="s">
        <v>17</v>
      </c>
      <c r="I1278" t="s">
        <v>18</v>
      </c>
      <c r="J1278" t="s">
        <v>19</v>
      </c>
      <c r="K1278">
        <v>216</v>
      </c>
      <c r="L1278">
        <v>0</v>
      </c>
      <c r="M1278" t="s">
        <v>20</v>
      </c>
    </row>
    <row r="1279" spans="1:13" x14ac:dyDescent="0.35">
      <c r="A1279">
        <v>1278</v>
      </c>
      <c r="B1279">
        <v>583006739</v>
      </c>
      <c r="C1279">
        <v>38056</v>
      </c>
      <c r="D1279" t="s">
        <v>314</v>
      </c>
      <c r="E1279" t="s">
        <v>424</v>
      </c>
      <c r="F1279" t="s">
        <v>315</v>
      </c>
      <c r="G1279" t="s">
        <v>316</v>
      </c>
      <c r="H1279" t="s">
        <v>17</v>
      </c>
      <c r="I1279" t="s">
        <v>18</v>
      </c>
      <c r="J1279" t="s">
        <v>19</v>
      </c>
      <c r="K1279">
        <v>729</v>
      </c>
      <c r="L1279">
        <v>0</v>
      </c>
      <c r="M1279" t="s">
        <v>20</v>
      </c>
    </row>
    <row r="1280" spans="1:13" x14ac:dyDescent="0.35">
      <c r="A1280">
        <v>1279</v>
      </c>
      <c r="B1280">
        <v>583006739</v>
      </c>
      <c r="C1280">
        <v>38056</v>
      </c>
      <c r="D1280" t="s">
        <v>314</v>
      </c>
      <c r="E1280" t="s">
        <v>424</v>
      </c>
      <c r="F1280" t="s">
        <v>315</v>
      </c>
      <c r="G1280" t="s">
        <v>316</v>
      </c>
      <c r="H1280" t="s">
        <v>17</v>
      </c>
      <c r="I1280" t="s">
        <v>18</v>
      </c>
      <c r="J1280" t="s">
        <v>19</v>
      </c>
      <c r="K1280">
        <v>2859</v>
      </c>
      <c r="L1280">
        <v>0</v>
      </c>
      <c r="M1280" t="s">
        <v>20</v>
      </c>
    </row>
    <row r="1281" spans="1:13" x14ac:dyDescent="0.35">
      <c r="A1281">
        <v>1280</v>
      </c>
      <c r="B1281">
        <v>583006746</v>
      </c>
      <c r="C1281">
        <v>38065</v>
      </c>
      <c r="D1281" t="s">
        <v>125</v>
      </c>
      <c r="E1281" t="s">
        <v>424</v>
      </c>
      <c r="F1281" t="s">
        <v>127</v>
      </c>
      <c r="G1281" t="s">
        <v>128</v>
      </c>
      <c r="H1281" t="s">
        <v>17</v>
      </c>
      <c r="I1281" t="s">
        <v>24</v>
      </c>
      <c r="J1281" t="s">
        <v>25</v>
      </c>
      <c r="K1281">
        <v>30</v>
      </c>
      <c r="L1281">
        <v>0</v>
      </c>
      <c r="M1281" t="s">
        <v>20</v>
      </c>
    </row>
    <row r="1282" spans="1:13" x14ac:dyDescent="0.35">
      <c r="A1282">
        <v>1281</v>
      </c>
      <c r="B1282">
        <v>583006745</v>
      </c>
      <c r="C1282">
        <v>38064</v>
      </c>
      <c r="D1282" t="s">
        <v>125</v>
      </c>
      <c r="E1282" t="s">
        <v>424</v>
      </c>
      <c r="F1282" t="s">
        <v>127</v>
      </c>
      <c r="G1282" t="s">
        <v>128</v>
      </c>
      <c r="H1282" t="s">
        <v>17</v>
      </c>
      <c r="I1282" t="s">
        <v>18</v>
      </c>
      <c r="J1282" t="s">
        <v>19</v>
      </c>
      <c r="K1282">
        <v>333</v>
      </c>
      <c r="L1282">
        <v>0</v>
      </c>
      <c r="M1282" t="s">
        <v>20</v>
      </c>
    </row>
    <row r="1283" spans="1:13" x14ac:dyDescent="0.35">
      <c r="A1283">
        <v>1282</v>
      </c>
      <c r="B1283">
        <v>583006745</v>
      </c>
      <c r="C1283">
        <v>38064</v>
      </c>
      <c r="D1283" t="s">
        <v>125</v>
      </c>
      <c r="E1283" t="s">
        <v>424</v>
      </c>
      <c r="F1283" t="s">
        <v>127</v>
      </c>
      <c r="G1283" t="s">
        <v>128</v>
      </c>
      <c r="H1283" t="s">
        <v>17</v>
      </c>
      <c r="I1283" t="s">
        <v>18</v>
      </c>
      <c r="J1283" t="s">
        <v>19</v>
      </c>
      <c r="K1283">
        <v>1140</v>
      </c>
      <c r="L1283">
        <v>0</v>
      </c>
      <c r="M1283" t="s">
        <v>20</v>
      </c>
    </row>
    <row r="1284" spans="1:13" x14ac:dyDescent="0.35">
      <c r="A1284">
        <v>1283</v>
      </c>
      <c r="B1284">
        <v>583006745</v>
      </c>
      <c r="C1284">
        <v>38064</v>
      </c>
      <c r="D1284" t="s">
        <v>125</v>
      </c>
      <c r="E1284" t="s">
        <v>424</v>
      </c>
      <c r="F1284" t="s">
        <v>127</v>
      </c>
      <c r="G1284" t="s">
        <v>128</v>
      </c>
      <c r="H1284" t="s">
        <v>17</v>
      </c>
      <c r="I1284" t="s">
        <v>18</v>
      </c>
      <c r="J1284" t="s">
        <v>19</v>
      </c>
      <c r="K1284">
        <v>927</v>
      </c>
      <c r="L1284">
        <v>0</v>
      </c>
      <c r="M1284" t="s">
        <v>20</v>
      </c>
    </row>
    <row r="1285" spans="1:13" x14ac:dyDescent="0.35">
      <c r="A1285">
        <v>1284</v>
      </c>
      <c r="B1285">
        <v>583006745</v>
      </c>
      <c r="C1285">
        <v>38064</v>
      </c>
      <c r="D1285" t="s">
        <v>125</v>
      </c>
      <c r="E1285" t="s">
        <v>424</v>
      </c>
      <c r="F1285" t="s">
        <v>127</v>
      </c>
      <c r="G1285" t="s">
        <v>128</v>
      </c>
      <c r="H1285" t="s">
        <v>17</v>
      </c>
      <c r="I1285" t="s">
        <v>18</v>
      </c>
      <c r="J1285" t="s">
        <v>19</v>
      </c>
      <c r="K1285">
        <v>1416</v>
      </c>
      <c r="L1285">
        <v>0</v>
      </c>
      <c r="M1285" t="s">
        <v>20</v>
      </c>
    </row>
    <row r="1286" spans="1:13" x14ac:dyDescent="0.35">
      <c r="A1286">
        <v>1285</v>
      </c>
      <c r="B1286">
        <v>583006741</v>
      </c>
      <c r="C1286">
        <v>38059</v>
      </c>
      <c r="D1286" t="s">
        <v>314</v>
      </c>
      <c r="E1286" t="s">
        <v>424</v>
      </c>
      <c r="F1286" t="s">
        <v>315</v>
      </c>
      <c r="G1286" t="s">
        <v>316</v>
      </c>
      <c r="H1286" t="s">
        <v>17</v>
      </c>
      <c r="I1286" t="s">
        <v>24</v>
      </c>
      <c r="J1286" t="s">
        <v>25</v>
      </c>
      <c r="K1286">
        <v>40</v>
      </c>
      <c r="L1286">
        <v>0</v>
      </c>
      <c r="M1286" t="s">
        <v>20</v>
      </c>
    </row>
    <row r="1287" spans="1:13" x14ac:dyDescent="0.35">
      <c r="A1287">
        <v>1286</v>
      </c>
      <c r="B1287">
        <v>583006671</v>
      </c>
      <c r="C1287">
        <v>37974</v>
      </c>
      <c r="D1287" t="s">
        <v>110</v>
      </c>
      <c r="E1287" t="s">
        <v>424</v>
      </c>
      <c r="F1287" t="s">
        <v>111</v>
      </c>
      <c r="G1287" t="s">
        <v>112</v>
      </c>
      <c r="H1287" t="s">
        <v>17</v>
      </c>
      <c r="I1287" t="s">
        <v>24</v>
      </c>
      <c r="J1287" t="s">
        <v>74</v>
      </c>
      <c r="K1287">
        <v>1</v>
      </c>
      <c r="L1287">
        <v>0</v>
      </c>
      <c r="M1287" t="s">
        <v>20</v>
      </c>
    </row>
    <row r="1288" spans="1:13" x14ac:dyDescent="0.35">
      <c r="A1288">
        <v>1287</v>
      </c>
      <c r="B1288">
        <v>583006671</v>
      </c>
      <c r="C1288">
        <v>37974</v>
      </c>
      <c r="D1288" t="s">
        <v>110</v>
      </c>
      <c r="E1288" t="s">
        <v>424</v>
      </c>
      <c r="F1288" t="s">
        <v>111</v>
      </c>
      <c r="G1288" t="s">
        <v>112</v>
      </c>
      <c r="H1288" t="s">
        <v>17</v>
      </c>
      <c r="I1288" t="s">
        <v>24</v>
      </c>
      <c r="J1288" t="s">
        <v>25</v>
      </c>
      <c r="K1288">
        <v>1</v>
      </c>
      <c r="L1288">
        <v>0</v>
      </c>
      <c r="M1288" t="s">
        <v>20</v>
      </c>
    </row>
    <row r="1289" spans="1:13" x14ac:dyDescent="0.35">
      <c r="A1289">
        <v>1288</v>
      </c>
      <c r="B1289">
        <v>583006708</v>
      </c>
      <c r="C1289">
        <v>38014</v>
      </c>
      <c r="D1289" t="s">
        <v>162</v>
      </c>
      <c r="E1289" t="s">
        <v>424</v>
      </c>
      <c r="F1289" t="s">
        <v>163</v>
      </c>
      <c r="G1289" t="s">
        <v>164</v>
      </c>
      <c r="H1289" t="s">
        <v>17</v>
      </c>
      <c r="I1289" t="s">
        <v>18</v>
      </c>
      <c r="J1289" t="s">
        <v>19</v>
      </c>
      <c r="K1289">
        <v>972</v>
      </c>
      <c r="L1289">
        <v>0</v>
      </c>
      <c r="M1289" t="s">
        <v>20</v>
      </c>
    </row>
    <row r="1290" spans="1:13" x14ac:dyDescent="0.35">
      <c r="A1290">
        <v>1289</v>
      </c>
      <c r="B1290">
        <v>583006681</v>
      </c>
      <c r="C1290">
        <v>37984</v>
      </c>
      <c r="D1290" t="s">
        <v>92</v>
      </c>
      <c r="E1290" t="s">
        <v>424</v>
      </c>
      <c r="F1290" t="s">
        <v>93</v>
      </c>
      <c r="G1290" t="s">
        <v>94</v>
      </c>
      <c r="H1290" t="s">
        <v>17</v>
      </c>
      <c r="I1290" t="s">
        <v>18</v>
      </c>
      <c r="J1290" t="s">
        <v>19</v>
      </c>
      <c r="K1290">
        <v>144</v>
      </c>
      <c r="L1290">
        <v>0</v>
      </c>
      <c r="M1290" t="s">
        <v>20</v>
      </c>
    </row>
    <row r="1291" spans="1:13" x14ac:dyDescent="0.35">
      <c r="A1291">
        <v>1290</v>
      </c>
      <c r="B1291">
        <v>583006708</v>
      </c>
      <c r="C1291">
        <v>38014</v>
      </c>
      <c r="D1291" t="s">
        <v>162</v>
      </c>
      <c r="E1291" t="s">
        <v>424</v>
      </c>
      <c r="F1291" t="s">
        <v>163</v>
      </c>
      <c r="G1291" t="s">
        <v>164</v>
      </c>
      <c r="H1291" t="s">
        <v>17</v>
      </c>
      <c r="I1291" t="s">
        <v>18</v>
      </c>
      <c r="J1291" t="s">
        <v>19</v>
      </c>
      <c r="K1291">
        <v>531</v>
      </c>
      <c r="L1291">
        <v>0</v>
      </c>
      <c r="M1291" t="s">
        <v>20</v>
      </c>
    </row>
    <row r="1292" spans="1:13" x14ac:dyDescent="0.35">
      <c r="A1292">
        <v>1291</v>
      </c>
      <c r="B1292">
        <v>583006683</v>
      </c>
      <c r="C1292">
        <v>37986</v>
      </c>
      <c r="D1292" t="s">
        <v>98</v>
      </c>
      <c r="E1292" t="s">
        <v>424</v>
      </c>
      <c r="F1292" t="s">
        <v>99</v>
      </c>
      <c r="G1292" t="s">
        <v>100</v>
      </c>
      <c r="H1292" t="s">
        <v>17</v>
      </c>
      <c r="I1292" t="s">
        <v>18</v>
      </c>
      <c r="J1292" t="s">
        <v>19</v>
      </c>
      <c r="K1292">
        <v>90</v>
      </c>
      <c r="L1292">
        <v>0</v>
      </c>
      <c r="M1292" t="s">
        <v>20</v>
      </c>
    </row>
    <row r="1293" spans="1:13" x14ac:dyDescent="0.35">
      <c r="A1293">
        <v>1292</v>
      </c>
      <c r="B1293">
        <v>583006709</v>
      </c>
      <c r="C1293">
        <v>38015</v>
      </c>
      <c r="D1293" t="s">
        <v>162</v>
      </c>
      <c r="E1293" t="s">
        <v>424</v>
      </c>
      <c r="F1293" t="s">
        <v>163</v>
      </c>
      <c r="G1293" t="s">
        <v>164</v>
      </c>
      <c r="H1293" t="s">
        <v>17</v>
      </c>
      <c r="I1293" t="s">
        <v>35</v>
      </c>
      <c r="J1293" t="s">
        <v>25</v>
      </c>
      <c r="K1293">
        <v>12</v>
      </c>
      <c r="L1293">
        <v>0</v>
      </c>
      <c r="M1293" t="s">
        <v>20</v>
      </c>
    </row>
    <row r="1294" spans="1:13" x14ac:dyDescent="0.35">
      <c r="A1294">
        <v>1293</v>
      </c>
      <c r="B1294">
        <v>583006719</v>
      </c>
      <c r="C1294">
        <v>38027</v>
      </c>
      <c r="E1294" t="s">
        <v>424</v>
      </c>
      <c r="F1294" t="s">
        <v>142</v>
      </c>
      <c r="G1294" t="s">
        <v>143</v>
      </c>
      <c r="H1294" t="s">
        <v>17</v>
      </c>
      <c r="I1294" t="s">
        <v>24</v>
      </c>
      <c r="J1294" t="s">
        <v>25</v>
      </c>
      <c r="K1294">
        <v>10</v>
      </c>
      <c r="L1294">
        <v>0</v>
      </c>
      <c r="M1294" t="s">
        <v>20</v>
      </c>
    </row>
    <row r="1295" spans="1:13" x14ac:dyDescent="0.35">
      <c r="A1295">
        <v>1294</v>
      </c>
      <c r="B1295">
        <v>583006729</v>
      </c>
      <c r="C1295">
        <v>38044</v>
      </c>
      <c r="D1295" t="s">
        <v>45</v>
      </c>
      <c r="E1295" t="s">
        <v>424</v>
      </c>
      <c r="F1295" t="s">
        <v>46</v>
      </c>
      <c r="G1295" t="s">
        <v>47</v>
      </c>
      <c r="H1295" t="s">
        <v>17</v>
      </c>
      <c r="I1295" t="s">
        <v>18</v>
      </c>
      <c r="J1295" t="s">
        <v>19</v>
      </c>
      <c r="K1295">
        <v>144</v>
      </c>
      <c r="L1295">
        <v>0</v>
      </c>
      <c r="M1295" t="s">
        <v>20</v>
      </c>
    </row>
    <row r="1296" spans="1:13" x14ac:dyDescent="0.35">
      <c r="A1296">
        <v>1295</v>
      </c>
      <c r="B1296">
        <v>583006682</v>
      </c>
      <c r="C1296">
        <v>37985</v>
      </c>
      <c r="D1296" t="s">
        <v>92</v>
      </c>
      <c r="E1296" t="s">
        <v>424</v>
      </c>
      <c r="F1296" t="s">
        <v>93</v>
      </c>
      <c r="G1296" t="s">
        <v>94</v>
      </c>
      <c r="H1296" t="s">
        <v>17</v>
      </c>
      <c r="I1296" t="s">
        <v>18</v>
      </c>
      <c r="J1296" t="s">
        <v>19</v>
      </c>
      <c r="K1296">
        <v>72</v>
      </c>
      <c r="L1296">
        <v>0</v>
      </c>
      <c r="M1296" t="s">
        <v>20</v>
      </c>
    </row>
    <row r="1297" spans="1:13" x14ac:dyDescent="0.35">
      <c r="A1297">
        <v>1296</v>
      </c>
      <c r="B1297">
        <v>583006723</v>
      </c>
      <c r="C1297">
        <v>38037</v>
      </c>
      <c r="D1297" t="s">
        <v>334</v>
      </c>
      <c r="E1297" t="s">
        <v>424</v>
      </c>
      <c r="F1297" t="s">
        <v>335</v>
      </c>
      <c r="G1297" t="s">
        <v>336</v>
      </c>
      <c r="H1297" t="s">
        <v>17</v>
      </c>
      <c r="I1297" t="s">
        <v>18</v>
      </c>
      <c r="J1297" t="s">
        <v>19</v>
      </c>
      <c r="K1297">
        <v>1827</v>
      </c>
      <c r="L1297">
        <v>0</v>
      </c>
      <c r="M1297" t="s">
        <v>20</v>
      </c>
    </row>
    <row r="1298" spans="1:13" x14ac:dyDescent="0.35">
      <c r="A1298">
        <v>1297</v>
      </c>
      <c r="B1298">
        <v>583006675</v>
      </c>
      <c r="C1298">
        <v>37978</v>
      </c>
      <c r="D1298" t="s">
        <v>209</v>
      </c>
      <c r="E1298" t="s">
        <v>424</v>
      </c>
      <c r="F1298" t="s">
        <v>210</v>
      </c>
      <c r="G1298" t="s">
        <v>211</v>
      </c>
      <c r="H1298" t="s">
        <v>17</v>
      </c>
      <c r="I1298" t="s">
        <v>18</v>
      </c>
      <c r="J1298" t="s">
        <v>19</v>
      </c>
      <c r="K1298">
        <v>60</v>
      </c>
      <c r="L1298">
        <v>0</v>
      </c>
      <c r="M1298" t="s">
        <v>20</v>
      </c>
    </row>
    <row r="1299" spans="1:13" x14ac:dyDescent="0.35">
      <c r="A1299">
        <v>1298</v>
      </c>
      <c r="B1299">
        <v>583006676</v>
      </c>
      <c r="C1299">
        <v>37979</v>
      </c>
      <c r="D1299" t="s">
        <v>209</v>
      </c>
      <c r="E1299" t="s">
        <v>424</v>
      </c>
      <c r="F1299" t="s">
        <v>210</v>
      </c>
      <c r="G1299" t="s">
        <v>211</v>
      </c>
      <c r="H1299" t="s">
        <v>17</v>
      </c>
      <c r="I1299" t="s">
        <v>135</v>
      </c>
      <c r="J1299" t="s">
        <v>19</v>
      </c>
      <c r="K1299">
        <v>300</v>
      </c>
      <c r="L1299">
        <v>0</v>
      </c>
      <c r="M1299" t="s">
        <v>20</v>
      </c>
    </row>
    <row r="1300" spans="1:13" x14ac:dyDescent="0.35">
      <c r="A1300">
        <v>1299</v>
      </c>
      <c r="B1300">
        <v>583006807</v>
      </c>
      <c r="C1300">
        <v>38152</v>
      </c>
      <c r="D1300" t="s">
        <v>48</v>
      </c>
      <c r="E1300" t="s">
        <v>434</v>
      </c>
      <c r="F1300" t="s">
        <v>49</v>
      </c>
      <c r="G1300" t="s">
        <v>50</v>
      </c>
      <c r="H1300" t="s">
        <v>17</v>
      </c>
      <c r="I1300" t="s">
        <v>18</v>
      </c>
      <c r="J1300" t="s">
        <v>19</v>
      </c>
      <c r="K1300">
        <v>3303</v>
      </c>
      <c r="L1300">
        <v>0</v>
      </c>
      <c r="M1300" t="s">
        <v>20</v>
      </c>
    </row>
    <row r="1301" spans="1:13" x14ac:dyDescent="0.35">
      <c r="A1301">
        <v>1300</v>
      </c>
      <c r="B1301">
        <v>583006808</v>
      </c>
      <c r="C1301">
        <v>38154</v>
      </c>
      <c r="D1301" t="s">
        <v>48</v>
      </c>
      <c r="E1301" t="s">
        <v>434</v>
      </c>
      <c r="F1301" t="s">
        <v>49</v>
      </c>
      <c r="G1301" t="s">
        <v>50</v>
      </c>
      <c r="H1301" t="s">
        <v>17</v>
      </c>
      <c r="I1301" t="s">
        <v>135</v>
      </c>
      <c r="J1301" t="s">
        <v>19</v>
      </c>
      <c r="K1301">
        <v>240</v>
      </c>
      <c r="L1301">
        <v>0</v>
      </c>
      <c r="M1301" t="s">
        <v>20</v>
      </c>
    </row>
    <row r="1302" spans="1:13" x14ac:dyDescent="0.35">
      <c r="A1302">
        <v>1301</v>
      </c>
      <c r="B1302">
        <v>583006811</v>
      </c>
      <c r="C1302">
        <v>38158</v>
      </c>
      <c r="D1302" t="s">
        <v>435</v>
      </c>
      <c r="E1302" t="s">
        <v>434</v>
      </c>
      <c r="F1302" t="s">
        <v>436</v>
      </c>
      <c r="G1302" t="s">
        <v>437</v>
      </c>
      <c r="H1302" t="s">
        <v>17</v>
      </c>
      <c r="I1302" t="s">
        <v>18</v>
      </c>
      <c r="J1302" t="s">
        <v>19</v>
      </c>
      <c r="K1302">
        <v>9</v>
      </c>
      <c r="L1302">
        <v>0</v>
      </c>
      <c r="M1302" t="s">
        <v>20</v>
      </c>
    </row>
    <row r="1303" spans="1:13" x14ac:dyDescent="0.35">
      <c r="A1303">
        <v>1302</v>
      </c>
      <c r="B1303">
        <v>583006807</v>
      </c>
      <c r="C1303">
        <v>38152</v>
      </c>
      <c r="D1303" t="s">
        <v>48</v>
      </c>
      <c r="E1303" t="s">
        <v>434</v>
      </c>
      <c r="F1303" t="s">
        <v>49</v>
      </c>
      <c r="G1303" t="s">
        <v>50</v>
      </c>
      <c r="H1303" t="s">
        <v>17</v>
      </c>
      <c r="I1303" t="s">
        <v>18</v>
      </c>
      <c r="J1303" t="s">
        <v>19</v>
      </c>
      <c r="K1303">
        <v>180</v>
      </c>
      <c r="L1303">
        <v>0</v>
      </c>
      <c r="M1303" t="s">
        <v>20</v>
      </c>
    </row>
    <row r="1304" spans="1:13" x14ac:dyDescent="0.35">
      <c r="A1304">
        <v>1303</v>
      </c>
      <c r="B1304">
        <v>583006770</v>
      </c>
      <c r="C1304">
        <v>38104</v>
      </c>
      <c r="D1304" t="s">
        <v>301</v>
      </c>
      <c r="E1304" t="s">
        <v>434</v>
      </c>
      <c r="F1304" t="s">
        <v>302</v>
      </c>
      <c r="G1304" t="s">
        <v>303</v>
      </c>
      <c r="H1304" t="s">
        <v>17</v>
      </c>
      <c r="I1304" t="s">
        <v>89</v>
      </c>
      <c r="J1304" t="s">
        <v>19</v>
      </c>
      <c r="K1304">
        <v>150</v>
      </c>
      <c r="L1304">
        <v>0</v>
      </c>
      <c r="M1304" t="s">
        <v>20</v>
      </c>
    </row>
    <row r="1305" spans="1:13" x14ac:dyDescent="0.35">
      <c r="A1305">
        <v>1304</v>
      </c>
      <c r="B1305">
        <v>583006791</v>
      </c>
      <c r="C1305">
        <v>38131</v>
      </c>
      <c r="D1305" t="s">
        <v>21</v>
      </c>
      <c r="E1305" t="s">
        <v>434</v>
      </c>
      <c r="F1305" t="s">
        <v>22</v>
      </c>
      <c r="G1305" t="s">
        <v>23</v>
      </c>
      <c r="H1305" t="s">
        <v>17</v>
      </c>
      <c r="I1305" t="s">
        <v>88</v>
      </c>
      <c r="J1305" t="s">
        <v>19</v>
      </c>
      <c r="K1305">
        <v>13.2</v>
      </c>
      <c r="L1305">
        <v>0</v>
      </c>
      <c r="M1305" t="s">
        <v>20</v>
      </c>
    </row>
    <row r="1306" spans="1:13" x14ac:dyDescent="0.35">
      <c r="A1306">
        <v>1305</v>
      </c>
      <c r="B1306">
        <v>583006781</v>
      </c>
      <c r="C1306">
        <v>38118</v>
      </c>
      <c r="D1306" t="s">
        <v>116</v>
      </c>
      <c r="E1306" t="s">
        <v>434</v>
      </c>
      <c r="F1306" t="s">
        <v>117</v>
      </c>
      <c r="G1306" t="s">
        <v>118</v>
      </c>
      <c r="H1306" t="s">
        <v>17</v>
      </c>
      <c r="I1306" t="s">
        <v>18</v>
      </c>
      <c r="J1306" t="s">
        <v>19</v>
      </c>
      <c r="K1306">
        <v>3864</v>
      </c>
      <c r="L1306">
        <v>0</v>
      </c>
      <c r="M1306" t="s">
        <v>20</v>
      </c>
    </row>
    <row r="1307" spans="1:13" x14ac:dyDescent="0.35">
      <c r="A1307">
        <v>1306</v>
      </c>
      <c r="B1307">
        <v>583006760</v>
      </c>
      <c r="C1307">
        <v>38093</v>
      </c>
      <c r="D1307" t="s">
        <v>21</v>
      </c>
      <c r="E1307" t="s">
        <v>434</v>
      </c>
      <c r="F1307" t="s">
        <v>22</v>
      </c>
      <c r="G1307" t="s">
        <v>23</v>
      </c>
      <c r="H1307" t="s">
        <v>17</v>
      </c>
      <c r="I1307" t="s">
        <v>24</v>
      </c>
      <c r="J1307" t="s">
        <v>25</v>
      </c>
      <c r="K1307">
        <v>2</v>
      </c>
      <c r="L1307">
        <v>0</v>
      </c>
      <c r="M1307" t="s">
        <v>20</v>
      </c>
    </row>
    <row r="1308" spans="1:13" x14ac:dyDescent="0.35">
      <c r="A1308">
        <v>1307</v>
      </c>
      <c r="B1308">
        <v>583006819</v>
      </c>
      <c r="C1308">
        <v>38168</v>
      </c>
      <c r="D1308" t="s">
        <v>438</v>
      </c>
      <c r="E1308" t="s">
        <v>434</v>
      </c>
      <c r="F1308" t="s">
        <v>439</v>
      </c>
      <c r="G1308" t="s">
        <v>440</v>
      </c>
      <c r="H1308" t="s">
        <v>17</v>
      </c>
      <c r="I1308" t="s">
        <v>18</v>
      </c>
      <c r="J1308" t="s">
        <v>19</v>
      </c>
      <c r="K1308">
        <v>1044</v>
      </c>
      <c r="L1308">
        <v>0</v>
      </c>
      <c r="M1308" t="s">
        <v>20</v>
      </c>
    </row>
    <row r="1309" spans="1:13" x14ac:dyDescent="0.35">
      <c r="A1309">
        <v>1308</v>
      </c>
      <c r="B1309">
        <v>583006809</v>
      </c>
      <c r="C1309">
        <v>38155</v>
      </c>
      <c r="D1309" t="s">
        <v>414</v>
      </c>
      <c r="E1309" t="s">
        <v>434</v>
      </c>
      <c r="F1309" t="s">
        <v>415</v>
      </c>
      <c r="G1309" t="s">
        <v>416</v>
      </c>
      <c r="H1309" t="s">
        <v>17</v>
      </c>
      <c r="I1309" t="s">
        <v>18</v>
      </c>
      <c r="J1309" t="s">
        <v>19</v>
      </c>
      <c r="K1309">
        <v>3321</v>
      </c>
      <c r="L1309">
        <v>0</v>
      </c>
      <c r="M1309" t="s">
        <v>20</v>
      </c>
    </row>
    <row r="1310" spans="1:13" x14ac:dyDescent="0.35">
      <c r="A1310">
        <v>1309</v>
      </c>
      <c r="B1310">
        <v>583006809</v>
      </c>
      <c r="C1310">
        <v>38155</v>
      </c>
      <c r="D1310" t="s">
        <v>414</v>
      </c>
      <c r="E1310" t="s">
        <v>434</v>
      </c>
      <c r="F1310" t="s">
        <v>415</v>
      </c>
      <c r="G1310" t="s">
        <v>416</v>
      </c>
      <c r="H1310" t="s">
        <v>17</v>
      </c>
      <c r="I1310" t="s">
        <v>18</v>
      </c>
      <c r="J1310" t="s">
        <v>19</v>
      </c>
      <c r="K1310">
        <v>360</v>
      </c>
      <c r="L1310">
        <v>0</v>
      </c>
      <c r="M1310" t="s">
        <v>20</v>
      </c>
    </row>
    <row r="1311" spans="1:13" x14ac:dyDescent="0.35">
      <c r="A1311">
        <v>1310</v>
      </c>
      <c r="B1311">
        <v>583006810</v>
      </c>
      <c r="C1311">
        <v>38156</v>
      </c>
      <c r="D1311" t="s">
        <v>414</v>
      </c>
      <c r="E1311" t="s">
        <v>434</v>
      </c>
      <c r="F1311" t="s">
        <v>415</v>
      </c>
      <c r="G1311" t="s">
        <v>416</v>
      </c>
      <c r="H1311" t="s">
        <v>17</v>
      </c>
      <c r="I1311" t="s">
        <v>35</v>
      </c>
      <c r="J1311" t="s">
        <v>25</v>
      </c>
      <c r="K1311">
        <v>6</v>
      </c>
      <c r="L1311">
        <v>0</v>
      </c>
      <c r="M1311" t="s">
        <v>20</v>
      </c>
    </row>
    <row r="1312" spans="1:13" x14ac:dyDescent="0.35">
      <c r="A1312">
        <v>1311</v>
      </c>
      <c r="B1312">
        <v>583006807</v>
      </c>
      <c r="C1312">
        <v>38152</v>
      </c>
      <c r="D1312" t="s">
        <v>48</v>
      </c>
      <c r="E1312" t="s">
        <v>434</v>
      </c>
      <c r="F1312" t="s">
        <v>49</v>
      </c>
      <c r="G1312" t="s">
        <v>50</v>
      </c>
      <c r="H1312" t="s">
        <v>17</v>
      </c>
      <c r="I1312" t="s">
        <v>18</v>
      </c>
      <c r="J1312" t="s">
        <v>19</v>
      </c>
      <c r="K1312">
        <v>291</v>
      </c>
      <c r="L1312">
        <v>0</v>
      </c>
      <c r="M1312" t="s">
        <v>20</v>
      </c>
    </row>
    <row r="1313" spans="1:13" x14ac:dyDescent="0.35">
      <c r="A1313">
        <v>1312</v>
      </c>
      <c r="B1313">
        <v>583006755</v>
      </c>
      <c r="C1313">
        <v>38088</v>
      </c>
      <c r="D1313" t="s">
        <v>32</v>
      </c>
      <c r="E1313" t="s">
        <v>434</v>
      </c>
      <c r="F1313" t="s">
        <v>33</v>
      </c>
      <c r="G1313" t="s">
        <v>34</v>
      </c>
      <c r="H1313" t="s">
        <v>17</v>
      </c>
      <c r="I1313" t="s">
        <v>18</v>
      </c>
      <c r="J1313" t="s">
        <v>19</v>
      </c>
      <c r="K1313">
        <v>12</v>
      </c>
      <c r="L1313">
        <v>0</v>
      </c>
      <c r="M1313" t="s">
        <v>20</v>
      </c>
    </row>
    <row r="1314" spans="1:13" x14ac:dyDescent="0.35">
      <c r="A1314">
        <v>1313</v>
      </c>
      <c r="B1314">
        <v>583006755</v>
      </c>
      <c r="C1314">
        <v>38088</v>
      </c>
      <c r="D1314" t="s">
        <v>32</v>
      </c>
      <c r="E1314" t="s">
        <v>434</v>
      </c>
      <c r="F1314" t="s">
        <v>33</v>
      </c>
      <c r="G1314" t="s">
        <v>34</v>
      </c>
      <c r="H1314" t="s">
        <v>17</v>
      </c>
      <c r="I1314" t="s">
        <v>18</v>
      </c>
      <c r="J1314" t="s">
        <v>19</v>
      </c>
      <c r="K1314">
        <v>186</v>
      </c>
      <c r="L1314">
        <v>0</v>
      </c>
      <c r="M1314" t="s">
        <v>20</v>
      </c>
    </row>
    <row r="1315" spans="1:13" x14ac:dyDescent="0.35">
      <c r="A1315">
        <v>1314</v>
      </c>
      <c r="B1315">
        <v>583006755</v>
      </c>
      <c r="C1315">
        <v>38088</v>
      </c>
      <c r="D1315" t="s">
        <v>32</v>
      </c>
      <c r="E1315" t="s">
        <v>434</v>
      </c>
      <c r="F1315" t="s">
        <v>33</v>
      </c>
      <c r="G1315" t="s">
        <v>34</v>
      </c>
      <c r="H1315" t="s">
        <v>17</v>
      </c>
      <c r="I1315" t="s">
        <v>18</v>
      </c>
      <c r="J1315" t="s">
        <v>19</v>
      </c>
      <c r="K1315">
        <v>84</v>
      </c>
      <c r="L1315">
        <v>0</v>
      </c>
      <c r="M1315" t="s">
        <v>20</v>
      </c>
    </row>
    <row r="1316" spans="1:13" x14ac:dyDescent="0.35">
      <c r="A1316">
        <v>1315</v>
      </c>
      <c r="B1316">
        <v>583006815</v>
      </c>
      <c r="C1316">
        <v>38163</v>
      </c>
      <c r="D1316" t="s">
        <v>181</v>
      </c>
      <c r="E1316" t="s">
        <v>434</v>
      </c>
      <c r="F1316" t="s">
        <v>182</v>
      </c>
      <c r="G1316" t="s">
        <v>183</v>
      </c>
      <c r="H1316" t="s">
        <v>17</v>
      </c>
      <c r="I1316" t="s">
        <v>135</v>
      </c>
      <c r="J1316" t="s">
        <v>19</v>
      </c>
      <c r="K1316">
        <v>480</v>
      </c>
      <c r="L1316">
        <v>0</v>
      </c>
      <c r="M1316" t="s">
        <v>20</v>
      </c>
    </row>
    <row r="1317" spans="1:13" x14ac:dyDescent="0.35">
      <c r="A1317">
        <v>1316</v>
      </c>
      <c r="B1317">
        <v>583006814</v>
      </c>
      <c r="C1317">
        <v>38162</v>
      </c>
      <c r="D1317" t="s">
        <v>184</v>
      </c>
      <c r="E1317" t="s">
        <v>434</v>
      </c>
      <c r="F1317" t="s">
        <v>185</v>
      </c>
      <c r="G1317" t="s">
        <v>186</v>
      </c>
      <c r="H1317" t="s">
        <v>17</v>
      </c>
      <c r="I1317" t="s">
        <v>18</v>
      </c>
      <c r="J1317" t="s">
        <v>19</v>
      </c>
      <c r="K1317">
        <v>9</v>
      </c>
      <c r="L1317">
        <v>0</v>
      </c>
      <c r="M1317" t="s">
        <v>20</v>
      </c>
    </row>
    <row r="1318" spans="1:13" x14ac:dyDescent="0.35">
      <c r="A1318">
        <v>1317</v>
      </c>
      <c r="B1318">
        <v>583006825</v>
      </c>
      <c r="C1318">
        <v>38175</v>
      </c>
      <c r="D1318" t="s">
        <v>153</v>
      </c>
      <c r="E1318" t="s">
        <v>434</v>
      </c>
      <c r="F1318" t="s">
        <v>154</v>
      </c>
      <c r="G1318" t="s">
        <v>155</v>
      </c>
      <c r="H1318" t="s">
        <v>17</v>
      </c>
      <c r="I1318" t="s">
        <v>18</v>
      </c>
      <c r="J1318" t="s">
        <v>19</v>
      </c>
      <c r="K1318">
        <v>1599</v>
      </c>
      <c r="L1318">
        <v>0</v>
      </c>
      <c r="M1318" t="s">
        <v>20</v>
      </c>
    </row>
    <row r="1319" spans="1:13" x14ac:dyDescent="0.35">
      <c r="A1319">
        <v>1318</v>
      </c>
      <c r="B1319">
        <v>583006801</v>
      </c>
      <c r="C1319">
        <v>38143</v>
      </c>
      <c r="D1319" t="s">
        <v>147</v>
      </c>
      <c r="E1319" t="s">
        <v>434</v>
      </c>
      <c r="F1319" t="s">
        <v>148</v>
      </c>
      <c r="G1319" t="s">
        <v>149</v>
      </c>
      <c r="H1319" t="s">
        <v>17</v>
      </c>
      <c r="I1319" t="s">
        <v>18</v>
      </c>
      <c r="J1319" t="s">
        <v>19</v>
      </c>
      <c r="K1319">
        <v>27</v>
      </c>
      <c r="L1319">
        <v>0</v>
      </c>
      <c r="M1319" t="s">
        <v>20</v>
      </c>
    </row>
    <row r="1320" spans="1:13" x14ac:dyDescent="0.35">
      <c r="A1320">
        <v>1319</v>
      </c>
      <c r="B1320">
        <v>583006790</v>
      </c>
      <c r="C1320">
        <v>38130</v>
      </c>
      <c r="D1320" t="s">
        <v>21</v>
      </c>
      <c r="E1320" t="s">
        <v>434</v>
      </c>
      <c r="F1320" t="s">
        <v>22</v>
      </c>
      <c r="G1320" t="s">
        <v>23</v>
      </c>
      <c r="H1320" t="s">
        <v>17</v>
      </c>
      <c r="I1320" t="s">
        <v>88</v>
      </c>
      <c r="J1320" t="s">
        <v>19</v>
      </c>
      <c r="K1320">
        <v>48</v>
      </c>
      <c r="L1320">
        <v>0</v>
      </c>
      <c r="M1320" t="s">
        <v>20</v>
      </c>
    </row>
    <row r="1321" spans="1:13" x14ac:dyDescent="0.35">
      <c r="A1321">
        <v>1320</v>
      </c>
      <c r="B1321">
        <v>583006780</v>
      </c>
      <c r="C1321">
        <v>38117</v>
      </c>
      <c r="D1321" t="s">
        <v>56</v>
      </c>
      <c r="E1321" t="s">
        <v>434</v>
      </c>
      <c r="F1321" t="s">
        <v>57</v>
      </c>
      <c r="G1321" t="s">
        <v>58</v>
      </c>
      <c r="H1321" t="s">
        <v>17</v>
      </c>
      <c r="I1321" t="s">
        <v>24</v>
      </c>
      <c r="J1321" t="s">
        <v>25</v>
      </c>
      <c r="K1321">
        <v>10</v>
      </c>
      <c r="L1321">
        <v>0</v>
      </c>
      <c r="M1321" t="s">
        <v>20</v>
      </c>
    </row>
    <row r="1322" spans="1:13" x14ac:dyDescent="0.35">
      <c r="A1322">
        <v>1321</v>
      </c>
      <c r="B1322">
        <v>583006825</v>
      </c>
      <c r="C1322">
        <v>38175</v>
      </c>
      <c r="D1322" t="s">
        <v>153</v>
      </c>
      <c r="E1322" t="s">
        <v>434</v>
      </c>
      <c r="F1322" t="s">
        <v>154</v>
      </c>
      <c r="G1322" t="s">
        <v>155</v>
      </c>
      <c r="H1322" t="s">
        <v>17</v>
      </c>
      <c r="I1322" t="s">
        <v>18</v>
      </c>
      <c r="J1322" t="s">
        <v>19</v>
      </c>
      <c r="K1322">
        <v>216</v>
      </c>
      <c r="L1322">
        <v>0</v>
      </c>
      <c r="M1322" t="s">
        <v>20</v>
      </c>
    </row>
    <row r="1323" spans="1:13" x14ac:dyDescent="0.35">
      <c r="A1323">
        <v>1322</v>
      </c>
      <c r="B1323">
        <v>583006755</v>
      </c>
      <c r="C1323">
        <v>38088</v>
      </c>
      <c r="D1323" t="s">
        <v>32</v>
      </c>
      <c r="E1323" t="s">
        <v>434</v>
      </c>
      <c r="F1323" t="s">
        <v>33</v>
      </c>
      <c r="G1323" t="s">
        <v>34</v>
      </c>
      <c r="H1323" t="s">
        <v>17</v>
      </c>
      <c r="I1323" t="s">
        <v>18</v>
      </c>
      <c r="J1323" t="s">
        <v>19</v>
      </c>
      <c r="K1323">
        <v>1227</v>
      </c>
      <c r="L1323">
        <v>0</v>
      </c>
      <c r="M1323" t="s">
        <v>20</v>
      </c>
    </row>
    <row r="1324" spans="1:13" x14ac:dyDescent="0.35">
      <c r="A1324">
        <v>1323</v>
      </c>
      <c r="B1324">
        <v>583006798</v>
      </c>
      <c r="C1324">
        <v>38139</v>
      </c>
      <c r="D1324" t="s">
        <v>147</v>
      </c>
      <c r="E1324" t="s">
        <v>434</v>
      </c>
      <c r="F1324" t="s">
        <v>148</v>
      </c>
      <c r="G1324" t="s">
        <v>149</v>
      </c>
      <c r="H1324" t="s">
        <v>17</v>
      </c>
      <c r="I1324" t="s">
        <v>18</v>
      </c>
      <c r="J1324" t="s">
        <v>19</v>
      </c>
      <c r="K1324">
        <v>15</v>
      </c>
      <c r="L1324">
        <v>0</v>
      </c>
      <c r="M1324" t="s">
        <v>20</v>
      </c>
    </row>
    <row r="1325" spans="1:13" x14ac:dyDescent="0.35">
      <c r="A1325">
        <v>1324</v>
      </c>
      <c r="B1325">
        <v>583006800</v>
      </c>
      <c r="C1325">
        <v>38141</v>
      </c>
      <c r="D1325" t="s">
        <v>147</v>
      </c>
      <c r="E1325" t="s">
        <v>434</v>
      </c>
      <c r="F1325" t="s">
        <v>148</v>
      </c>
      <c r="G1325" t="s">
        <v>149</v>
      </c>
      <c r="H1325" t="s">
        <v>17</v>
      </c>
      <c r="I1325" t="s">
        <v>18</v>
      </c>
      <c r="J1325" t="s">
        <v>19</v>
      </c>
      <c r="K1325">
        <v>54</v>
      </c>
      <c r="L1325">
        <v>0</v>
      </c>
      <c r="M1325" t="s">
        <v>20</v>
      </c>
    </row>
    <row r="1326" spans="1:13" x14ac:dyDescent="0.35">
      <c r="A1326">
        <v>1325</v>
      </c>
      <c r="B1326">
        <v>583006763</v>
      </c>
      <c r="C1326">
        <v>38097</v>
      </c>
      <c r="D1326" t="s">
        <v>159</v>
      </c>
      <c r="E1326" t="s">
        <v>434</v>
      </c>
      <c r="F1326" t="s">
        <v>160</v>
      </c>
      <c r="G1326" t="s">
        <v>161</v>
      </c>
      <c r="H1326" t="s">
        <v>17</v>
      </c>
      <c r="I1326" t="s">
        <v>18</v>
      </c>
      <c r="J1326" t="s">
        <v>19</v>
      </c>
      <c r="K1326">
        <v>36</v>
      </c>
      <c r="L1326">
        <v>0</v>
      </c>
      <c r="M1326" t="s">
        <v>20</v>
      </c>
    </row>
    <row r="1327" spans="1:13" x14ac:dyDescent="0.35">
      <c r="A1327">
        <v>1326</v>
      </c>
      <c r="B1327">
        <v>583006766</v>
      </c>
      <c r="C1327">
        <v>38100</v>
      </c>
      <c r="D1327" t="s">
        <v>98</v>
      </c>
      <c r="E1327" t="s">
        <v>434</v>
      </c>
      <c r="F1327" t="s">
        <v>99</v>
      </c>
      <c r="G1327" t="s">
        <v>100</v>
      </c>
      <c r="H1327" t="s">
        <v>17</v>
      </c>
      <c r="I1327" t="s">
        <v>18</v>
      </c>
      <c r="J1327" t="s">
        <v>19</v>
      </c>
      <c r="K1327">
        <v>30</v>
      </c>
      <c r="L1327">
        <v>0</v>
      </c>
      <c r="M1327" t="s">
        <v>20</v>
      </c>
    </row>
    <row r="1328" spans="1:13" x14ac:dyDescent="0.35">
      <c r="A1328">
        <v>1327</v>
      </c>
      <c r="B1328">
        <v>583006795</v>
      </c>
      <c r="C1328">
        <v>38136</v>
      </c>
      <c r="D1328" t="s">
        <v>147</v>
      </c>
      <c r="E1328" t="s">
        <v>434</v>
      </c>
      <c r="F1328" t="s">
        <v>148</v>
      </c>
      <c r="G1328" t="s">
        <v>149</v>
      </c>
      <c r="H1328" t="s">
        <v>17</v>
      </c>
      <c r="I1328" t="s">
        <v>18</v>
      </c>
      <c r="J1328" t="s">
        <v>19</v>
      </c>
      <c r="K1328">
        <v>180</v>
      </c>
      <c r="L1328">
        <v>0</v>
      </c>
      <c r="M1328" t="s">
        <v>20</v>
      </c>
    </row>
    <row r="1329" spans="1:13" x14ac:dyDescent="0.35">
      <c r="A1329">
        <v>1328</v>
      </c>
      <c r="B1329">
        <v>583006795</v>
      </c>
      <c r="C1329">
        <v>38136</v>
      </c>
      <c r="D1329" t="s">
        <v>147</v>
      </c>
      <c r="E1329" t="s">
        <v>434</v>
      </c>
      <c r="F1329" t="s">
        <v>148</v>
      </c>
      <c r="G1329" t="s">
        <v>149</v>
      </c>
      <c r="H1329" t="s">
        <v>17</v>
      </c>
      <c r="I1329" t="s">
        <v>18</v>
      </c>
      <c r="J1329" t="s">
        <v>19</v>
      </c>
      <c r="K1329">
        <v>24</v>
      </c>
      <c r="L1329">
        <v>0</v>
      </c>
      <c r="M1329" t="s">
        <v>20</v>
      </c>
    </row>
    <row r="1330" spans="1:13" x14ac:dyDescent="0.35">
      <c r="A1330">
        <v>1329</v>
      </c>
      <c r="B1330">
        <v>583006767</v>
      </c>
      <c r="C1330">
        <v>38101</v>
      </c>
      <c r="D1330" t="s">
        <v>286</v>
      </c>
      <c r="E1330" t="s">
        <v>434</v>
      </c>
      <c r="F1330" t="s">
        <v>287</v>
      </c>
      <c r="G1330" t="s">
        <v>288</v>
      </c>
      <c r="H1330" t="s">
        <v>17</v>
      </c>
      <c r="I1330" t="s">
        <v>18</v>
      </c>
      <c r="J1330" t="s">
        <v>19</v>
      </c>
      <c r="K1330">
        <v>108</v>
      </c>
      <c r="L1330">
        <v>0</v>
      </c>
      <c r="M1330" t="s">
        <v>20</v>
      </c>
    </row>
    <row r="1331" spans="1:13" x14ac:dyDescent="0.35">
      <c r="A1331">
        <v>1330</v>
      </c>
      <c r="B1331">
        <v>583006794</v>
      </c>
      <c r="C1331">
        <v>38135</v>
      </c>
      <c r="D1331" t="s">
        <v>45</v>
      </c>
      <c r="E1331" t="s">
        <v>434</v>
      </c>
      <c r="F1331" t="s">
        <v>46</v>
      </c>
      <c r="G1331" t="s">
        <v>47</v>
      </c>
      <c r="H1331" t="s">
        <v>17</v>
      </c>
      <c r="I1331" t="s">
        <v>18</v>
      </c>
      <c r="J1331" t="s">
        <v>19</v>
      </c>
      <c r="K1331">
        <v>90</v>
      </c>
      <c r="L1331">
        <v>0</v>
      </c>
      <c r="M1331" t="s">
        <v>20</v>
      </c>
    </row>
    <row r="1332" spans="1:13" x14ac:dyDescent="0.35">
      <c r="A1332">
        <v>1331</v>
      </c>
      <c r="B1332">
        <v>583006765</v>
      </c>
      <c r="C1332">
        <v>38099</v>
      </c>
      <c r="D1332" t="s">
        <v>98</v>
      </c>
      <c r="E1332" t="s">
        <v>434</v>
      </c>
      <c r="F1332" t="s">
        <v>99</v>
      </c>
      <c r="G1332" t="s">
        <v>100</v>
      </c>
      <c r="H1332" t="s">
        <v>17</v>
      </c>
      <c r="I1332" t="s">
        <v>18</v>
      </c>
      <c r="J1332" t="s">
        <v>19</v>
      </c>
      <c r="K1332">
        <v>63</v>
      </c>
      <c r="L1332">
        <v>0</v>
      </c>
      <c r="M1332" t="s">
        <v>20</v>
      </c>
    </row>
    <row r="1333" spans="1:13" x14ac:dyDescent="0.35">
      <c r="A1333">
        <v>1332</v>
      </c>
      <c r="B1333">
        <v>583006769</v>
      </c>
      <c r="C1333">
        <v>38103</v>
      </c>
      <c r="D1333" t="s">
        <v>65</v>
      </c>
      <c r="E1333" t="s">
        <v>434</v>
      </c>
      <c r="F1333" t="s">
        <v>66</v>
      </c>
      <c r="G1333" t="s">
        <v>67</v>
      </c>
      <c r="H1333" t="s">
        <v>17</v>
      </c>
      <c r="I1333" t="s">
        <v>18</v>
      </c>
      <c r="J1333" t="s">
        <v>19</v>
      </c>
      <c r="K1333">
        <v>63</v>
      </c>
      <c r="L1333">
        <v>0</v>
      </c>
      <c r="M1333" t="s">
        <v>20</v>
      </c>
    </row>
    <row r="1334" spans="1:13" x14ac:dyDescent="0.35">
      <c r="A1334">
        <v>1333</v>
      </c>
      <c r="B1334">
        <v>583006793</v>
      </c>
      <c r="C1334">
        <v>38134</v>
      </c>
      <c r="D1334" t="s">
        <v>45</v>
      </c>
      <c r="E1334" t="s">
        <v>434</v>
      </c>
      <c r="F1334" t="s">
        <v>46</v>
      </c>
      <c r="G1334" t="s">
        <v>47</v>
      </c>
      <c r="H1334" t="s">
        <v>17</v>
      </c>
      <c r="I1334" t="s">
        <v>18</v>
      </c>
      <c r="J1334" t="s">
        <v>19</v>
      </c>
      <c r="K1334">
        <v>144</v>
      </c>
      <c r="L1334">
        <v>0</v>
      </c>
      <c r="M1334" t="s">
        <v>20</v>
      </c>
    </row>
    <row r="1335" spans="1:13" x14ac:dyDescent="0.35">
      <c r="A1335">
        <v>1334</v>
      </c>
      <c r="B1335">
        <v>583006822</v>
      </c>
      <c r="C1335">
        <v>38172</v>
      </c>
      <c r="D1335" t="s">
        <v>132</v>
      </c>
      <c r="E1335" t="s">
        <v>434</v>
      </c>
      <c r="F1335" t="s">
        <v>133</v>
      </c>
      <c r="G1335" t="s">
        <v>134</v>
      </c>
      <c r="H1335" t="s">
        <v>17</v>
      </c>
      <c r="I1335" t="s">
        <v>135</v>
      </c>
      <c r="J1335" t="s">
        <v>19</v>
      </c>
      <c r="K1335">
        <v>375</v>
      </c>
      <c r="L1335">
        <v>0</v>
      </c>
      <c r="M1335" t="s">
        <v>20</v>
      </c>
    </row>
    <row r="1336" spans="1:13" x14ac:dyDescent="0.35">
      <c r="A1336">
        <v>1335</v>
      </c>
      <c r="B1336">
        <v>583006792</v>
      </c>
      <c r="C1336">
        <v>38133</v>
      </c>
      <c r="D1336" t="s">
        <v>45</v>
      </c>
      <c r="E1336" t="s">
        <v>434</v>
      </c>
      <c r="F1336" t="s">
        <v>46</v>
      </c>
      <c r="G1336" t="s">
        <v>47</v>
      </c>
      <c r="H1336" t="s">
        <v>17</v>
      </c>
      <c r="I1336" t="s">
        <v>18</v>
      </c>
      <c r="J1336" t="s">
        <v>19</v>
      </c>
      <c r="K1336">
        <v>144</v>
      </c>
      <c r="L1336">
        <v>0</v>
      </c>
      <c r="M1336" t="s">
        <v>20</v>
      </c>
    </row>
    <row r="1337" spans="1:13" x14ac:dyDescent="0.35">
      <c r="A1337">
        <v>1336</v>
      </c>
      <c r="B1337">
        <v>583006771</v>
      </c>
      <c r="C1337">
        <v>38105</v>
      </c>
      <c r="D1337" t="s">
        <v>110</v>
      </c>
      <c r="E1337" t="s">
        <v>434</v>
      </c>
      <c r="F1337" t="s">
        <v>111</v>
      </c>
      <c r="G1337" t="s">
        <v>112</v>
      </c>
      <c r="H1337" t="s">
        <v>17</v>
      </c>
      <c r="I1337" t="s">
        <v>18</v>
      </c>
      <c r="J1337" t="s">
        <v>19</v>
      </c>
      <c r="K1337">
        <v>36</v>
      </c>
      <c r="L1337">
        <v>0</v>
      </c>
      <c r="M1337" t="s">
        <v>20</v>
      </c>
    </row>
    <row r="1338" spans="1:13" x14ac:dyDescent="0.35">
      <c r="A1338">
        <v>1337</v>
      </c>
      <c r="B1338">
        <v>583006758</v>
      </c>
      <c r="C1338">
        <v>38091</v>
      </c>
      <c r="D1338" t="s">
        <v>206</v>
      </c>
      <c r="E1338" t="s">
        <v>434</v>
      </c>
      <c r="F1338" t="s">
        <v>207</v>
      </c>
      <c r="G1338" t="s">
        <v>208</v>
      </c>
      <c r="H1338" t="s">
        <v>17</v>
      </c>
      <c r="I1338" t="s">
        <v>18</v>
      </c>
      <c r="J1338" t="s">
        <v>19</v>
      </c>
      <c r="K1338">
        <v>6</v>
      </c>
      <c r="L1338">
        <v>0</v>
      </c>
      <c r="M1338" t="s">
        <v>20</v>
      </c>
    </row>
    <row r="1339" spans="1:13" x14ac:dyDescent="0.35">
      <c r="A1339">
        <v>1338</v>
      </c>
      <c r="B1339">
        <v>583006823</v>
      </c>
      <c r="C1339">
        <v>38173</v>
      </c>
      <c r="D1339" t="s">
        <v>132</v>
      </c>
      <c r="E1339" t="s">
        <v>434</v>
      </c>
      <c r="F1339" t="s">
        <v>133</v>
      </c>
      <c r="G1339" t="s">
        <v>134</v>
      </c>
      <c r="H1339" t="s">
        <v>17</v>
      </c>
      <c r="I1339" t="s">
        <v>135</v>
      </c>
      <c r="J1339" t="s">
        <v>19</v>
      </c>
      <c r="K1339">
        <v>660</v>
      </c>
      <c r="L1339">
        <v>0</v>
      </c>
      <c r="M1339" t="s">
        <v>20</v>
      </c>
    </row>
    <row r="1340" spans="1:13" x14ac:dyDescent="0.35">
      <c r="A1340">
        <v>1339</v>
      </c>
      <c r="B1340">
        <v>583006772</v>
      </c>
      <c r="C1340">
        <v>38106</v>
      </c>
      <c r="D1340" t="s">
        <v>82</v>
      </c>
      <c r="E1340" t="s">
        <v>434</v>
      </c>
      <c r="F1340" t="s">
        <v>83</v>
      </c>
      <c r="G1340" t="s">
        <v>84</v>
      </c>
      <c r="H1340" t="s">
        <v>17</v>
      </c>
      <c r="I1340" t="s">
        <v>91</v>
      </c>
      <c r="J1340" t="s">
        <v>25</v>
      </c>
      <c r="K1340">
        <v>493</v>
      </c>
      <c r="L1340">
        <v>0</v>
      </c>
      <c r="M1340" t="s">
        <v>20</v>
      </c>
    </row>
    <row r="1341" spans="1:13" x14ac:dyDescent="0.35">
      <c r="A1341">
        <v>1340</v>
      </c>
      <c r="B1341">
        <v>583006824</v>
      </c>
      <c r="C1341">
        <v>38174</v>
      </c>
      <c r="D1341" t="s">
        <v>132</v>
      </c>
      <c r="E1341" t="s">
        <v>434</v>
      </c>
      <c r="F1341" t="s">
        <v>133</v>
      </c>
      <c r="G1341" t="s">
        <v>134</v>
      </c>
      <c r="H1341" t="s">
        <v>17</v>
      </c>
      <c r="I1341" t="s">
        <v>18</v>
      </c>
      <c r="J1341" t="s">
        <v>19</v>
      </c>
      <c r="K1341">
        <v>612</v>
      </c>
      <c r="L1341">
        <v>0</v>
      </c>
      <c r="M1341" t="s">
        <v>20</v>
      </c>
    </row>
    <row r="1342" spans="1:13" x14ac:dyDescent="0.35">
      <c r="A1342">
        <v>1341</v>
      </c>
      <c r="B1342">
        <v>583006824</v>
      </c>
      <c r="C1342">
        <v>38174</v>
      </c>
      <c r="D1342" t="s">
        <v>132</v>
      </c>
      <c r="E1342" t="s">
        <v>434</v>
      </c>
      <c r="F1342" t="s">
        <v>133</v>
      </c>
      <c r="G1342" t="s">
        <v>134</v>
      </c>
      <c r="H1342" t="s">
        <v>17</v>
      </c>
      <c r="I1342" t="s">
        <v>18</v>
      </c>
      <c r="J1342" t="s">
        <v>19</v>
      </c>
      <c r="K1342">
        <v>1209</v>
      </c>
      <c r="L1342">
        <v>0</v>
      </c>
      <c r="M1342" t="s">
        <v>20</v>
      </c>
    </row>
    <row r="1343" spans="1:13" x14ac:dyDescent="0.35">
      <c r="A1343">
        <v>1342</v>
      </c>
      <c r="B1343">
        <v>583006817</v>
      </c>
      <c r="C1343">
        <v>38166</v>
      </c>
      <c r="D1343" t="s">
        <v>263</v>
      </c>
      <c r="E1343" t="s">
        <v>434</v>
      </c>
      <c r="F1343" t="s">
        <v>264</v>
      </c>
      <c r="G1343" t="s">
        <v>265</v>
      </c>
      <c r="H1343" t="s">
        <v>17</v>
      </c>
      <c r="I1343" t="s">
        <v>63</v>
      </c>
      <c r="J1343" t="s">
        <v>64</v>
      </c>
      <c r="K1343">
        <v>63</v>
      </c>
      <c r="L1343">
        <v>111.51</v>
      </c>
      <c r="M1343" t="s">
        <v>20</v>
      </c>
    </row>
    <row r="1344" spans="1:13" x14ac:dyDescent="0.35">
      <c r="A1344">
        <v>1343</v>
      </c>
      <c r="B1344">
        <v>583006821</v>
      </c>
      <c r="C1344">
        <v>38170</v>
      </c>
      <c r="D1344" t="s">
        <v>438</v>
      </c>
      <c r="E1344" t="s">
        <v>434</v>
      </c>
      <c r="F1344" t="s">
        <v>439</v>
      </c>
      <c r="G1344" t="s">
        <v>440</v>
      </c>
      <c r="H1344" t="s">
        <v>17</v>
      </c>
      <c r="I1344" t="s">
        <v>35</v>
      </c>
      <c r="J1344" t="s">
        <v>25</v>
      </c>
      <c r="K1344">
        <v>7</v>
      </c>
      <c r="L1344">
        <v>0</v>
      </c>
      <c r="M1344" t="s">
        <v>20</v>
      </c>
    </row>
    <row r="1345" spans="1:13" x14ac:dyDescent="0.35">
      <c r="A1345">
        <v>1344</v>
      </c>
      <c r="B1345">
        <v>583006820</v>
      </c>
      <c r="C1345">
        <v>38169</v>
      </c>
      <c r="D1345" t="s">
        <v>438</v>
      </c>
      <c r="E1345" t="s">
        <v>434</v>
      </c>
      <c r="F1345" t="s">
        <v>439</v>
      </c>
      <c r="G1345" t="s">
        <v>440</v>
      </c>
      <c r="H1345" t="s">
        <v>17</v>
      </c>
      <c r="I1345" t="s">
        <v>135</v>
      </c>
      <c r="J1345" t="s">
        <v>19</v>
      </c>
      <c r="K1345">
        <v>518</v>
      </c>
      <c r="L1345">
        <v>0</v>
      </c>
      <c r="M1345" t="s">
        <v>20</v>
      </c>
    </row>
    <row r="1346" spans="1:13" x14ac:dyDescent="0.35">
      <c r="A1346">
        <v>1345</v>
      </c>
      <c r="B1346">
        <v>583006776</v>
      </c>
      <c r="C1346">
        <v>38112</v>
      </c>
      <c r="D1346" t="s">
        <v>21</v>
      </c>
      <c r="E1346" t="s">
        <v>434</v>
      </c>
      <c r="F1346" t="s">
        <v>22</v>
      </c>
      <c r="G1346" t="s">
        <v>23</v>
      </c>
      <c r="H1346" t="s">
        <v>17</v>
      </c>
      <c r="I1346" t="s">
        <v>18</v>
      </c>
      <c r="J1346" t="s">
        <v>19</v>
      </c>
      <c r="K1346">
        <v>627</v>
      </c>
      <c r="L1346">
        <v>0</v>
      </c>
      <c r="M1346" t="s">
        <v>20</v>
      </c>
    </row>
    <row r="1347" spans="1:13" x14ac:dyDescent="0.35">
      <c r="A1347">
        <v>1346</v>
      </c>
      <c r="B1347">
        <v>583006776</v>
      </c>
      <c r="C1347">
        <v>38112</v>
      </c>
      <c r="D1347" t="s">
        <v>21</v>
      </c>
      <c r="E1347" t="s">
        <v>434</v>
      </c>
      <c r="F1347" t="s">
        <v>22</v>
      </c>
      <c r="G1347" t="s">
        <v>23</v>
      </c>
      <c r="H1347" t="s">
        <v>17</v>
      </c>
      <c r="I1347" t="s">
        <v>18</v>
      </c>
      <c r="J1347" t="s">
        <v>19</v>
      </c>
      <c r="K1347">
        <v>1314</v>
      </c>
      <c r="L1347">
        <v>0</v>
      </c>
      <c r="M1347" t="s">
        <v>20</v>
      </c>
    </row>
    <row r="1348" spans="1:13" x14ac:dyDescent="0.35">
      <c r="A1348">
        <v>1347</v>
      </c>
      <c r="B1348">
        <v>583006776</v>
      </c>
      <c r="C1348">
        <v>38112</v>
      </c>
      <c r="D1348" t="s">
        <v>21</v>
      </c>
      <c r="E1348" t="s">
        <v>434</v>
      </c>
      <c r="F1348" t="s">
        <v>22</v>
      </c>
      <c r="G1348" t="s">
        <v>23</v>
      </c>
      <c r="H1348" t="s">
        <v>17</v>
      </c>
      <c r="I1348" t="s">
        <v>18</v>
      </c>
      <c r="J1348" t="s">
        <v>19</v>
      </c>
      <c r="K1348">
        <v>270</v>
      </c>
      <c r="L1348">
        <v>0</v>
      </c>
      <c r="M1348" t="s">
        <v>20</v>
      </c>
    </row>
    <row r="1349" spans="1:13" x14ac:dyDescent="0.35">
      <c r="A1349">
        <v>1348</v>
      </c>
      <c r="B1349">
        <v>583006788</v>
      </c>
      <c r="C1349">
        <v>38128</v>
      </c>
      <c r="D1349" t="s">
        <v>21</v>
      </c>
      <c r="E1349" t="s">
        <v>434</v>
      </c>
      <c r="F1349" t="s">
        <v>22</v>
      </c>
      <c r="G1349" t="s">
        <v>23</v>
      </c>
      <c r="H1349" t="s">
        <v>17</v>
      </c>
      <c r="I1349" t="s">
        <v>135</v>
      </c>
      <c r="J1349" t="s">
        <v>19</v>
      </c>
      <c r="K1349">
        <v>3016.8</v>
      </c>
      <c r="L1349">
        <v>0</v>
      </c>
      <c r="M1349" t="s">
        <v>20</v>
      </c>
    </row>
    <row r="1350" spans="1:13" x14ac:dyDescent="0.35">
      <c r="A1350">
        <v>1349</v>
      </c>
      <c r="B1350">
        <v>583006779</v>
      </c>
      <c r="C1350">
        <v>38116</v>
      </c>
      <c r="D1350" t="s">
        <v>56</v>
      </c>
      <c r="E1350" t="s">
        <v>434</v>
      </c>
      <c r="F1350" t="s">
        <v>57</v>
      </c>
      <c r="G1350" t="s">
        <v>58</v>
      </c>
      <c r="H1350" t="s">
        <v>17</v>
      </c>
      <c r="I1350" t="s">
        <v>18</v>
      </c>
      <c r="J1350" t="s">
        <v>19</v>
      </c>
      <c r="K1350">
        <v>234</v>
      </c>
      <c r="L1350">
        <v>0</v>
      </c>
      <c r="M1350" t="s">
        <v>20</v>
      </c>
    </row>
    <row r="1351" spans="1:13" x14ac:dyDescent="0.35">
      <c r="A1351">
        <v>1350</v>
      </c>
      <c r="B1351">
        <v>583006779</v>
      </c>
      <c r="C1351">
        <v>38116</v>
      </c>
      <c r="D1351" t="s">
        <v>56</v>
      </c>
      <c r="E1351" t="s">
        <v>434</v>
      </c>
      <c r="F1351" t="s">
        <v>57</v>
      </c>
      <c r="G1351" t="s">
        <v>58</v>
      </c>
      <c r="H1351" t="s">
        <v>17</v>
      </c>
      <c r="I1351" t="s">
        <v>18</v>
      </c>
      <c r="J1351" t="s">
        <v>19</v>
      </c>
      <c r="K1351">
        <v>21</v>
      </c>
      <c r="L1351">
        <v>0</v>
      </c>
      <c r="M1351" t="s">
        <v>20</v>
      </c>
    </row>
    <row r="1352" spans="1:13" x14ac:dyDescent="0.35">
      <c r="A1352">
        <v>1351</v>
      </c>
      <c r="B1352">
        <v>583006776</v>
      </c>
      <c r="C1352">
        <v>38112</v>
      </c>
      <c r="D1352" t="s">
        <v>21</v>
      </c>
      <c r="E1352" t="s">
        <v>434</v>
      </c>
      <c r="F1352" t="s">
        <v>22</v>
      </c>
      <c r="G1352" t="s">
        <v>23</v>
      </c>
      <c r="H1352" t="s">
        <v>17</v>
      </c>
      <c r="I1352" t="s">
        <v>18</v>
      </c>
      <c r="J1352" t="s">
        <v>19</v>
      </c>
      <c r="K1352">
        <v>1314</v>
      </c>
      <c r="L1352">
        <v>0</v>
      </c>
      <c r="M1352" t="s">
        <v>20</v>
      </c>
    </row>
    <row r="1353" spans="1:13" x14ac:dyDescent="0.35">
      <c r="A1353">
        <v>1352</v>
      </c>
      <c r="B1353">
        <v>583006819</v>
      </c>
      <c r="C1353">
        <v>38168</v>
      </c>
      <c r="D1353" t="s">
        <v>438</v>
      </c>
      <c r="E1353" t="s">
        <v>434</v>
      </c>
      <c r="F1353" t="s">
        <v>439</v>
      </c>
      <c r="G1353" t="s">
        <v>440</v>
      </c>
      <c r="H1353" t="s">
        <v>17</v>
      </c>
      <c r="I1353" t="s">
        <v>18</v>
      </c>
      <c r="J1353" t="s">
        <v>19</v>
      </c>
      <c r="K1353">
        <v>1242</v>
      </c>
      <c r="L1353">
        <v>0</v>
      </c>
      <c r="M1353" t="s">
        <v>20</v>
      </c>
    </row>
    <row r="1354" spans="1:13" x14ac:dyDescent="0.35">
      <c r="A1354">
        <v>1353</v>
      </c>
      <c r="B1354">
        <v>583006779</v>
      </c>
      <c r="C1354">
        <v>38116</v>
      </c>
      <c r="D1354" t="s">
        <v>56</v>
      </c>
      <c r="E1354" t="s">
        <v>434</v>
      </c>
      <c r="F1354" t="s">
        <v>57</v>
      </c>
      <c r="G1354" t="s">
        <v>58</v>
      </c>
      <c r="H1354" t="s">
        <v>17</v>
      </c>
      <c r="I1354" t="s">
        <v>18</v>
      </c>
      <c r="J1354" t="s">
        <v>19</v>
      </c>
      <c r="K1354">
        <v>591</v>
      </c>
      <c r="L1354">
        <v>0</v>
      </c>
      <c r="M1354" t="s">
        <v>20</v>
      </c>
    </row>
    <row r="1355" spans="1:13" x14ac:dyDescent="0.35">
      <c r="A1355">
        <v>1354</v>
      </c>
      <c r="B1355">
        <v>583006779</v>
      </c>
      <c r="C1355">
        <v>38116</v>
      </c>
      <c r="D1355" t="s">
        <v>56</v>
      </c>
      <c r="E1355" t="s">
        <v>434</v>
      </c>
      <c r="F1355" t="s">
        <v>57</v>
      </c>
      <c r="G1355" t="s">
        <v>58</v>
      </c>
      <c r="H1355" t="s">
        <v>17</v>
      </c>
      <c r="I1355" t="s">
        <v>18</v>
      </c>
      <c r="J1355" t="s">
        <v>19</v>
      </c>
      <c r="K1355">
        <v>72</v>
      </c>
      <c r="L1355">
        <v>0</v>
      </c>
      <c r="M1355" t="s">
        <v>20</v>
      </c>
    </row>
    <row r="1356" spans="1:13" x14ac:dyDescent="0.35">
      <c r="A1356">
        <v>1355</v>
      </c>
      <c r="B1356">
        <v>583006768</v>
      </c>
      <c r="C1356">
        <v>38102</v>
      </c>
      <c r="D1356" t="s">
        <v>65</v>
      </c>
      <c r="E1356" t="s">
        <v>434</v>
      </c>
      <c r="F1356" t="s">
        <v>66</v>
      </c>
      <c r="G1356" t="s">
        <v>67</v>
      </c>
      <c r="H1356" t="s">
        <v>17</v>
      </c>
      <c r="I1356" t="s">
        <v>18</v>
      </c>
      <c r="J1356" t="s">
        <v>19</v>
      </c>
      <c r="K1356">
        <v>90</v>
      </c>
      <c r="L1356">
        <v>0</v>
      </c>
      <c r="M1356" t="s">
        <v>20</v>
      </c>
    </row>
    <row r="1357" spans="1:13" x14ac:dyDescent="0.35">
      <c r="A1357">
        <v>1356</v>
      </c>
      <c r="B1357">
        <v>583006759</v>
      </c>
      <c r="C1357">
        <v>38092</v>
      </c>
      <c r="D1357" t="s">
        <v>344</v>
      </c>
      <c r="E1357" t="s">
        <v>434</v>
      </c>
      <c r="F1357" t="s">
        <v>345</v>
      </c>
      <c r="G1357" t="s">
        <v>346</v>
      </c>
      <c r="H1357" t="s">
        <v>17</v>
      </c>
      <c r="I1357" t="s">
        <v>63</v>
      </c>
      <c r="J1357" t="s">
        <v>64</v>
      </c>
      <c r="K1357">
        <v>74</v>
      </c>
      <c r="L1357">
        <v>130.97999999999999</v>
      </c>
      <c r="M1357" t="s">
        <v>20</v>
      </c>
    </row>
    <row r="1358" spans="1:13" x14ac:dyDescent="0.35">
      <c r="A1358">
        <v>1357</v>
      </c>
      <c r="B1358">
        <v>583006761</v>
      </c>
      <c r="C1358">
        <v>38094</v>
      </c>
      <c r="D1358" t="s">
        <v>13</v>
      </c>
      <c r="E1358" t="s">
        <v>434</v>
      </c>
      <c r="F1358" t="s">
        <v>15</v>
      </c>
      <c r="G1358" t="s">
        <v>16</v>
      </c>
      <c r="H1358" t="s">
        <v>17</v>
      </c>
      <c r="I1358" t="s">
        <v>135</v>
      </c>
      <c r="J1358" t="s">
        <v>19</v>
      </c>
      <c r="K1358">
        <v>171</v>
      </c>
      <c r="L1358">
        <v>0</v>
      </c>
      <c r="M1358" t="s">
        <v>20</v>
      </c>
    </row>
    <row r="1359" spans="1:13" x14ac:dyDescent="0.35">
      <c r="A1359">
        <v>1358</v>
      </c>
      <c r="B1359">
        <v>583006762</v>
      </c>
      <c r="C1359">
        <v>38095</v>
      </c>
      <c r="D1359" t="s">
        <v>13</v>
      </c>
      <c r="E1359" t="s">
        <v>434</v>
      </c>
      <c r="F1359" t="s">
        <v>15</v>
      </c>
      <c r="G1359" t="s">
        <v>16</v>
      </c>
      <c r="H1359" t="s">
        <v>17</v>
      </c>
      <c r="I1359" t="s">
        <v>24</v>
      </c>
      <c r="J1359" t="s">
        <v>25</v>
      </c>
      <c r="K1359">
        <v>1</v>
      </c>
      <c r="L1359">
        <v>0</v>
      </c>
      <c r="M1359" t="s">
        <v>20</v>
      </c>
    </row>
    <row r="1360" spans="1:13" x14ac:dyDescent="0.35">
      <c r="A1360">
        <v>1359</v>
      </c>
      <c r="B1360">
        <v>583006782</v>
      </c>
      <c r="C1360">
        <v>38119</v>
      </c>
      <c r="D1360" t="s">
        <v>289</v>
      </c>
      <c r="E1360" t="s">
        <v>434</v>
      </c>
      <c r="F1360" t="s">
        <v>290</v>
      </c>
      <c r="G1360" t="s">
        <v>291</v>
      </c>
      <c r="H1360" t="s">
        <v>17</v>
      </c>
      <c r="I1360" t="s">
        <v>24</v>
      </c>
      <c r="J1360" t="s">
        <v>25</v>
      </c>
      <c r="K1360">
        <v>14</v>
      </c>
      <c r="L1360">
        <v>0</v>
      </c>
      <c r="M1360" t="s">
        <v>20</v>
      </c>
    </row>
    <row r="1361" spans="1:13" x14ac:dyDescent="0.35">
      <c r="A1361">
        <v>1360</v>
      </c>
      <c r="B1361">
        <v>583006783</v>
      </c>
      <c r="C1361">
        <v>38120</v>
      </c>
      <c r="D1361" t="s">
        <v>289</v>
      </c>
      <c r="E1361" t="s">
        <v>434</v>
      </c>
      <c r="F1361" t="s">
        <v>290</v>
      </c>
      <c r="G1361" t="s">
        <v>291</v>
      </c>
      <c r="H1361" t="s">
        <v>17</v>
      </c>
      <c r="I1361" t="s">
        <v>18</v>
      </c>
      <c r="J1361" t="s">
        <v>19</v>
      </c>
      <c r="K1361">
        <v>27</v>
      </c>
      <c r="L1361">
        <v>0</v>
      </c>
      <c r="M1361" t="s">
        <v>20</v>
      </c>
    </row>
    <row r="1362" spans="1:13" x14ac:dyDescent="0.35">
      <c r="A1362">
        <v>1361</v>
      </c>
      <c r="B1362">
        <v>583006783</v>
      </c>
      <c r="C1362">
        <v>38120</v>
      </c>
      <c r="D1362" t="s">
        <v>289</v>
      </c>
      <c r="E1362" t="s">
        <v>434</v>
      </c>
      <c r="F1362" t="s">
        <v>290</v>
      </c>
      <c r="G1362" t="s">
        <v>291</v>
      </c>
      <c r="H1362" t="s">
        <v>17</v>
      </c>
      <c r="I1362" t="s">
        <v>18</v>
      </c>
      <c r="J1362" t="s">
        <v>19</v>
      </c>
      <c r="K1362">
        <v>2778</v>
      </c>
      <c r="L1362">
        <v>0</v>
      </c>
      <c r="M1362" t="s">
        <v>20</v>
      </c>
    </row>
    <row r="1363" spans="1:13" x14ac:dyDescent="0.35">
      <c r="A1363">
        <v>1362</v>
      </c>
      <c r="B1363">
        <v>583006783</v>
      </c>
      <c r="C1363">
        <v>38120</v>
      </c>
      <c r="D1363" t="s">
        <v>289</v>
      </c>
      <c r="E1363" t="s">
        <v>434</v>
      </c>
      <c r="F1363" t="s">
        <v>290</v>
      </c>
      <c r="G1363" t="s">
        <v>291</v>
      </c>
      <c r="H1363" t="s">
        <v>17</v>
      </c>
      <c r="I1363" t="s">
        <v>18</v>
      </c>
      <c r="J1363" t="s">
        <v>19</v>
      </c>
      <c r="K1363">
        <v>1551</v>
      </c>
      <c r="L1363">
        <v>0</v>
      </c>
      <c r="M1363" t="s">
        <v>20</v>
      </c>
    </row>
    <row r="1364" spans="1:13" x14ac:dyDescent="0.35">
      <c r="A1364">
        <v>1363</v>
      </c>
      <c r="B1364">
        <v>583006826</v>
      </c>
      <c r="C1364">
        <v>38176</v>
      </c>
      <c r="D1364" t="s">
        <v>132</v>
      </c>
      <c r="E1364" t="s">
        <v>434</v>
      </c>
      <c r="F1364" t="s">
        <v>133</v>
      </c>
      <c r="G1364" t="s">
        <v>134</v>
      </c>
      <c r="H1364" t="s">
        <v>17</v>
      </c>
      <c r="I1364" t="s">
        <v>35</v>
      </c>
      <c r="J1364" t="s">
        <v>25</v>
      </c>
      <c r="K1364">
        <v>6</v>
      </c>
      <c r="L1364">
        <v>0</v>
      </c>
      <c r="M1364" t="s">
        <v>20</v>
      </c>
    </row>
    <row r="1365" spans="1:13" x14ac:dyDescent="0.35">
      <c r="A1365">
        <v>1364</v>
      </c>
      <c r="B1365">
        <v>583006757</v>
      </c>
      <c r="C1365">
        <v>38090</v>
      </c>
      <c r="D1365" t="s">
        <v>441</v>
      </c>
      <c r="E1365" t="s">
        <v>434</v>
      </c>
      <c r="F1365" t="s">
        <v>442</v>
      </c>
      <c r="G1365" t="s">
        <v>443</v>
      </c>
      <c r="H1365" t="s">
        <v>17</v>
      </c>
      <c r="I1365" t="s">
        <v>18</v>
      </c>
      <c r="J1365" t="s">
        <v>19</v>
      </c>
      <c r="K1365">
        <v>12</v>
      </c>
      <c r="L1365">
        <v>0</v>
      </c>
      <c r="M1365" t="s">
        <v>20</v>
      </c>
    </row>
    <row r="1366" spans="1:13" x14ac:dyDescent="0.35">
      <c r="A1366">
        <v>1365</v>
      </c>
      <c r="B1366">
        <v>583006796</v>
      </c>
      <c r="C1366">
        <v>38137</v>
      </c>
      <c r="D1366" t="s">
        <v>147</v>
      </c>
      <c r="E1366" t="s">
        <v>434</v>
      </c>
      <c r="F1366" t="s">
        <v>148</v>
      </c>
      <c r="G1366" t="s">
        <v>149</v>
      </c>
      <c r="H1366" t="s">
        <v>17</v>
      </c>
      <c r="I1366" t="s">
        <v>18</v>
      </c>
      <c r="J1366" t="s">
        <v>19</v>
      </c>
      <c r="K1366">
        <v>105</v>
      </c>
      <c r="L1366">
        <v>0</v>
      </c>
      <c r="M1366" t="s">
        <v>20</v>
      </c>
    </row>
    <row r="1367" spans="1:13" x14ac:dyDescent="0.35">
      <c r="A1367">
        <v>1366</v>
      </c>
      <c r="B1367">
        <v>583006796</v>
      </c>
      <c r="C1367">
        <v>38137</v>
      </c>
      <c r="D1367" t="s">
        <v>147</v>
      </c>
      <c r="E1367" t="s">
        <v>434</v>
      </c>
      <c r="F1367" t="s">
        <v>148</v>
      </c>
      <c r="G1367" t="s">
        <v>149</v>
      </c>
      <c r="H1367" t="s">
        <v>17</v>
      </c>
      <c r="I1367" t="s">
        <v>18</v>
      </c>
      <c r="J1367" t="s">
        <v>19</v>
      </c>
      <c r="K1367">
        <v>36</v>
      </c>
      <c r="L1367">
        <v>0</v>
      </c>
      <c r="M1367" t="s">
        <v>20</v>
      </c>
    </row>
    <row r="1368" spans="1:13" x14ac:dyDescent="0.35">
      <c r="A1368">
        <v>1367</v>
      </c>
      <c r="B1368">
        <v>583006797</v>
      </c>
      <c r="C1368">
        <v>38138</v>
      </c>
      <c r="D1368" t="s">
        <v>147</v>
      </c>
      <c r="E1368" t="s">
        <v>434</v>
      </c>
      <c r="F1368" t="s">
        <v>148</v>
      </c>
      <c r="G1368" t="s">
        <v>149</v>
      </c>
      <c r="H1368" t="s">
        <v>17</v>
      </c>
      <c r="I1368" t="s">
        <v>18</v>
      </c>
      <c r="J1368" t="s">
        <v>19</v>
      </c>
      <c r="K1368">
        <v>36</v>
      </c>
      <c r="L1368">
        <v>0</v>
      </c>
      <c r="M1368" t="s">
        <v>20</v>
      </c>
    </row>
    <row r="1369" spans="1:13" x14ac:dyDescent="0.35">
      <c r="A1369">
        <v>1368</v>
      </c>
      <c r="B1369">
        <v>583006885</v>
      </c>
      <c r="C1369">
        <v>38261</v>
      </c>
      <c r="D1369" t="s">
        <v>181</v>
      </c>
      <c r="E1369" t="s">
        <v>444</v>
      </c>
      <c r="F1369" t="s">
        <v>182</v>
      </c>
      <c r="G1369" t="s">
        <v>183</v>
      </c>
      <c r="H1369" t="s">
        <v>17</v>
      </c>
      <c r="I1369" t="s">
        <v>24</v>
      </c>
      <c r="J1369" t="s">
        <v>25</v>
      </c>
      <c r="K1369">
        <v>3</v>
      </c>
      <c r="L1369">
        <v>0</v>
      </c>
      <c r="M1369" t="s">
        <v>20</v>
      </c>
    </row>
    <row r="1370" spans="1:13" x14ac:dyDescent="0.35">
      <c r="A1370">
        <v>1369</v>
      </c>
      <c r="B1370">
        <v>583006887</v>
      </c>
      <c r="C1370">
        <v>38264</v>
      </c>
      <c r="D1370" t="s">
        <v>181</v>
      </c>
      <c r="E1370" t="s">
        <v>444</v>
      </c>
      <c r="F1370" t="s">
        <v>182</v>
      </c>
      <c r="G1370" t="s">
        <v>183</v>
      </c>
      <c r="H1370" t="s">
        <v>17</v>
      </c>
      <c r="I1370" t="s">
        <v>18</v>
      </c>
      <c r="J1370" t="s">
        <v>19</v>
      </c>
      <c r="K1370">
        <v>450</v>
      </c>
      <c r="L1370">
        <v>0</v>
      </c>
      <c r="M1370" t="s">
        <v>20</v>
      </c>
    </row>
    <row r="1371" spans="1:13" x14ac:dyDescent="0.35">
      <c r="A1371">
        <v>1370</v>
      </c>
      <c r="B1371">
        <v>583006884</v>
      </c>
      <c r="C1371">
        <v>38260</v>
      </c>
      <c r="D1371" t="s">
        <v>181</v>
      </c>
      <c r="E1371" t="s">
        <v>444</v>
      </c>
      <c r="F1371" t="s">
        <v>182</v>
      </c>
      <c r="G1371" t="s">
        <v>183</v>
      </c>
      <c r="H1371" t="s">
        <v>17</v>
      </c>
      <c r="I1371" t="s">
        <v>135</v>
      </c>
      <c r="J1371" t="s">
        <v>19</v>
      </c>
      <c r="K1371">
        <v>2864</v>
      </c>
      <c r="L1371">
        <v>0</v>
      </c>
      <c r="M1371" t="s">
        <v>20</v>
      </c>
    </row>
    <row r="1372" spans="1:13" x14ac:dyDescent="0.35">
      <c r="A1372">
        <v>1371</v>
      </c>
      <c r="B1372">
        <v>583006900</v>
      </c>
      <c r="C1372">
        <v>38277</v>
      </c>
      <c r="D1372" t="s">
        <v>116</v>
      </c>
      <c r="E1372" t="s">
        <v>444</v>
      </c>
      <c r="F1372" t="s">
        <v>117</v>
      </c>
      <c r="G1372" t="s">
        <v>118</v>
      </c>
      <c r="H1372" t="s">
        <v>17</v>
      </c>
      <c r="I1372" t="s">
        <v>18</v>
      </c>
      <c r="J1372" t="s">
        <v>19</v>
      </c>
      <c r="K1372">
        <v>3369</v>
      </c>
      <c r="L1372">
        <v>0</v>
      </c>
      <c r="M1372" t="s">
        <v>20</v>
      </c>
    </row>
    <row r="1373" spans="1:13" x14ac:dyDescent="0.35">
      <c r="A1373">
        <v>1372</v>
      </c>
      <c r="B1373">
        <v>583006899</v>
      </c>
      <c r="C1373">
        <v>38276</v>
      </c>
      <c r="D1373" t="s">
        <v>116</v>
      </c>
      <c r="E1373" t="s">
        <v>444</v>
      </c>
      <c r="F1373" t="s">
        <v>117</v>
      </c>
      <c r="G1373" t="s">
        <v>118</v>
      </c>
      <c r="H1373" t="s">
        <v>17</v>
      </c>
      <c r="I1373" t="s">
        <v>18</v>
      </c>
      <c r="J1373" t="s">
        <v>19</v>
      </c>
      <c r="K1373">
        <v>3801</v>
      </c>
      <c r="L1373">
        <v>0</v>
      </c>
      <c r="M1373" t="s">
        <v>20</v>
      </c>
    </row>
    <row r="1374" spans="1:13" x14ac:dyDescent="0.35">
      <c r="A1374">
        <v>1373</v>
      </c>
      <c r="B1374">
        <v>583006894</v>
      </c>
      <c r="C1374">
        <v>38271</v>
      </c>
      <c r="D1374" t="s">
        <v>116</v>
      </c>
      <c r="E1374" t="s">
        <v>444</v>
      </c>
      <c r="F1374" t="s">
        <v>117</v>
      </c>
      <c r="G1374" t="s">
        <v>118</v>
      </c>
      <c r="H1374" t="s">
        <v>17</v>
      </c>
      <c r="I1374" t="s">
        <v>18</v>
      </c>
      <c r="J1374" t="s">
        <v>19</v>
      </c>
      <c r="K1374">
        <v>2937</v>
      </c>
      <c r="L1374">
        <v>0</v>
      </c>
      <c r="M1374" t="s">
        <v>20</v>
      </c>
    </row>
    <row r="1375" spans="1:13" x14ac:dyDescent="0.35">
      <c r="A1375">
        <v>1374</v>
      </c>
      <c r="B1375">
        <v>583006881</v>
      </c>
      <c r="C1375">
        <v>38257</v>
      </c>
      <c r="D1375" t="s">
        <v>445</v>
      </c>
      <c r="E1375" t="s">
        <v>444</v>
      </c>
      <c r="F1375" t="s">
        <v>446</v>
      </c>
      <c r="G1375" t="s">
        <v>447</v>
      </c>
      <c r="H1375" t="s">
        <v>17</v>
      </c>
      <c r="I1375" t="s">
        <v>18</v>
      </c>
      <c r="J1375" t="s">
        <v>19</v>
      </c>
      <c r="K1375">
        <v>108</v>
      </c>
      <c r="L1375">
        <v>0</v>
      </c>
      <c r="M1375" t="s">
        <v>20</v>
      </c>
    </row>
    <row r="1376" spans="1:13" x14ac:dyDescent="0.35">
      <c r="A1376">
        <v>1375</v>
      </c>
      <c r="B1376">
        <v>583006881</v>
      </c>
      <c r="C1376">
        <v>38257</v>
      </c>
      <c r="D1376" t="s">
        <v>445</v>
      </c>
      <c r="E1376" t="s">
        <v>444</v>
      </c>
      <c r="F1376" t="s">
        <v>446</v>
      </c>
      <c r="G1376" t="s">
        <v>447</v>
      </c>
      <c r="H1376" t="s">
        <v>17</v>
      </c>
      <c r="I1376" t="s">
        <v>18</v>
      </c>
      <c r="J1376" t="s">
        <v>19</v>
      </c>
      <c r="K1376">
        <v>360</v>
      </c>
      <c r="L1376">
        <v>0</v>
      </c>
      <c r="M1376" t="s">
        <v>20</v>
      </c>
    </row>
    <row r="1377" spans="1:13" x14ac:dyDescent="0.35">
      <c r="A1377">
        <v>1376</v>
      </c>
      <c r="B1377">
        <v>583006881</v>
      </c>
      <c r="C1377">
        <v>38257</v>
      </c>
      <c r="D1377" t="s">
        <v>445</v>
      </c>
      <c r="E1377" t="s">
        <v>444</v>
      </c>
      <c r="F1377" t="s">
        <v>446</v>
      </c>
      <c r="G1377" t="s">
        <v>447</v>
      </c>
      <c r="H1377" t="s">
        <v>17</v>
      </c>
      <c r="I1377" t="s">
        <v>18</v>
      </c>
      <c r="J1377" t="s">
        <v>19</v>
      </c>
      <c r="K1377">
        <v>180</v>
      </c>
      <c r="L1377">
        <v>0</v>
      </c>
      <c r="M1377" t="s">
        <v>20</v>
      </c>
    </row>
    <row r="1378" spans="1:13" x14ac:dyDescent="0.35">
      <c r="A1378">
        <v>1377</v>
      </c>
      <c r="B1378">
        <v>583006881</v>
      </c>
      <c r="C1378">
        <v>38257</v>
      </c>
      <c r="D1378" t="s">
        <v>445</v>
      </c>
      <c r="E1378" t="s">
        <v>444</v>
      </c>
      <c r="F1378" t="s">
        <v>446</v>
      </c>
      <c r="G1378" t="s">
        <v>447</v>
      </c>
      <c r="H1378" t="s">
        <v>17</v>
      </c>
      <c r="I1378" t="s">
        <v>18</v>
      </c>
      <c r="J1378" t="s">
        <v>19</v>
      </c>
      <c r="K1378">
        <v>951</v>
      </c>
      <c r="L1378">
        <v>0</v>
      </c>
      <c r="M1378" t="s">
        <v>20</v>
      </c>
    </row>
    <row r="1379" spans="1:13" x14ac:dyDescent="0.35">
      <c r="A1379">
        <v>1378</v>
      </c>
      <c r="B1379">
        <v>583006859</v>
      </c>
      <c r="C1379">
        <v>38227</v>
      </c>
      <c r="D1379" t="s">
        <v>116</v>
      </c>
      <c r="E1379" t="s">
        <v>444</v>
      </c>
      <c r="F1379" t="s">
        <v>117</v>
      </c>
      <c r="G1379" t="s">
        <v>118</v>
      </c>
      <c r="H1379" t="s">
        <v>17</v>
      </c>
      <c r="I1379" t="s">
        <v>18</v>
      </c>
      <c r="J1379" t="s">
        <v>19</v>
      </c>
      <c r="K1379">
        <v>4011</v>
      </c>
      <c r="L1379">
        <v>0</v>
      </c>
      <c r="M1379" t="s">
        <v>20</v>
      </c>
    </row>
    <row r="1380" spans="1:13" x14ac:dyDescent="0.35">
      <c r="A1380">
        <v>1379</v>
      </c>
      <c r="B1380">
        <v>583006858</v>
      </c>
      <c r="C1380">
        <v>38226</v>
      </c>
      <c r="D1380" t="s">
        <v>116</v>
      </c>
      <c r="E1380" t="s">
        <v>444</v>
      </c>
      <c r="F1380" t="s">
        <v>117</v>
      </c>
      <c r="G1380" t="s">
        <v>118</v>
      </c>
      <c r="H1380" t="s">
        <v>17</v>
      </c>
      <c r="I1380" t="s">
        <v>18</v>
      </c>
      <c r="J1380" t="s">
        <v>19</v>
      </c>
      <c r="K1380">
        <v>7287</v>
      </c>
      <c r="L1380">
        <v>0</v>
      </c>
      <c r="M1380" t="s">
        <v>20</v>
      </c>
    </row>
    <row r="1381" spans="1:13" x14ac:dyDescent="0.35">
      <c r="A1381">
        <v>1380</v>
      </c>
      <c r="B1381">
        <v>583006857</v>
      </c>
      <c r="C1381">
        <v>38225</v>
      </c>
      <c r="D1381" t="s">
        <v>116</v>
      </c>
      <c r="E1381" t="s">
        <v>444</v>
      </c>
      <c r="F1381" t="s">
        <v>117</v>
      </c>
      <c r="G1381" t="s">
        <v>118</v>
      </c>
      <c r="H1381" t="s">
        <v>17</v>
      </c>
      <c r="I1381" t="s">
        <v>18</v>
      </c>
      <c r="J1381" t="s">
        <v>19</v>
      </c>
      <c r="K1381">
        <v>3513</v>
      </c>
      <c r="L1381">
        <v>0</v>
      </c>
      <c r="M1381" t="s">
        <v>20</v>
      </c>
    </row>
    <row r="1382" spans="1:13" x14ac:dyDescent="0.35">
      <c r="A1382">
        <v>1381</v>
      </c>
      <c r="B1382">
        <v>583006872</v>
      </c>
      <c r="C1382">
        <v>38245</v>
      </c>
      <c r="D1382" t="s">
        <v>21</v>
      </c>
      <c r="E1382" t="s">
        <v>444</v>
      </c>
      <c r="F1382" t="s">
        <v>22</v>
      </c>
      <c r="G1382" t="s">
        <v>23</v>
      </c>
      <c r="H1382" t="s">
        <v>17</v>
      </c>
      <c r="I1382" t="s">
        <v>24</v>
      </c>
      <c r="J1382" t="s">
        <v>25</v>
      </c>
      <c r="K1382">
        <v>10</v>
      </c>
      <c r="L1382">
        <v>0</v>
      </c>
      <c r="M1382" t="s">
        <v>20</v>
      </c>
    </row>
    <row r="1383" spans="1:13" x14ac:dyDescent="0.35">
      <c r="A1383">
        <v>1382</v>
      </c>
      <c r="B1383">
        <v>583006909</v>
      </c>
      <c r="C1383">
        <v>38287</v>
      </c>
      <c r="D1383" t="s">
        <v>116</v>
      </c>
      <c r="E1383" t="s">
        <v>444</v>
      </c>
      <c r="F1383" t="s">
        <v>117</v>
      </c>
      <c r="G1383" t="s">
        <v>118</v>
      </c>
      <c r="H1383" t="s">
        <v>17</v>
      </c>
      <c r="I1383" t="s">
        <v>18</v>
      </c>
      <c r="J1383" t="s">
        <v>19</v>
      </c>
      <c r="K1383">
        <v>3399</v>
      </c>
      <c r="L1383">
        <v>0</v>
      </c>
      <c r="M1383" t="s">
        <v>20</v>
      </c>
    </row>
    <row r="1384" spans="1:13" x14ac:dyDescent="0.35">
      <c r="A1384">
        <v>1383</v>
      </c>
      <c r="B1384">
        <v>583006908</v>
      </c>
      <c r="C1384">
        <v>38285</v>
      </c>
      <c r="D1384" t="s">
        <v>196</v>
      </c>
      <c r="E1384" t="s">
        <v>444</v>
      </c>
      <c r="F1384" t="s">
        <v>197</v>
      </c>
      <c r="G1384" t="s">
        <v>198</v>
      </c>
      <c r="H1384" t="s">
        <v>17</v>
      </c>
      <c r="I1384" t="s">
        <v>18</v>
      </c>
      <c r="J1384" t="s">
        <v>19</v>
      </c>
      <c r="K1384">
        <v>36</v>
      </c>
      <c r="L1384">
        <v>0</v>
      </c>
      <c r="M1384" t="s">
        <v>20</v>
      </c>
    </row>
    <row r="1385" spans="1:13" x14ac:dyDescent="0.35">
      <c r="A1385">
        <v>1384</v>
      </c>
      <c r="B1385">
        <v>583006908</v>
      </c>
      <c r="C1385">
        <v>38285</v>
      </c>
      <c r="D1385" t="s">
        <v>196</v>
      </c>
      <c r="E1385" t="s">
        <v>444</v>
      </c>
      <c r="F1385" t="s">
        <v>197</v>
      </c>
      <c r="G1385" t="s">
        <v>198</v>
      </c>
      <c r="H1385" t="s">
        <v>17</v>
      </c>
      <c r="I1385" t="s">
        <v>18</v>
      </c>
      <c r="J1385" t="s">
        <v>19</v>
      </c>
      <c r="K1385">
        <v>144</v>
      </c>
      <c r="L1385">
        <v>0</v>
      </c>
      <c r="M1385" t="s">
        <v>20</v>
      </c>
    </row>
    <row r="1386" spans="1:13" x14ac:dyDescent="0.35">
      <c r="A1386">
        <v>1385</v>
      </c>
      <c r="B1386">
        <v>583006908</v>
      </c>
      <c r="C1386">
        <v>38285</v>
      </c>
      <c r="D1386" t="s">
        <v>196</v>
      </c>
      <c r="E1386" t="s">
        <v>444</v>
      </c>
      <c r="F1386" t="s">
        <v>197</v>
      </c>
      <c r="G1386" t="s">
        <v>198</v>
      </c>
      <c r="H1386" t="s">
        <v>17</v>
      </c>
      <c r="I1386" t="s">
        <v>18</v>
      </c>
      <c r="J1386" t="s">
        <v>19</v>
      </c>
      <c r="K1386">
        <v>1083</v>
      </c>
      <c r="L1386">
        <v>0</v>
      </c>
      <c r="M1386" t="s">
        <v>20</v>
      </c>
    </row>
    <row r="1387" spans="1:13" x14ac:dyDescent="0.35">
      <c r="A1387">
        <v>1386</v>
      </c>
      <c r="B1387">
        <v>583006907</v>
      </c>
      <c r="C1387">
        <v>38284</v>
      </c>
      <c r="D1387" t="s">
        <v>196</v>
      </c>
      <c r="E1387" t="s">
        <v>444</v>
      </c>
      <c r="F1387" t="s">
        <v>197</v>
      </c>
      <c r="G1387" t="s">
        <v>198</v>
      </c>
      <c r="H1387" t="s">
        <v>17</v>
      </c>
      <c r="I1387" t="s">
        <v>35</v>
      </c>
      <c r="J1387" t="s">
        <v>25</v>
      </c>
      <c r="K1387">
        <v>7</v>
      </c>
      <c r="L1387">
        <v>0</v>
      </c>
      <c r="M1387" t="s">
        <v>20</v>
      </c>
    </row>
    <row r="1388" spans="1:13" x14ac:dyDescent="0.35">
      <c r="A1388">
        <v>1387</v>
      </c>
      <c r="B1388">
        <v>583006906</v>
      </c>
      <c r="C1388">
        <v>38283</v>
      </c>
      <c r="D1388" t="s">
        <v>196</v>
      </c>
      <c r="E1388" t="s">
        <v>444</v>
      </c>
      <c r="F1388" t="s">
        <v>197</v>
      </c>
      <c r="G1388" t="s">
        <v>198</v>
      </c>
      <c r="H1388" t="s">
        <v>17</v>
      </c>
      <c r="I1388" t="s">
        <v>135</v>
      </c>
      <c r="J1388" t="s">
        <v>19</v>
      </c>
      <c r="K1388">
        <v>750</v>
      </c>
      <c r="L1388">
        <v>0</v>
      </c>
      <c r="M1388" t="s">
        <v>20</v>
      </c>
    </row>
    <row r="1389" spans="1:13" x14ac:dyDescent="0.35">
      <c r="A1389">
        <v>1388</v>
      </c>
      <c r="B1389">
        <v>583006905</v>
      </c>
      <c r="C1389">
        <v>38282</v>
      </c>
      <c r="D1389" t="s">
        <v>21</v>
      </c>
      <c r="E1389" t="s">
        <v>444</v>
      </c>
      <c r="F1389" t="s">
        <v>22</v>
      </c>
      <c r="G1389" t="s">
        <v>23</v>
      </c>
      <c r="H1389" t="s">
        <v>17</v>
      </c>
      <c r="I1389" t="s">
        <v>18</v>
      </c>
      <c r="J1389" t="s">
        <v>19</v>
      </c>
      <c r="K1389">
        <v>213</v>
      </c>
      <c r="L1389">
        <v>0</v>
      </c>
      <c r="M1389" t="s">
        <v>20</v>
      </c>
    </row>
    <row r="1390" spans="1:13" x14ac:dyDescent="0.35">
      <c r="A1390">
        <v>1389</v>
      </c>
      <c r="B1390">
        <v>583006905</v>
      </c>
      <c r="C1390">
        <v>38282</v>
      </c>
      <c r="D1390" t="s">
        <v>21</v>
      </c>
      <c r="E1390" t="s">
        <v>444</v>
      </c>
      <c r="F1390" t="s">
        <v>22</v>
      </c>
      <c r="G1390" t="s">
        <v>23</v>
      </c>
      <c r="H1390" t="s">
        <v>17</v>
      </c>
      <c r="I1390" t="s">
        <v>18</v>
      </c>
      <c r="J1390" t="s">
        <v>19</v>
      </c>
      <c r="K1390">
        <v>495</v>
      </c>
      <c r="L1390">
        <v>0</v>
      </c>
      <c r="M1390" t="s">
        <v>20</v>
      </c>
    </row>
    <row r="1391" spans="1:13" x14ac:dyDescent="0.35">
      <c r="A1391">
        <v>1390</v>
      </c>
      <c r="B1391">
        <v>583006905</v>
      </c>
      <c r="C1391">
        <v>38282</v>
      </c>
      <c r="D1391" t="s">
        <v>21</v>
      </c>
      <c r="E1391" t="s">
        <v>444</v>
      </c>
      <c r="F1391" t="s">
        <v>22</v>
      </c>
      <c r="G1391" t="s">
        <v>23</v>
      </c>
      <c r="H1391" t="s">
        <v>17</v>
      </c>
      <c r="I1391" t="s">
        <v>18</v>
      </c>
      <c r="J1391" t="s">
        <v>19</v>
      </c>
      <c r="K1391">
        <v>2796</v>
      </c>
      <c r="L1391">
        <v>0</v>
      </c>
      <c r="M1391" t="s">
        <v>20</v>
      </c>
    </row>
    <row r="1392" spans="1:13" x14ac:dyDescent="0.35">
      <c r="A1392">
        <v>1391</v>
      </c>
      <c r="B1392">
        <v>583006888</v>
      </c>
      <c r="C1392">
        <v>38265</v>
      </c>
      <c r="D1392" t="s">
        <v>21</v>
      </c>
      <c r="E1392" t="s">
        <v>444</v>
      </c>
      <c r="F1392" t="s">
        <v>22</v>
      </c>
      <c r="G1392" t="s">
        <v>23</v>
      </c>
      <c r="H1392" t="s">
        <v>17</v>
      </c>
      <c r="I1392" t="s">
        <v>18</v>
      </c>
      <c r="J1392" t="s">
        <v>19</v>
      </c>
      <c r="K1392">
        <v>744</v>
      </c>
      <c r="L1392">
        <v>0</v>
      </c>
      <c r="M1392" t="s">
        <v>20</v>
      </c>
    </row>
    <row r="1393" spans="1:13" x14ac:dyDescent="0.35">
      <c r="A1393">
        <v>1392</v>
      </c>
      <c r="B1393">
        <v>583006888</v>
      </c>
      <c r="C1393">
        <v>38265</v>
      </c>
      <c r="D1393" t="s">
        <v>21</v>
      </c>
      <c r="E1393" t="s">
        <v>444</v>
      </c>
      <c r="F1393" t="s">
        <v>22</v>
      </c>
      <c r="G1393" t="s">
        <v>23</v>
      </c>
      <c r="H1393" t="s">
        <v>17</v>
      </c>
      <c r="I1393" t="s">
        <v>18</v>
      </c>
      <c r="J1393" t="s">
        <v>19</v>
      </c>
      <c r="K1393">
        <v>1800</v>
      </c>
      <c r="L1393">
        <v>0</v>
      </c>
      <c r="M1393" t="s">
        <v>20</v>
      </c>
    </row>
    <row r="1394" spans="1:13" x14ac:dyDescent="0.35">
      <c r="A1394">
        <v>1393</v>
      </c>
      <c r="B1394">
        <v>583006888</v>
      </c>
      <c r="C1394">
        <v>38265</v>
      </c>
      <c r="D1394" t="s">
        <v>21</v>
      </c>
      <c r="E1394" t="s">
        <v>444</v>
      </c>
      <c r="F1394" t="s">
        <v>22</v>
      </c>
      <c r="G1394" t="s">
        <v>23</v>
      </c>
      <c r="H1394" t="s">
        <v>17</v>
      </c>
      <c r="I1394" t="s">
        <v>18</v>
      </c>
      <c r="J1394" t="s">
        <v>19</v>
      </c>
      <c r="K1394">
        <v>990</v>
      </c>
      <c r="L1394">
        <v>0</v>
      </c>
      <c r="M1394" t="s">
        <v>20</v>
      </c>
    </row>
    <row r="1395" spans="1:13" x14ac:dyDescent="0.35">
      <c r="A1395">
        <v>1394</v>
      </c>
      <c r="B1395">
        <v>583006904</v>
      </c>
      <c r="C1395">
        <v>38281</v>
      </c>
      <c r="D1395" t="s">
        <v>125</v>
      </c>
      <c r="E1395" t="s">
        <v>444</v>
      </c>
      <c r="F1395" t="s">
        <v>127</v>
      </c>
      <c r="G1395" t="s">
        <v>128</v>
      </c>
      <c r="H1395" t="s">
        <v>17</v>
      </c>
      <c r="I1395" t="s">
        <v>24</v>
      </c>
      <c r="J1395" t="s">
        <v>25</v>
      </c>
      <c r="K1395">
        <v>60</v>
      </c>
      <c r="L1395">
        <v>0</v>
      </c>
      <c r="M1395" t="s">
        <v>20</v>
      </c>
    </row>
    <row r="1396" spans="1:13" x14ac:dyDescent="0.35">
      <c r="A1396">
        <v>1395</v>
      </c>
      <c r="B1396">
        <v>583006903</v>
      </c>
      <c r="C1396">
        <v>38280</v>
      </c>
      <c r="D1396" t="s">
        <v>125</v>
      </c>
      <c r="E1396" t="s">
        <v>444</v>
      </c>
      <c r="F1396" t="s">
        <v>127</v>
      </c>
      <c r="G1396" t="s">
        <v>128</v>
      </c>
      <c r="H1396" t="s">
        <v>17</v>
      </c>
      <c r="I1396" t="s">
        <v>18</v>
      </c>
      <c r="J1396" t="s">
        <v>19</v>
      </c>
      <c r="K1396">
        <v>1815</v>
      </c>
      <c r="L1396">
        <v>0</v>
      </c>
      <c r="M1396" t="s">
        <v>20</v>
      </c>
    </row>
    <row r="1397" spans="1:13" x14ac:dyDescent="0.35">
      <c r="A1397">
        <v>1396</v>
      </c>
      <c r="B1397">
        <v>583006903</v>
      </c>
      <c r="C1397">
        <v>38280</v>
      </c>
      <c r="D1397" t="s">
        <v>125</v>
      </c>
      <c r="E1397" t="s">
        <v>444</v>
      </c>
      <c r="F1397" t="s">
        <v>127</v>
      </c>
      <c r="G1397" t="s">
        <v>128</v>
      </c>
      <c r="H1397" t="s">
        <v>17</v>
      </c>
      <c r="I1397" t="s">
        <v>18</v>
      </c>
      <c r="J1397" t="s">
        <v>19</v>
      </c>
      <c r="K1397">
        <v>60</v>
      </c>
      <c r="L1397">
        <v>0</v>
      </c>
      <c r="M1397" t="s">
        <v>20</v>
      </c>
    </row>
    <row r="1398" spans="1:13" x14ac:dyDescent="0.35">
      <c r="A1398">
        <v>1397</v>
      </c>
      <c r="B1398">
        <v>583006903</v>
      </c>
      <c r="C1398">
        <v>38280</v>
      </c>
      <c r="D1398" t="s">
        <v>125</v>
      </c>
      <c r="E1398" t="s">
        <v>444</v>
      </c>
      <c r="F1398" t="s">
        <v>127</v>
      </c>
      <c r="G1398" t="s">
        <v>128</v>
      </c>
      <c r="H1398" t="s">
        <v>17</v>
      </c>
      <c r="I1398" t="s">
        <v>18</v>
      </c>
      <c r="J1398" t="s">
        <v>19</v>
      </c>
      <c r="K1398">
        <v>939</v>
      </c>
      <c r="L1398">
        <v>0</v>
      </c>
      <c r="M1398" t="s">
        <v>20</v>
      </c>
    </row>
    <row r="1399" spans="1:13" x14ac:dyDescent="0.35">
      <c r="A1399">
        <v>1398</v>
      </c>
      <c r="B1399">
        <v>583006903</v>
      </c>
      <c r="C1399">
        <v>38280</v>
      </c>
      <c r="D1399" t="s">
        <v>125</v>
      </c>
      <c r="E1399" t="s">
        <v>444</v>
      </c>
      <c r="F1399" t="s">
        <v>127</v>
      </c>
      <c r="G1399" t="s">
        <v>128</v>
      </c>
      <c r="H1399" t="s">
        <v>17</v>
      </c>
      <c r="I1399" t="s">
        <v>18</v>
      </c>
      <c r="J1399" t="s">
        <v>19</v>
      </c>
      <c r="K1399">
        <v>900</v>
      </c>
      <c r="L1399">
        <v>0</v>
      </c>
      <c r="M1399" t="s">
        <v>20</v>
      </c>
    </row>
    <row r="1400" spans="1:13" x14ac:dyDescent="0.35">
      <c r="A1400">
        <v>1399</v>
      </c>
      <c r="B1400">
        <v>583006885</v>
      </c>
      <c r="C1400">
        <v>38261</v>
      </c>
      <c r="D1400" t="s">
        <v>181</v>
      </c>
      <c r="E1400" t="s">
        <v>444</v>
      </c>
      <c r="F1400" t="s">
        <v>182</v>
      </c>
      <c r="G1400" t="s">
        <v>183</v>
      </c>
      <c r="H1400" t="s">
        <v>17</v>
      </c>
      <c r="I1400" t="s">
        <v>24</v>
      </c>
      <c r="J1400" t="s">
        <v>74</v>
      </c>
      <c r="K1400">
        <v>3</v>
      </c>
      <c r="L1400">
        <v>0</v>
      </c>
      <c r="M1400" t="s">
        <v>20</v>
      </c>
    </row>
    <row r="1401" spans="1:13" x14ac:dyDescent="0.35">
      <c r="A1401">
        <v>1400</v>
      </c>
      <c r="B1401">
        <v>583006840</v>
      </c>
      <c r="C1401">
        <v>38207</v>
      </c>
      <c r="D1401" t="s">
        <v>65</v>
      </c>
      <c r="E1401" t="s">
        <v>444</v>
      </c>
      <c r="F1401" t="s">
        <v>66</v>
      </c>
      <c r="G1401" t="s">
        <v>67</v>
      </c>
      <c r="H1401" t="s">
        <v>17</v>
      </c>
      <c r="I1401" t="s">
        <v>88</v>
      </c>
      <c r="J1401" t="s">
        <v>19</v>
      </c>
      <c r="K1401">
        <v>26.4</v>
      </c>
      <c r="L1401">
        <v>0</v>
      </c>
      <c r="M1401" t="s">
        <v>20</v>
      </c>
    </row>
    <row r="1402" spans="1:13" x14ac:dyDescent="0.35">
      <c r="A1402">
        <v>1401</v>
      </c>
      <c r="B1402">
        <v>583006842</v>
      </c>
      <c r="C1402">
        <v>38209</v>
      </c>
      <c r="D1402" t="s">
        <v>53</v>
      </c>
      <c r="E1402" t="s">
        <v>444</v>
      </c>
      <c r="F1402" t="s">
        <v>54</v>
      </c>
      <c r="G1402" t="s">
        <v>55</v>
      </c>
      <c r="H1402" t="s">
        <v>17</v>
      </c>
      <c r="I1402" t="s">
        <v>18</v>
      </c>
      <c r="J1402" t="s">
        <v>19</v>
      </c>
      <c r="K1402">
        <v>15</v>
      </c>
      <c r="L1402">
        <v>0</v>
      </c>
      <c r="M1402" t="s">
        <v>20</v>
      </c>
    </row>
    <row r="1403" spans="1:13" x14ac:dyDescent="0.35">
      <c r="A1403">
        <v>1402</v>
      </c>
      <c r="B1403">
        <v>583006843</v>
      </c>
      <c r="C1403">
        <v>38210</v>
      </c>
      <c r="D1403" t="s">
        <v>53</v>
      </c>
      <c r="E1403" t="s">
        <v>444</v>
      </c>
      <c r="F1403" t="s">
        <v>54</v>
      </c>
      <c r="G1403" t="s">
        <v>55</v>
      </c>
      <c r="H1403" t="s">
        <v>17</v>
      </c>
      <c r="I1403" t="s">
        <v>18</v>
      </c>
      <c r="J1403" t="s">
        <v>19</v>
      </c>
      <c r="K1403">
        <v>9</v>
      </c>
      <c r="L1403">
        <v>0</v>
      </c>
      <c r="M1403" t="s">
        <v>20</v>
      </c>
    </row>
    <row r="1404" spans="1:13" x14ac:dyDescent="0.35">
      <c r="A1404">
        <v>1403</v>
      </c>
      <c r="B1404">
        <v>583006839</v>
      </c>
      <c r="C1404">
        <v>38206</v>
      </c>
      <c r="D1404" t="s">
        <v>283</v>
      </c>
      <c r="E1404" t="s">
        <v>444</v>
      </c>
      <c r="F1404" t="s">
        <v>284</v>
      </c>
      <c r="G1404" t="s">
        <v>285</v>
      </c>
      <c r="H1404" t="s">
        <v>17</v>
      </c>
      <c r="I1404" t="s">
        <v>24</v>
      </c>
      <c r="J1404" t="s">
        <v>25</v>
      </c>
      <c r="K1404">
        <v>11</v>
      </c>
      <c r="L1404">
        <v>0</v>
      </c>
      <c r="M1404" t="s">
        <v>20</v>
      </c>
    </row>
    <row r="1405" spans="1:13" x14ac:dyDescent="0.35">
      <c r="A1405">
        <v>1404</v>
      </c>
      <c r="B1405">
        <v>583006841</v>
      </c>
      <c r="C1405">
        <v>38208</v>
      </c>
      <c r="D1405" t="s">
        <v>344</v>
      </c>
      <c r="E1405" t="s">
        <v>444</v>
      </c>
      <c r="F1405" t="s">
        <v>345</v>
      </c>
      <c r="G1405" t="s">
        <v>346</v>
      </c>
      <c r="H1405" t="s">
        <v>17</v>
      </c>
      <c r="I1405" t="s">
        <v>24</v>
      </c>
      <c r="J1405" t="s">
        <v>25</v>
      </c>
      <c r="K1405">
        <v>11</v>
      </c>
      <c r="L1405">
        <v>0</v>
      </c>
      <c r="M1405" t="s">
        <v>20</v>
      </c>
    </row>
    <row r="1406" spans="1:13" x14ac:dyDescent="0.35">
      <c r="A1406">
        <v>1405</v>
      </c>
      <c r="B1406">
        <v>583006836</v>
      </c>
      <c r="C1406">
        <v>38203</v>
      </c>
      <c r="D1406" t="s">
        <v>226</v>
      </c>
      <c r="E1406" t="s">
        <v>444</v>
      </c>
      <c r="F1406" t="s">
        <v>227</v>
      </c>
      <c r="G1406" t="s">
        <v>228</v>
      </c>
      <c r="H1406" t="s">
        <v>17</v>
      </c>
      <c r="I1406" t="s">
        <v>18</v>
      </c>
      <c r="J1406" t="s">
        <v>19</v>
      </c>
      <c r="K1406">
        <v>33</v>
      </c>
      <c r="L1406">
        <v>0</v>
      </c>
      <c r="M1406" t="s">
        <v>20</v>
      </c>
    </row>
    <row r="1407" spans="1:13" x14ac:dyDescent="0.35">
      <c r="A1407">
        <v>1406</v>
      </c>
      <c r="B1407">
        <v>583006838</v>
      </c>
      <c r="C1407">
        <v>38205</v>
      </c>
      <c r="D1407" t="s">
        <v>226</v>
      </c>
      <c r="E1407" t="s">
        <v>444</v>
      </c>
      <c r="F1407" t="s">
        <v>227</v>
      </c>
      <c r="G1407" t="s">
        <v>228</v>
      </c>
      <c r="H1407" t="s">
        <v>17</v>
      </c>
      <c r="I1407" t="s">
        <v>18</v>
      </c>
      <c r="J1407" t="s">
        <v>19</v>
      </c>
      <c r="K1407">
        <v>90</v>
      </c>
      <c r="L1407">
        <v>0</v>
      </c>
      <c r="M1407" t="s">
        <v>20</v>
      </c>
    </row>
    <row r="1408" spans="1:13" x14ac:dyDescent="0.35">
      <c r="A1408">
        <v>1407</v>
      </c>
      <c r="B1408">
        <v>583006844</v>
      </c>
      <c r="C1408">
        <v>38211</v>
      </c>
      <c r="D1408" t="s">
        <v>209</v>
      </c>
      <c r="E1408" t="s">
        <v>444</v>
      </c>
      <c r="F1408" t="s">
        <v>210</v>
      </c>
      <c r="G1408" t="s">
        <v>211</v>
      </c>
      <c r="H1408" t="s">
        <v>17</v>
      </c>
      <c r="I1408" t="s">
        <v>18</v>
      </c>
      <c r="J1408" t="s">
        <v>19</v>
      </c>
      <c r="K1408">
        <v>36</v>
      </c>
      <c r="L1408">
        <v>0</v>
      </c>
      <c r="M1408" t="s">
        <v>20</v>
      </c>
    </row>
    <row r="1409" spans="1:13" x14ac:dyDescent="0.35">
      <c r="A1409">
        <v>1408</v>
      </c>
      <c r="B1409">
        <v>583006850</v>
      </c>
      <c r="C1409">
        <v>38217</v>
      </c>
      <c r="D1409" t="s">
        <v>414</v>
      </c>
      <c r="E1409" t="s">
        <v>444</v>
      </c>
      <c r="F1409" t="s">
        <v>415</v>
      </c>
      <c r="G1409" t="s">
        <v>416</v>
      </c>
      <c r="H1409" t="s">
        <v>17</v>
      </c>
      <c r="I1409" t="s">
        <v>18</v>
      </c>
      <c r="J1409" t="s">
        <v>19</v>
      </c>
      <c r="K1409">
        <v>12</v>
      </c>
      <c r="L1409">
        <v>0</v>
      </c>
      <c r="M1409" t="s">
        <v>20</v>
      </c>
    </row>
    <row r="1410" spans="1:13" x14ac:dyDescent="0.35">
      <c r="A1410">
        <v>1409</v>
      </c>
      <c r="B1410">
        <v>583006849</v>
      </c>
      <c r="C1410">
        <v>38216</v>
      </c>
      <c r="D1410" t="s">
        <v>39</v>
      </c>
      <c r="E1410" t="s">
        <v>444</v>
      </c>
      <c r="F1410" t="s">
        <v>40</v>
      </c>
      <c r="G1410" t="s">
        <v>41</v>
      </c>
      <c r="H1410" t="s">
        <v>17</v>
      </c>
      <c r="I1410" t="s">
        <v>18</v>
      </c>
      <c r="J1410" t="s">
        <v>19</v>
      </c>
      <c r="K1410">
        <v>12</v>
      </c>
      <c r="L1410">
        <v>0</v>
      </c>
      <c r="M1410" t="s">
        <v>20</v>
      </c>
    </row>
    <row r="1411" spans="1:13" x14ac:dyDescent="0.35">
      <c r="A1411">
        <v>1410</v>
      </c>
      <c r="B1411">
        <v>583006848</v>
      </c>
      <c r="C1411">
        <v>38215</v>
      </c>
      <c r="D1411" t="s">
        <v>39</v>
      </c>
      <c r="E1411" t="s">
        <v>444</v>
      </c>
      <c r="F1411" t="s">
        <v>40</v>
      </c>
      <c r="G1411" t="s">
        <v>41</v>
      </c>
      <c r="H1411" t="s">
        <v>17</v>
      </c>
      <c r="I1411" t="s">
        <v>18</v>
      </c>
      <c r="J1411" t="s">
        <v>19</v>
      </c>
      <c r="K1411">
        <v>72</v>
      </c>
      <c r="L1411">
        <v>0</v>
      </c>
      <c r="M1411" t="s">
        <v>20</v>
      </c>
    </row>
    <row r="1412" spans="1:13" x14ac:dyDescent="0.35">
      <c r="A1412">
        <v>1411</v>
      </c>
      <c r="B1412">
        <v>583006851</v>
      </c>
      <c r="C1412">
        <v>38218</v>
      </c>
      <c r="D1412" t="s">
        <v>387</v>
      </c>
      <c r="E1412" t="s">
        <v>444</v>
      </c>
      <c r="F1412" t="s">
        <v>388</v>
      </c>
      <c r="G1412" t="s">
        <v>389</v>
      </c>
      <c r="H1412" t="s">
        <v>17</v>
      </c>
      <c r="I1412" t="s">
        <v>18</v>
      </c>
      <c r="J1412" t="s">
        <v>19</v>
      </c>
      <c r="K1412">
        <v>30</v>
      </c>
      <c r="L1412">
        <v>0</v>
      </c>
      <c r="M1412" t="s">
        <v>20</v>
      </c>
    </row>
    <row r="1413" spans="1:13" x14ac:dyDescent="0.35">
      <c r="A1413">
        <v>1412</v>
      </c>
      <c r="B1413">
        <v>583006854</v>
      </c>
      <c r="C1413">
        <v>38221</v>
      </c>
      <c r="D1413" t="s">
        <v>13</v>
      </c>
      <c r="E1413" t="s">
        <v>444</v>
      </c>
      <c r="F1413" t="s">
        <v>15</v>
      </c>
      <c r="G1413" t="s">
        <v>16</v>
      </c>
      <c r="H1413" t="s">
        <v>17</v>
      </c>
      <c r="I1413" t="s">
        <v>135</v>
      </c>
      <c r="J1413" t="s">
        <v>19</v>
      </c>
      <c r="K1413">
        <v>375</v>
      </c>
      <c r="L1413">
        <v>0</v>
      </c>
      <c r="M1413" t="s">
        <v>20</v>
      </c>
    </row>
    <row r="1414" spans="1:13" x14ac:dyDescent="0.35">
      <c r="A1414">
        <v>1413</v>
      </c>
      <c r="B1414">
        <v>583006852</v>
      </c>
      <c r="C1414">
        <v>38219</v>
      </c>
      <c r="D1414" t="s">
        <v>68</v>
      </c>
      <c r="E1414" t="s">
        <v>444</v>
      </c>
      <c r="F1414" t="s">
        <v>69</v>
      </c>
      <c r="G1414" t="s">
        <v>70</v>
      </c>
      <c r="H1414" t="s">
        <v>17</v>
      </c>
      <c r="I1414" t="s">
        <v>18</v>
      </c>
      <c r="J1414" t="s">
        <v>19</v>
      </c>
      <c r="K1414">
        <v>6</v>
      </c>
      <c r="L1414">
        <v>0</v>
      </c>
      <c r="M1414" t="s">
        <v>20</v>
      </c>
    </row>
    <row r="1415" spans="1:13" x14ac:dyDescent="0.35">
      <c r="A1415">
        <v>1414</v>
      </c>
      <c r="B1415">
        <v>583006852</v>
      </c>
      <c r="C1415">
        <v>38219</v>
      </c>
      <c r="D1415" t="s">
        <v>68</v>
      </c>
      <c r="E1415" t="s">
        <v>444</v>
      </c>
      <c r="F1415" t="s">
        <v>69</v>
      </c>
      <c r="G1415" t="s">
        <v>70</v>
      </c>
      <c r="H1415" t="s">
        <v>17</v>
      </c>
      <c r="I1415" t="s">
        <v>18</v>
      </c>
      <c r="J1415" t="s">
        <v>19</v>
      </c>
      <c r="K1415">
        <v>9</v>
      </c>
      <c r="L1415">
        <v>0</v>
      </c>
      <c r="M1415" t="s">
        <v>20</v>
      </c>
    </row>
    <row r="1416" spans="1:13" x14ac:dyDescent="0.35">
      <c r="A1416">
        <v>1415</v>
      </c>
      <c r="B1416">
        <v>583006853</v>
      </c>
      <c r="C1416">
        <v>38220</v>
      </c>
      <c r="D1416" t="s">
        <v>283</v>
      </c>
      <c r="E1416" t="s">
        <v>444</v>
      </c>
      <c r="F1416" t="s">
        <v>284</v>
      </c>
      <c r="G1416" t="s">
        <v>285</v>
      </c>
      <c r="H1416" t="s">
        <v>17</v>
      </c>
      <c r="I1416" t="s">
        <v>18</v>
      </c>
      <c r="J1416" t="s">
        <v>19</v>
      </c>
      <c r="K1416">
        <v>12</v>
      </c>
      <c r="L1416">
        <v>0</v>
      </c>
      <c r="M1416" t="s">
        <v>20</v>
      </c>
    </row>
    <row r="1417" spans="1:13" x14ac:dyDescent="0.35">
      <c r="A1417">
        <v>1416</v>
      </c>
      <c r="B1417">
        <v>583006856</v>
      </c>
      <c r="C1417">
        <v>38224</v>
      </c>
      <c r="D1417" t="s">
        <v>116</v>
      </c>
      <c r="E1417" t="s">
        <v>444</v>
      </c>
      <c r="F1417" t="s">
        <v>117</v>
      </c>
      <c r="G1417" t="s">
        <v>118</v>
      </c>
      <c r="H1417" t="s">
        <v>17</v>
      </c>
      <c r="I1417" t="s">
        <v>18</v>
      </c>
      <c r="J1417" t="s">
        <v>19</v>
      </c>
      <c r="K1417">
        <v>3237</v>
      </c>
      <c r="L1417">
        <v>0</v>
      </c>
      <c r="M1417" t="s">
        <v>20</v>
      </c>
    </row>
    <row r="1418" spans="1:13" x14ac:dyDescent="0.35">
      <c r="A1418">
        <v>1417</v>
      </c>
      <c r="B1418">
        <v>583006855</v>
      </c>
      <c r="C1418">
        <v>38222</v>
      </c>
      <c r="D1418" t="s">
        <v>116</v>
      </c>
      <c r="E1418" t="s">
        <v>444</v>
      </c>
      <c r="F1418" t="s">
        <v>117</v>
      </c>
      <c r="G1418" t="s">
        <v>118</v>
      </c>
      <c r="H1418" t="s">
        <v>17</v>
      </c>
      <c r="I1418" t="s">
        <v>18</v>
      </c>
      <c r="J1418" t="s">
        <v>19</v>
      </c>
      <c r="K1418">
        <v>3843</v>
      </c>
      <c r="L1418">
        <v>0</v>
      </c>
      <c r="M1418" t="s">
        <v>20</v>
      </c>
    </row>
    <row r="1419" spans="1:13" x14ac:dyDescent="0.35">
      <c r="A1419">
        <v>1418</v>
      </c>
      <c r="B1419">
        <v>583006871</v>
      </c>
      <c r="C1419">
        <v>38244</v>
      </c>
      <c r="D1419" t="s">
        <v>21</v>
      </c>
      <c r="E1419" t="s">
        <v>444</v>
      </c>
      <c r="F1419" t="s">
        <v>22</v>
      </c>
      <c r="G1419" t="s">
        <v>23</v>
      </c>
      <c r="H1419" t="s">
        <v>17</v>
      </c>
      <c r="I1419" t="s">
        <v>18</v>
      </c>
      <c r="J1419" t="s">
        <v>19</v>
      </c>
      <c r="K1419">
        <v>906</v>
      </c>
      <c r="L1419">
        <v>0</v>
      </c>
      <c r="M1419" t="s">
        <v>20</v>
      </c>
    </row>
    <row r="1420" spans="1:13" x14ac:dyDescent="0.35">
      <c r="A1420">
        <v>1419</v>
      </c>
      <c r="B1420">
        <v>583006871</v>
      </c>
      <c r="C1420">
        <v>38244</v>
      </c>
      <c r="D1420" t="s">
        <v>21</v>
      </c>
      <c r="E1420" t="s">
        <v>444</v>
      </c>
      <c r="F1420" t="s">
        <v>22</v>
      </c>
      <c r="G1420" t="s">
        <v>23</v>
      </c>
      <c r="H1420" t="s">
        <v>17</v>
      </c>
      <c r="I1420" t="s">
        <v>18</v>
      </c>
      <c r="J1420" t="s">
        <v>19</v>
      </c>
      <c r="K1420">
        <v>1482</v>
      </c>
      <c r="L1420">
        <v>0</v>
      </c>
      <c r="M1420" t="s">
        <v>20</v>
      </c>
    </row>
    <row r="1421" spans="1:13" x14ac:dyDescent="0.35">
      <c r="A1421">
        <v>1420</v>
      </c>
      <c r="B1421">
        <v>583006871</v>
      </c>
      <c r="C1421">
        <v>38244</v>
      </c>
      <c r="D1421" t="s">
        <v>21</v>
      </c>
      <c r="E1421" t="s">
        <v>444</v>
      </c>
      <c r="F1421" t="s">
        <v>22</v>
      </c>
      <c r="G1421" t="s">
        <v>23</v>
      </c>
      <c r="H1421" t="s">
        <v>17</v>
      </c>
      <c r="I1421" t="s">
        <v>18</v>
      </c>
      <c r="J1421" t="s">
        <v>19</v>
      </c>
      <c r="K1421">
        <v>1266</v>
      </c>
      <c r="L1421">
        <v>0</v>
      </c>
      <c r="M1421" t="s">
        <v>20</v>
      </c>
    </row>
    <row r="1422" spans="1:13" x14ac:dyDescent="0.35">
      <c r="A1422">
        <v>1421</v>
      </c>
      <c r="B1422">
        <v>583006878</v>
      </c>
      <c r="C1422">
        <v>38251</v>
      </c>
      <c r="D1422" t="s">
        <v>223</v>
      </c>
      <c r="E1422" t="s">
        <v>444</v>
      </c>
      <c r="F1422" t="s">
        <v>224</v>
      </c>
      <c r="G1422" t="s">
        <v>225</v>
      </c>
      <c r="H1422" t="s">
        <v>17</v>
      </c>
      <c r="I1422" t="s">
        <v>135</v>
      </c>
      <c r="J1422" t="s">
        <v>19</v>
      </c>
      <c r="K1422">
        <v>3000</v>
      </c>
      <c r="L1422">
        <v>0</v>
      </c>
      <c r="M1422" t="s">
        <v>20</v>
      </c>
    </row>
    <row r="1423" spans="1:13" x14ac:dyDescent="0.35">
      <c r="A1423">
        <v>1422</v>
      </c>
      <c r="B1423">
        <v>583006870</v>
      </c>
      <c r="C1423">
        <v>38241</v>
      </c>
      <c r="D1423" t="s">
        <v>42</v>
      </c>
      <c r="E1423" t="s">
        <v>444</v>
      </c>
      <c r="F1423" t="s">
        <v>43</v>
      </c>
      <c r="G1423" t="s">
        <v>44</v>
      </c>
      <c r="H1423" t="s">
        <v>17</v>
      </c>
      <c r="I1423" t="s">
        <v>18</v>
      </c>
      <c r="J1423" t="s">
        <v>19</v>
      </c>
      <c r="K1423">
        <v>3003</v>
      </c>
      <c r="L1423">
        <v>0</v>
      </c>
      <c r="M1423" t="s">
        <v>20</v>
      </c>
    </row>
    <row r="1424" spans="1:13" x14ac:dyDescent="0.35">
      <c r="A1424">
        <v>1423</v>
      </c>
      <c r="B1424">
        <v>583006869</v>
      </c>
      <c r="C1424">
        <v>38239</v>
      </c>
      <c r="D1424" t="s">
        <v>21</v>
      </c>
      <c r="E1424" t="s">
        <v>444</v>
      </c>
      <c r="F1424" t="s">
        <v>22</v>
      </c>
      <c r="G1424" t="s">
        <v>23</v>
      </c>
      <c r="H1424" t="s">
        <v>17</v>
      </c>
      <c r="I1424" t="s">
        <v>18</v>
      </c>
      <c r="J1424" t="s">
        <v>19</v>
      </c>
      <c r="K1424">
        <v>1134</v>
      </c>
      <c r="L1424">
        <v>0</v>
      </c>
      <c r="M1424" t="s">
        <v>20</v>
      </c>
    </row>
    <row r="1425" spans="1:13" x14ac:dyDescent="0.35">
      <c r="A1425">
        <v>1424</v>
      </c>
      <c r="B1425">
        <v>583006869</v>
      </c>
      <c r="C1425">
        <v>38239</v>
      </c>
      <c r="D1425" t="s">
        <v>21</v>
      </c>
      <c r="E1425" t="s">
        <v>444</v>
      </c>
      <c r="F1425" t="s">
        <v>22</v>
      </c>
      <c r="G1425" t="s">
        <v>23</v>
      </c>
      <c r="H1425" t="s">
        <v>17</v>
      </c>
      <c r="I1425" t="s">
        <v>18</v>
      </c>
      <c r="J1425" t="s">
        <v>19</v>
      </c>
      <c r="K1425">
        <v>828</v>
      </c>
      <c r="L1425">
        <v>0</v>
      </c>
      <c r="M1425" t="s">
        <v>20</v>
      </c>
    </row>
    <row r="1426" spans="1:13" x14ac:dyDescent="0.35">
      <c r="A1426">
        <v>1425</v>
      </c>
      <c r="B1426">
        <v>583006869</v>
      </c>
      <c r="C1426">
        <v>38239</v>
      </c>
      <c r="D1426" t="s">
        <v>21</v>
      </c>
      <c r="E1426" t="s">
        <v>444</v>
      </c>
      <c r="F1426" t="s">
        <v>22</v>
      </c>
      <c r="G1426" t="s">
        <v>23</v>
      </c>
      <c r="H1426" t="s">
        <v>17</v>
      </c>
      <c r="I1426" t="s">
        <v>18</v>
      </c>
      <c r="J1426" t="s">
        <v>19</v>
      </c>
      <c r="K1426">
        <v>558</v>
      </c>
      <c r="L1426">
        <v>0</v>
      </c>
      <c r="M1426" t="s">
        <v>20</v>
      </c>
    </row>
    <row r="1427" spans="1:13" x14ac:dyDescent="0.35">
      <c r="A1427">
        <v>1426</v>
      </c>
      <c r="B1427">
        <v>583006847</v>
      </c>
      <c r="C1427">
        <v>38214</v>
      </c>
      <c r="D1427" t="s">
        <v>129</v>
      </c>
      <c r="E1427" t="s">
        <v>444</v>
      </c>
      <c r="F1427" t="s">
        <v>130</v>
      </c>
      <c r="G1427" t="s">
        <v>131</v>
      </c>
      <c r="H1427" t="s">
        <v>17</v>
      </c>
      <c r="I1427" t="s">
        <v>18</v>
      </c>
      <c r="J1427" t="s">
        <v>19</v>
      </c>
      <c r="K1427">
        <v>36</v>
      </c>
      <c r="L1427">
        <v>0</v>
      </c>
      <c r="M1427" t="s">
        <v>20</v>
      </c>
    </row>
    <row r="1428" spans="1:13" x14ac:dyDescent="0.35">
      <c r="A1428">
        <v>1427</v>
      </c>
      <c r="B1428">
        <v>583006861</v>
      </c>
      <c r="C1428">
        <v>38229</v>
      </c>
      <c r="D1428" t="s">
        <v>125</v>
      </c>
      <c r="E1428" t="s">
        <v>444</v>
      </c>
      <c r="F1428" t="s">
        <v>127</v>
      </c>
      <c r="G1428" t="s">
        <v>128</v>
      </c>
      <c r="H1428" t="s">
        <v>17</v>
      </c>
      <c r="I1428" t="s">
        <v>135</v>
      </c>
      <c r="J1428" t="s">
        <v>19</v>
      </c>
      <c r="K1428">
        <v>2025</v>
      </c>
      <c r="L1428">
        <v>0</v>
      </c>
      <c r="M1428" t="s">
        <v>20</v>
      </c>
    </row>
    <row r="1429" spans="1:13" x14ac:dyDescent="0.35">
      <c r="A1429">
        <v>1428</v>
      </c>
      <c r="B1429">
        <v>583006866</v>
      </c>
      <c r="C1429">
        <v>38234</v>
      </c>
      <c r="D1429" t="s">
        <v>244</v>
      </c>
      <c r="E1429" t="s">
        <v>444</v>
      </c>
      <c r="F1429" t="s">
        <v>245</v>
      </c>
      <c r="G1429" t="s">
        <v>246</v>
      </c>
      <c r="H1429" t="s">
        <v>17</v>
      </c>
      <c r="I1429" t="s">
        <v>18</v>
      </c>
      <c r="J1429" t="s">
        <v>19</v>
      </c>
      <c r="K1429">
        <v>2634</v>
      </c>
      <c r="L1429">
        <v>0</v>
      </c>
      <c r="M1429" t="s">
        <v>20</v>
      </c>
    </row>
    <row r="1430" spans="1:13" x14ac:dyDescent="0.35">
      <c r="A1430">
        <v>1429</v>
      </c>
      <c r="B1430">
        <v>583006869</v>
      </c>
      <c r="C1430">
        <v>38239</v>
      </c>
      <c r="D1430" t="s">
        <v>21</v>
      </c>
      <c r="E1430" t="s">
        <v>444</v>
      </c>
      <c r="F1430" t="s">
        <v>22</v>
      </c>
      <c r="G1430" t="s">
        <v>23</v>
      </c>
      <c r="H1430" t="s">
        <v>17</v>
      </c>
      <c r="I1430" t="s">
        <v>18</v>
      </c>
      <c r="J1430" t="s">
        <v>19</v>
      </c>
      <c r="K1430">
        <v>1245</v>
      </c>
      <c r="L1430">
        <v>0</v>
      </c>
      <c r="M1430" t="s">
        <v>20</v>
      </c>
    </row>
    <row r="1431" spans="1:13" x14ac:dyDescent="0.35">
      <c r="A1431">
        <v>1430</v>
      </c>
      <c r="B1431">
        <v>583006866</v>
      </c>
      <c r="C1431">
        <v>38234</v>
      </c>
      <c r="D1431" t="s">
        <v>244</v>
      </c>
      <c r="E1431" t="s">
        <v>444</v>
      </c>
      <c r="F1431" t="s">
        <v>245</v>
      </c>
      <c r="G1431" t="s">
        <v>246</v>
      </c>
      <c r="H1431" t="s">
        <v>17</v>
      </c>
      <c r="I1431" t="s">
        <v>18</v>
      </c>
      <c r="J1431" t="s">
        <v>19</v>
      </c>
      <c r="K1431">
        <v>555</v>
      </c>
      <c r="L1431">
        <v>0</v>
      </c>
      <c r="M1431" t="s">
        <v>20</v>
      </c>
    </row>
    <row r="1432" spans="1:13" x14ac:dyDescent="0.35">
      <c r="A1432">
        <v>1431</v>
      </c>
      <c r="B1432">
        <v>583006866</v>
      </c>
      <c r="C1432">
        <v>38234</v>
      </c>
      <c r="D1432" t="s">
        <v>244</v>
      </c>
      <c r="E1432" t="s">
        <v>444</v>
      </c>
      <c r="F1432" t="s">
        <v>245</v>
      </c>
      <c r="G1432" t="s">
        <v>246</v>
      </c>
      <c r="H1432" t="s">
        <v>17</v>
      </c>
      <c r="I1432" t="s">
        <v>18</v>
      </c>
      <c r="J1432" t="s">
        <v>19</v>
      </c>
      <c r="K1432">
        <v>684</v>
      </c>
      <c r="L1432">
        <v>0</v>
      </c>
      <c r="M1432" t="s">
        <v>20</v>
      </c>
    </row>
    <row r="1433" spans="1:13" x14ac:dyDescent="0.35">
      <c r="A1433">
        <v>1432</v>
      </c>
      <c r="B1433">
        <v>583006867</v>
      </c>
      <c r="C1433">
        <v>38236</v>
      </c>
      <c r="D1433" t="s">
        <v>448</v>
      </c>
      <c r="E1433" t="s">
        <v>444</v>
      </c>
      <c r="F1433" t="s">
        <v>449</v>
      </c>
      <c r="G1433" t="s">
        <v>450</v>
      </c>
      <c r="H1433" t="s">
        <v>17</v>
      </c>
      <c r="I1433" t="s">
        <v>18</v>
      </c>
      <c r="J1433" t="s">
        <v>19</v>
      </c>
      <c r="K1433">
        <v>495</v>
      </c>
      <c r="L1433">
        <v>0</v>
      </c>
      <c r="M1433" t="s">
        <v>20</v>
      </c>
    </row>
    <row r="1434" spans="1:13" x14ac:dyDescent="0.35">
      <c r="A1434">
        <v>1433</v>
      </c>
      <c r="B1434">
        <v>583006936</v>
      </c>
      <c r="C1434">
        <v>38329</v>
      </c>
      <c r="D1434" t="s">
        <v>174</v>
      </c>
      <c r="E1434" t="s">
        <v>451</v>
      </c>
      <c r="F1434" t="s">
        <v>175</v>
      </c>
      <c r="G1434" t="s">
        <v>176</v>
      </c>
      <c r="H1434" t="s">
        <v>17</v>
      </c>
      <c r="I1434" t="s">
        <v>88</v>
      </c>
      <c r="J1434" t="s">
        <v>19</v>
      </c>
      <c r="K1434">
        <v>13.2</v>
      </c>
      <c r="L1434">
        <v>0</v>
      </c>
      <c r="M1434" t="s">
        <v>20</v>
      </c>
    </row>
    <row r="1435" spans="1:13" x14ac:dyDescent="0.35">
      <c r="A1435">
        <v>1434</v>
      </c>
      <c r="B1435">
        <v>583006917</v>
      </c>
      <c r="C1435">
        <v>38309</v>
      </c>
      <c r="D1435" t="s">
        <v>452</v>
      </c>
      <c r="E1435" t="s">
        <v>451</v>
      </c>
      <c r="F1435" t="s">
        <v>453</v>
      </c>
      <c r="G1435" t="s">
        <v>454</v>
      </c>
      <c r="H1435" t="s">
        <v>17</v>
      </c>
      <c r="I1435" t="s">
        <v>135</v>
      </c>
      <c r="J1435" t="s">
        <v>19</v>
      </c>
      <c r="K1435">
        <v>60</v>
      </c>
      <c r="L1435">
        <v>0</v>
      </c>
      <c r="M1435" t="s">
        <v>20</v>
      </c>
    </row>
    <row r="1436" spans="1:13" x14ac:dyDescent="0.35">
      <c r="A1436">
        <v>1435</v>
      </c>
      <c r="B1436">
        <v>583006941</v>
      </c>
      <c r="C1436">
        <v>38336</v>
      </c>
      <c r="D1436" t="s">
        <v>21</v>
      </c>
      <c r="E1436" t="s">
        <v>451</v>
      </c>
      <c r="F1436" t="s">
        <v>22</v>
      </c>
      <c r="G1436" t="s">
        <v>23</v>
      </c>
      <c r="H1436" t="s">
        <v>17</v>
      </c>
      <c r="I1436" t="s">
        <v>18</v>
      </c>
      <c r="J1436" t="s">
        <v>19</v>
      </c>
      <c r="K1436">
        <v>2256</v>
      </c>
      <c r="L1436">
        <v>0</v>
      </c>
      <c r="M1436" t="s">
        <v>20</v>
      </c>
    </row>
    <row r="1437" spans="1:13" x14ac:dyDescent="0.35">
      <c r="A1437">
        <v>1436</v>
      </c>
      <c r="B1437">
        <v>583006941</v>
      </c>
      <c r="C1437">
        <v>38336</v>
      </c>
      <c r="D1437" t="s">
        <v>21</v>
      </c>
      <c r="E1437" t="s">
        <v>451</v>
      </c>
      <c r="F1437" t="s">
        <v>22</v>
      </c>
      <c r="G1437" t="s">
        <v>23</v>
      </c>
      <c r="H1437" t="s">
        <v>17</v>
      </c>
      <c r="I1437" t="s">
        <v>18</v>
      </c>
      <c r="J1437" t="s">
        <v>19</v>
      </c>
      <c r="K1437">
        <v>1197</v>
      </c>
      <c r="L1437">
        <v>0</v>
      </c>
      <c r="M1437" t="s">
        <v>20</v>
      </c>
    </row>
    <row r="1438" spans="1:13" x14ac:dyDescent="0.35">
      <c r="A1438">
        <v>1437</v>
      </c>
      <c r="B1438">
        <v>583006943</v>
      </c>
      <c r="C1438">
        <v>38341</v>
      </c>
      <c r="D1438" t="s">
        <v>21</v>
      </c>
      <c r="E1438" t="s">
        <v>451</v>
      </c>
      <c r="F1438" t="s">
        <v>22</v>
      </c>
      <c r="G1438" t="s">
        <v>23</v>
      </c>
      <c r="H1438" t="s">
        <v>17</v>
      </c>
      <c r="I1438" t="s">
        <v>18</v>
      </c>
      <c r="J1438" t="s">
        <v>19</v>
      </c>
      <c r="K1438">
        <v>1524</v>
      </c>
      <c r="L1438">
        <v>0</v>
      </c>
      <c r="M1438" t="s">
        <v>20</v>
      </c>
    </row>
    <row r="1439" spans="1:13" x14ac:dyDescent="0.35">
      <c r="A1439">
        <v>1438</v>
      </c>
      <c r="B1439">
        <v>583006943</v>
      </c>
      <c r="C1439">
        <v>38341</v>
      </c>
      <c r="D1439" t="s">
        <v>21</v>
      </c>
      <c r="E1439" t="s">
        <v>451</v>
      </c>
      <c r="F1439" t="s">
        <v>22</v>
      </c>
      <c r="G1439" t="s">
        <v>23</v>
      </c>
      <c r="H1439" t="s">
        <v>17</v>
      </c>
      <c r="I1439" t="s">
        <v>18</v>
      </c>
      <c r="J1439" t="s">
        <v>19</v>
      </c>
      <c r="K1439">
        <v>468</v>
      </c>
      <c r="L1439">
        <v>0</v>
      </c>
      <c r="M1439" t="s">
        <v>20</v>
      </c>
    </row>
    <row r="1440" spans="1:13" x14ac:dyDescent="0.35">
      <c r="A1440">
        <v>1439</v>
      </c>
      <c r="B1440">
        <v>583006943</v>
      </c>
      <c r="C1440">
        <v>38341</v>
      </c>
      <c r="D1440" t="s">
        <v>21</v>
      </c>
      <c r="E1440" t="s">
        <v>451</v>
      </c>
      <c r="F1440" t="s">
        <v>22</v>
      </c>
      <c r="G1440" t="s">
        <v>23</v>
      </c>
      <c r="H1440" t="s">
        <v>17</v>
      </c>
      <c r="I1440" t="s">
        <v>18</v>
      </c>
      <c r="J1440" t="s">
        <v>19</v>
      </c>
      <c r="K1440">
        <v>1986</v>
      </c>
      <c r="L1440">
        <v>0</v>
      </c>
      <c r="M1440" t="s">
        <v>20</v>
      </c>
    </row>
    <row r="1441" spans="1:13" x14ac:dyDescent="0.35">
      <c r="A1441">
        <v>1440</v>
      </c>
      <c r="B1441">
        <v>583006942</v>
      </c>
      <c r="C1441">
        <v>38337</v>
      </c>
      <c r="D1441" t="s">
        <v>21</v>
      </c>
      <c r="E1441" t="s">
        <v>451</v>
      </c>
      <c r="F1441" t="s">
        <v>22</v>
      </c>
      <c r="G1441" t="s">
        <v>23</v>
      </c>
      <c r="H1441" t="s">
        <v>17</v>
      </c>
      <c r="I1441" t="s">
        <v>24</v>
      </c>
      <c r="J1441" t="s">
        <v>25</v>
      </c>
      <c r="K1441">
        <v>10</v>
      </c>
      <c r="L1441">
        <v>0</v>
      </c>
      <c r="M1441" t="s">
        <v>20</v>
      </c>
    </row>
    <row r="1442" spans="1:13" x14ac:dyDescent="0.35">
      <c r="A1442">
        <v>1441</v>
      </c>
      <c r="B1442">
        <v>583006921</v>
      </c>
      <c r="C1442">
        <v>38314</v>
      </c>
      <c r="D1442" t="s">
        <v>400</v>
      </c>
      <c r="E1442" t="s">
        <v>451</v>
      </c>
      <c r="F1442" t="s">
        <v>401</v>
      </c>
      <c r="G1442" t="s">
        <v>402</v>
      </c>
      <c r="H1442" t="s">
        <v>17</v>
      </c>
      <c r="I1442" t="s">
        <v>18</v>
      </c>
      <c r="J1442" t="s">
        <v>19</v>
      </c>
      <c r="K1442">
        <v>21</v>
      </c>
      <c r="L1442">
        <v>0</v>
      </c>
      <c r="M1442" t="s">
        <v>20</v>
      </c>
    </row>
    <row r="1443" spans="1:13" x14ac:dyDescent="0.35">
      <c r="A1443">
        <v>1442</v>
      </c>
      <c r="B1443">
        <v>583006922</v>
      </c>
      <c r="C1443">
        <v>38315</v>
      </c>
      <c r="D1443" t="s">
        <v>400</v>
      </c>
      <c r="E1443" t="s">
        <v>451</v>
      </c>
      <c r="F1443" t="s">
        <v>401</v>
      </c>
      <c r="G1443" t="s">
        <v>402</v>
      </c>
      <c r="H1443" t="s">
        <v>17</v>
      </c>
      <c r="I1443" t="s">
        <v>24</v>
      </c>
      <c r="J1443" t="s">
        <v>25</v>
      </c>
      <c r="K1443">
        <v>4</v>
      </c>
      <c r="L1443">
        <v>0</v>
      </c>
      <c r="M1443" t="s">
        <v>20</v>
      </c>
    </row>
    <row r="1444" spans="1:13" x14ac:dyDescent="0.35">
      <c r="A1444">
        <v>1443</v>
      </c>
      <c r="B1444">
        <v>583006921</v>
      </c>
      <c r="C1444">
        <v>38314</v>
      </c>
      <c r="D1444" t="s">
        <v>400</v>
      </c>
      <c r="E1444" t="s">
        <v>451</v>
      </c>
      <c r="F1444" t="s">
        <v>401</v>
      </c>
      <c r="G1444" t="s">
        <v>402</v>
      </c>
      <c r="H1444" t="s">
        <v>17</v>
      </c>
      <c r="I1444" t="s">
        <v>18</v>
      </c>
      <c r="J1444" t="s">
        <v>19</v>
      </c>
      <c r="K1444">
        <v>1305</v>
      </c>
      <c r="L1444">
        <v>0</v>
      </c>
      <c r="M1444" t="s">
        <v>20</v>
      </c>
    </row>
    <row r="1445" spans="1:13" x14ac:dyDescent="0.35">
      <c r="A1445">
        <v>1444</v>
      </c>
      <c r="B1445">
        <v>583006921</v>
      </c>
      <c r="C1445">
        <v>38314</v>
      </c>
      <c r="D1445" t="s">
        <v>400</v>
      </c>
      <c r="E1445" t="s">
        <v>451</v>
      </c>
      <c r="F1445" t="s">
        <v>401</v>
      </c>
      <c r="G1445" t="s">
        <v>402</v>
      </c>
      <c r="H1445" t="s">
        <v>17</v>
      </c>
      <c r="I1445" t="s">
        <v>18</v>
      </c>
      <c r="J1445" t="s">
        <v>19</v>
      </c>
      <c r="K1445">
        <v>2415</v>
      </c>
      <c r="L1445">
        <v>0</v>
      </c>
      <c r="M1445" t="s">
        <v>20</v>
      </c>
    </row>
    <row r="1446" spans="1:13" x14ac:dyDescent="0.35">
      <c r="A1446">
        <v>1445</v>
      </c>
      <c r="B1446">
        <v>583006934</v>
      </c>
      <c r="C1446">
        <v>38327</v>
      </c>
      <c r="D1446" t="s">
        <v>13</v>
      </c>
      <c r="E1446" t="s">
        <v>451</v>
      </c>
      <c r="F1446" t="s">
        <v>15</v>
      </c>
      <c r="G1446" t="s">
        <v>16</v>
      </c>
      <c r="H1446" t="s">
        <v>17</v>
      </c>
      <c r="I1446" t="s">
        <v>135</v>
      </c>
      <c r="J1446" t="s">
        <v>19</v>
      </c>
      <c r="K1446">
        <v>225</v>
      </c>
      <c r="L1446">
        <v>0</v>
      </c>
      <c r="M1446" t="s">
        <v>20</v>
      </c>
    </row>
    <row r="1447" spans="1:13" x14ac:dyDescent="0.35">
      <c r="A1447">
        <v>1446</v>
      </c>
      <c r="B1447">
        <v>583006933</v>
      </c>
      <c r="C1447">
        <v>38326</v>
      </c>
      <c r="D1447" t="s">
        <v>417</v>
      </c>
      <c r="E1447" t="s">
        <v>451</v>
      </c>
      <c r="F1447" t="s">
        <v>418</v>
      </c>
      <c r="G1447" t="s">
        <v>419</v>
      </c>
      <c r="H1447" t="s">
        <v>17</v>
      </c>
      <c r="I1447" t="s">
        <v>18</v>
      </c>
      <c r="J1447" t="s">
        <v>19</v>
      </c>
      <c r="K1447">
        <v>3</v>
      </c>
      <c r="L1447">
        <v>0</v>
      </c>
      <c r="M1447" t="s">
        <v>20</v>
      </c>
    </row>
    <row r="1448" spans="1:13" x14ac:dyDescent="0.35">
      <c r="A1448">
        <v>1447</v>
      </c>
      <c r="B1448">
        <v>583006932</v>
      </c>
      <c r="C1448">
        <v>38325</v>
      </c>
      <c r="D1448" t="s">
        <v>29</v>
      </c>
      <c r="E1448" t="s">
        <v>451</v>
      </c>
      <c r="F1448" t="s">
        <v>30</v>
      </c>
      <c r="G1448" t="s">
        <v>31</v>
      </c>
      <c r="H1448" t="s">
        <v>17</v>
      </c>
      <c r="I1448" t="s">
        <v>18</v>
      </c>
      <c r="J1448" t="s">
        <v>19</v>
      </c>
      <c r="K1448">
        <v>30</v>
      </c>
      <c r="L1448">
        <v>0</v>
      </c>
      <c r="M1448" t="s">
        <v>20</v>
      </c>
    </row>
    <row r="1449" spans="1:13" x14ac:dyDescent="0.35">
      <c r="A1449">
        <v>1448</v>
      </c>
      <c r="B1449">
        <v>583006931</v>
      </c>
      <c r="C1449">
        <v>38324</v>
      </c>
      <c r="D1449" t="s">
        <v>71</v>
      </c>
      <c r="E1449" t="s">
        <v>451</v>
      </c>
      <c r="F1449" t="s">
        <v>72</v>
      </c>
      <c r="G1449" t="s">
        <v>73</v>
      </c>
      <c r="H1449" t="s">
        <v>17</v>
      </c>
      <c r="I1449" t="s">
        <v>18</v>
      </c>
      <c r="J1449" t="s">
        <v>19</v>
      </c>
      <c r="K1449">
        <v>126</v>
      </c>
      <c r="L1449">
        <v>0</v>
      </c>
      <c r="M1449" t="s">
        <v>20</v>
      </c>
    </row>
    <row r="1450" spans="1:13" x14ac:dyDescent="0.35">
      <c r="A1450">
        <v>1449</v>
      </c>
      <c r="B1450">
        <v>583006930</v>
      </c>
      <c r="C1450">
        <v>38323</v>
      </c>
      <c r="D1450" t="s">
        <v>304</v>
      </c>
      <c r="E1450" t="s">
        <v>451</v>
      </c>
      <c r="F1450" t="s">
        <v>305</v>
      </c>
      <c r="G1450" t="s">
        <v>306</v>
      </c>
      <c r="H1450" t="s">
        <v>17</v>
      </c>
      <c r="I1450" t="s">
        <v>135</v>
      </c>
      <c r="J1450" t="s">
        <v>19</v>
      </c>
      <c r="K1450">
        <v>75</v>
      </c>
      <c r="L1450">
        <v>0</v>
      </c>
      <c r="M1450" t="s">
        <v>20</v>
      </c>
    </row>
    <row r="1451" spans="1:13" x14ac:dyDescent="0.35">
      <c r="A1451">
        <v>1450</v>
      </c>
      <c r="B1451">
        <v>583006929</v>
      </c>
      <c r="C1451">
        <v>38322</v>
      </c>
      <c r="D1451" t="s">
        <v>107</v>
      </c>
      <c r="E1451" t="s">
        <v>451</v>
      </c>
      <c r="F1451" t="s">
        <v>108</v>
      </c>
      <c r="G1451" t="s">
        <v>109</v>
      </c>
      <c r="H1451" t="s">
        <v>17</v>
      </c>
      <c r="I1451" t="s">
        <v>18</v>
      </c>
      <c r="J1451" t="s">
        <v>19</v>
      </c>
      <c r="K1451">
        <v>9</v>
      </c>
      <c r="L1451">
        <v>0</v>
      </c>
      <c r="M1451" t="s">
        <v>20</v>
      </c>
    </row>
    <row r="1452" spans="1:13" x14ac:dyDescent="0.35">
      <c r="A1452">
        <v>1451</v>
      </c>
      <c r="B1452">
        <v>583006928</v>
      </c>
      <c r="C1452">
        <v>38321</v>
      </c>
      <c r="D1452" t="s">
        <v>184</v>
      </c>
      <c r="E1452" t="s">
        <v>451</v>
      </c>
      <c r="F1452" t="s">
        <v>185</v>
      </c>
      <c r="G1452" t="s">
        <v>186</v>
      </c>
      <c r="H1452" t="s">
        <v>17</v>
      </c>
      <c r="I1452" t="s">
        <v>18</v>
      </c>
      <c r="J1452" t="s">
        <v>19</v>
      </c>
      <c r="K1452">
        <v>72</v>
      </c>
      <c r="L1452">
        <v>0</v>
      </c>
      <c r="M1452" t="s">
        <v>20</v>
      </c>
    </row>
    <row r="1453" spans="1:13" x14ac:dyDescent="0.35">
      <c r="A1453">
        <v>1452</v>
      </c>
      <c r="B1453">
        <v>583006927</v>
      </c>
      <c r="C1453">
        <v>38320</v>
      </c>
      <c r="D1453" t="s">
        <v>184</v>
      </c>
      <c r="E1453" t="s">
        <v>451</v>
      </c>
      <c r="F1453" t="s">
        <v>185</v>
      </c>
      <c r="G1453" t="s">
        <v>186</v>
      </c>
      <c r="H1453" t="s">
        <v>17</v>
      </c>
      <c r="I1453" t="s">
        <v>18</v>
      </c>
      <c r="J1453" t="s">
        <v>19</v>
      </c>
      <c r="K1453">
        <v>99</v>
      </c>
      <c r="L1453">
        <v>0</v>
      </c>
      <c r="M1453" t="s">
        <v>20</v>
      </c>
    </row>
    <row r="1454" spans="1:13" x14ac:dyDescent="0.35">
      <c r="A1454">
        <v>1453</v>
      </c>
      <c r="B1454">
        <v>583006926</v>
      </c>
      <c r="C1454">
        <v>38319</v>
      </c>
      <c r="D1454" t="s">
        <v>184</v>
      </c>
      <c r="E1454" t="s">
        <v>451</v>
      </c>
      <c r="F1454" t="s">
        <v>185</v>
      </c>
      <c r="G1454" t="s">
        <v>186</v>
      </c>
      <c r="H1454" t="s">
        <v>17</v>
      </c>
      <c r="I1454" t="s">
        <v>18</v>
      </c>
      <c r="J1454" t="s">
        <v>19</v>
      </c>
      <c r="K1454">
        <v>144</v>
      </c>
      <c r="L1454">
        <v>0</v>
      </c>
      <c r="M1454" t="s">
        <v>20</v>
      </c>
    </row>
    <row r="1455" spans="1:13" x14ac:dyDescent="0.35">
      <c r="A1455">
        <v>1454</v>
      </c>
      <c r="B1455">
        <v>583006924</v>
      </c>
      <c r="C1455">
        <v>38317</v>
      </c>
      <c r="D1455" t="s">
        <v>107</v>
      </c>
      <c r="E1455" t="s">
        <v>451</v>
      </c>
      <c r="F1455" t="s">
        <v>108</v>
      </c>
      <c r="G1455" t="s">
        <v>109</v>
      </c>
      <c r="H1455" t="s">
        <v>17</v>
      </c>
      <c r="I1455" t="s">
        <v>18</v>
      </c>
      <c r="J1455" t="s">
        <v>19</v>
      </c>
      <c r="K1455">
        <v>45</v>
      </c>
      <c r="L1455">
        <v>0</v>
      </c>
      <c r="M1455" t="s">
        <v>20</v>
      </c>
    </row>
    <row r="1456" spans="1:13" x14ac:dyDescent="0.35">
      <c r="A1456">
        <v>1455</v>
      </c>
      <c r="B1456">
        <v>583006923</v>
      </c>
      <c r="C1456">
        <v>38316</v>
      </c>
      <c r="D1456" t="s">
        <v>136</v>
      </c>
      <c r="E1456" t="s">
        <v>451</v>
      </c>
      <c r="F1456" t="s">
        <v>137</v>
      </c>
      <c r="G1456" t="s">
        <v>138</v>
      </c>
      <c r="H1456" t="s">
        <v>17</v>
      </c>
      <c r="I1456" t="s">
        <v>18</v>
      </c>
      <c r="J1456" t="s">
        <v>19</v>
      </c>
      <c r="K1456">
        <v>45</v>
      </c>
      <c r="L1456">
        <v>0</v>
      </c>
      <c r="M1456" t="s">
        <v>20</v>
      </c>
    </row>
    <row r="1457" spans="1:13" x14ac:dyDescent="0.35">
      <c r="A1457">
        <v>1456</v>
      </c>
      <c r="B1457">
        <v>583006920</v>
      </c>
      <c r="C1457">
        <v>38312</v>
      </c>
      <c r="D1457" t="s">
        <v>231</v>
      </c>
      <c r="E1457" t="s">
        <v>451</v>
      </c>
      <c r="F1457" t="s">
        <v>232</v>
      </c>
      <c r="G1457" t="s">
        <v>233</v>
      </c>
      <c r="H1457" t="s">
        <v>17</v>
      </c>
      <c r="I1457" t="s">
        <v>63</v>
      </c>
      <c r="J1457" t="s">
        <v>64</v>
      </c>
      <c r="K1457">
        <v>6</v>
      </c>
      <c r="L1457">
        <v>10.62</v>
      </c>
      <c r="M1457" t="s">
        <v>20</v>
      </c>
    </row>
    <row r="1458" spans="1:13" x14ac:dyDescent="0.35">
      <c r="A1458">
        <v>1457</v>
      </c>
      <c r="B1458">
        <v>583006919</v>
      </c>
      <c r="C1458">
        <v>38311</v>
      </c>
      <c r="D1458" t="s">
        <v>357</v>
      </c>
      <c r="E1458" t="s">
        <v>451</v>
      </c>
      <c r="F1458" t="s">
        <v>358</v>
      </c>
      <c r="G1458" t="s">
        <v>359</v>
      </c>
      <c r="H1458" t="s">
        <v>17</v>
      </c>
      <c r="I1458" t="s">
        <v>63</v>
      </c>
      <c r="J1458" t="s">
        <v>64</v>
      </c>
      <c r="K1458">
        <v>5</v>
      </c>
      <c r="L1458">
        <v>8.85</v>
      </c>
      <c r="M1458" t="s">
        <v>20</v>
      </c>
    </row>
    <row r="1459" spans="1:13" x14ac:dyDescent="0.35">
      <c r="A1459">
        <v>1458</v>
      </c>
      <c r="B1459">
        <v>583006918</v>
      </c>
      <c r="C1459">
        <v>38310</v>
      </c>
      <c r="D1459" t="s">
        <v>113</v>
      </c>
      <c r="E1459" t="s">
        <v>451</v>
      </c>
      <c r="F1459" t="s">
        <v>114</v>
      </c>
      <c r="G1459" t="s">
        <v>115</v>
      </c>
      <c r="H1459" t="s">
        <v>17</v>
      </c>
      <c r="I1459" t="s">
        <v>135</v>
      </c>
      <c r="J1459" t="s">
        <v>19</v>
      </c>
      <c r="K1459">
        <v>150</v>
      </c>
      <c r="L1459">
        <v>0</v>
      </c>
      <c r="M145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E663-7143-474C-A3C5-B8B81B580E36}">
  <dimension ref="A1:Q1267"/>
  <sheetViews>
    <sheetView rightToLeft="1" workbookViewId="0">
      <selection activeCell="B7" sqref="B7"/>
    </sheetView>
  </sheetViews>
  <sheetFormatPr defaultRowHeight="14.5" x14ac:dyDescent="0.35"/>
  <cols>
    <col min="2" max="2" width="16.81640625" bestFit="1" customWidth="1"/>
    <col min="4" max="4" width="11.81640625" bestFit="1" customWidth="1"/>
    <col min="5" max="5" width="12.26953125" bestFit="1" customWidth="1"/>
    <col min="6" max="6" width="20.7265625" bestFit="1" customWidth="1"/>
    <col min="7" max="7" width="29.36328125" bestFit="1" customWidth="1"/>
    <col min="9" max="9" width="14" bestFit="1" customWidth="1"/>
    <col min="12" max="12" width="14.7265625" bestFit="1" customWidth="1"/>
    <col min="13" max="13" width="11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>
        <v>160</v>
      </c>
      <c r="B2">
        <v>583005208</v>
      </c>
      <c r="C2">
        <v>35965</v>
      </c>
      <c r="D2" t="s">
        <v>196</v>
      </c>
      <c r="E2" t="s">
        <v>177</v>
      </c>
      <c r="F2" t="s">
        <v>197</v>
      </c>
      <c r="G2" t="s">
        <v>198</v>
      </c>
      <c r="H2" t="s">
        <v>17</v>
      </c>
      <c r="I2" t="s">
        <v>18</v>
      </c>
      <c r="J2" t="s">
        <v>19</v>
      </c>
      <c r="K2">
        <v>12</v>
      </c>
      <c r="L2">
        <v>0</v>
      </c>
      <c r="M2" t="s">
        <v>20</v>
      </c>
      <c r="N2">
        <f>L2/500</f>
        <v>0</v>
      </c>
      <c r="P2">
        <f>K2/800</f>
        <v>1.4999999999999999E-2</v>
      </c>
    </row>
    <row r="3" spans="1:16" x14ac:dyDescent="0.35">
      <c r="A3">
        <v>640</v>
      </c>
      <c r="B3">
        <v>583005898</v>
      </c>
      <c r="C3">
        <v>36947</v>
      </c>
      <c r="D3" t="s">
        <v>196</v>
      </c>
      <c r="E3" t="s">
        <v>324</v>
      </c>
      <c r="F3" t="s">
        <v>197</v>
      </c>
      <c r="G3" t="s">
        <v>198</v>
      </c>
      <c r="H3" t="s">
        <v>17</v>
      </c>
      <c r="I3" t="s">
        <v>18</v>
      </c>
      <c r="J3" t="s">
        <v>19</v>
      </c>
      <c r="K3">
        <v>69</v>
      </c>
      <c r="L3">
        <v>0</v>
      </c>
      <c r="M3" t="s">
        <v>20</v>
      </c>
      <c r="N3">
        <f>L3/500</f>
        <v>0</v>
      </c>
      <c r="P3">
        <f>K3/800</f>
        <v>8.6249999999999993E-2</v>
      </c>
    </row>
    <row r="4" spans="1:16" x14ac:dyDescent="0.35">
      <c r="A4">
        <v>1383</v>
      </c>
      <c r="B4">
        <v>583006908</v>
      </c>
      <c r="C4">
        <v>38285</v>
      </c>
      <c r="D4" t="s">
        <v>196</v>
      </c>
      <c r="E4" t="s">
        <v>444</v>
      </c>
      <c r="F4" t="s">
        <v>197</v>
      </c>
      <c r="G4" t="s">
        <v>198</v>
      </c>
      <c r="H4" t="s">
        <v>17</v>
      </c>
      <c r="I4" t="s">
        <v>18</v>
      </c>
      <c r="J4" t="s">
        <v>19</v>
      </c>
      <c r="K4">
        <v>36</v>
      </c>
      <c r="L4">
        <v>0</v>
      </c>
      <c r="M4" t="s">
        <v>20</v>
      </c>
      <c r="N4">
        <f>L4/500</f>
        <v>0</v>
      </c>
      <c r="P4">
        <f>K4/800</f>
        <v>4.4999999999999998E-2</v>
      </c>
    </row>
    <row r="5" spans="1:16" x14ac:dyDescent="0.35">
      <c r="A5">
        <v>1384</v>
      </c>
      <c r="B5">
        <v>583006908</v>
      </c>
      <c r="C5">
        <v>38285</v>
      </c>
      <c r="D5" t="s">
        <v>196</v>
      </c>
      <c r="E5" t="s">
        <v>444</v>
      </c>
      <c r="F5" t="s">
        <v>197</v>
      </c>
      <c r="G5" t="s">
        <v>198</v>
      </c>
      <c r="H5" t="s">
        <v>17</v>
      </c>
      <c r="I5" t="s">
        <v>18</v>
      </c>
      <c r="J5" t="s">
        <v>19</v>
      </c>
      <c r="K5">
        <v>144</v>
      </c>
      <c r="L5">
        <v>0</v>
      </c>
      <c r="M5" t="s">
        <v>20</v>
      </c>
      <c r="N5">
        <f>L5/500</f>
        <v>0</v>
      </c>
      <c r="P5">
        <f>K5/800</f>
        <v>0.18</v>
      </c>
    </row>
    <row r="6" spans="1:16" x14ac:dyDescent="0.35">
      <c r="A6">
        <v>1385</v>
      </c>
      <c r="B6">
        <v>583006908</v>
      </c>
      <c r="C6">
        <v>38285</v>
      </c>
      <c r="D6" t="s">
        <v>196</v>
      </c>
      <c r="E6" t="s">
        <v>444</v>
      </c>
      <c r="F6" t="s">
        <v>197</v>
      </c>
      <c r="G6" t="s">
        <v>198</v>
      </c>
      <c r="H6" t="s">
        <v>17</v>
      </c>
      <c r="I6" t="s">
        <v>18</v>
      </c>
      <c r="J6" t="s">
        <v>19</v>
      </c>
      <c r="K6">
        <v>1083</v>
      </c>
      <c r="L6">
        <v>0</v>
      </c>
      <c r="M6" t="s">
        <v>20</v>
      </c>
      <c r="N6">
        <f>L6/500</f>
        <v>0</v>
      </c>
      <c r="P6">
        <f>K6/800</f>
        <v>1.35375</v>
      </c>
    </row>
    <row r="7" spans="1:16" x14ac:dyDescent="0.35">
      <c r="A7">
        <v>264</v>
      </c>
      <c r="B7">
        <v>583005378</v>
      </c>
      <c r="C7">
        <v>36199</v>
      </c>
      <c r="D7" t="s">
        <v>247</v>
      </c>
      <c r="E7" t="s">
        <v>237</v>
      </c>
      <c r="F7" t="s">
        <v>248</v>
      </c>
      <c r="G7" t="s">
        <v>249</v>
      </c>
      <c r="H7" t="s">
        <v>17</v>
      </c>
      <c r="I7" t="s">
        <v>18</v>
      </c>
      <c r="J7" t="s">
        <v>19</v>
      </c>
      <c r="K7">
        <v>12</v>
      </c>
      <c r="L7">
        <v>0</v>
      </c>
      <c r="M7" t="s">
        <v>20</v>
      </c>
      <c r="N7">
        <f>L7/500</f>
        <v>0</v>
      </c>
      <c r="P7">
        <f>K7/800</f>
        <v>1.4999999999999999E-2</v>
      </c>
    </row>
    <row r="8" spans="1:16" x14ac:dyDescent="0.35">
      <c r="A8">
        <v>346</v>
      </c>
      <c r="B8">
        <v>583005475</v>
      </c>
      <c r="C8">
        <v>36333</v>
      </c>
      <c r="D8" t="s">
        <v>247</v>
      </c>
      <c r="E8" t="s">
        <v>266</v>
      </c>
      <c r="F8" t="s">
        <v>248</v>
      </c>
      <c r="G8" t="s">
        <v>249</v>
      </c>
      <c r="H8" t="s">
        <v>17</v>
      </c>
      <c r="I8" t="s">
        <v>18</v>
      </c>
      <c r="J8" t="s">
        <v>19</v>
      </c>
      <c r="K8">
        <v>45</v>
      </c>
      <c r="L8">
        <v>0</v>
      </c>
      <c r="M8" t="s">
        <v>20</v>
      </c>
      <c r="N8">
        <f>L8/500</f>
        <v>0</v>
      </c>
      <c r="P8">
        <f>K8/800</f>
        <v>5.6250000000000001E-2</v>
      </c>
    </row>
    <row r="9" spans="1:16" x14ac:dyDescent="0.35">
      <c r="A9">
        <v>350</v>
      </c>
      <c r="B9">
        <v>583005474</v>
      </c>
      <c r="C9">
        <v>36332</v>
      </c>
      <c r="D9" t="s">
        <v>247</v>
      </c>
      <c r="E9" t="s">
        <v>266</v>
      </c>
      <c r="F9" t="s">
        <v>248</v>
      </c>
      <c r="G9" t="s">
        <v>249</v>
      </c>
      <c r="H9" t="s">
        <v>17</v>
      </c>
      <c r="I9" t="s">
        <v>18</v>
      </c>
      <c r="J9" t="s">
        <v>19</v>
      </c>
      <c r="K9">
        <v>45</v>
      </c>
      <c r="L9">
        <v>0</v>
      </c>
      <c r="M9" t="s">
        <v>20</v>
      </c>
      <c r="N9">
        <f>L9/500</f>
        <v>0</v>
      </c>
      <c r="P9">
        <f>K9/800</f>
        <v>5.6250000000000001E-2</v>
      </c>
    </row>
    <row r="10" spans="1:16" x14ac:dyDescent="0.35">
      <c r="A10">
        <v>370</v>
      </c>
      <c r="B10">
        <v>583005624</v>
      </c>
      <c r="C10">
        <v>36541</v>
      </c>
      <c r="D10" t="s">
        <v>247</v>
      </c>
      <c r="E10" t="s">
        <v>270</v>
      </c>
      <c r="F10" t="s">
        <v>248</v>
      </c>
      <c r="G10" t="s">
        <v>249</v>
      </c>
      <c r="H10" t="s">
        <v>17</v>
      </c>
      <c r="I10" t="s">
        <v>18</v>
      </c>
      <c r="J10" t="s">
        <v>19</v>
      </c>
      <c r="K10">
        <v>33</v>
      </c>
      <c r="L10">
        <v>0</v>
      </c>
      <c r="M10" t="s">
        <v>20</v>
      </c>
      <c r="N10">
        <f>L10/500</f>
        <v>0</v>
      </c>
      <c r="P10">
        <f>K10/800</f>
        <v>4.1250000000000002E-2</v>
      </c>
    </row>
    <row r="11" spans="1:16" x14ac:dyDescent="0.35">
      <c r="A11">
        <v>581</v>
      </c>
      <c r="B11">
        <v>583005834</v>
      </c>
      <c r="C11">
        <v>36841</v>
      </c>
      <c r="D11" t="s">
        <v>247</v>
      </c>
      <c r="E11" t="s">
        <v>318</v>
      </c>
      <c r="F11" t="s">
        <v>248</v>
      </c>
      <c r="G11" t="s">
        <v>249</v>
      </c>
      <c r="H11" t="s">
        <v>17</v>
      </c>
      <c r="I11" t="s">
        <v>18</v>
      </c>
      <c r="J11" t="s">
        <v>19</v>
      </c>
      <c r="K11">
        <v>21</v>
      </c>
      <c r="L11">
        <v>0</v>
      </c>
      <c r="M11" t="s">
        <v>20</v>
      </c>
      <c r="N11">
        <f>L11/500</f>
        <v>0</v>
      </c>
      <c r="P11">
        <f>K11/800</f>
        <v>2.6249999999999999E-2</v>
      </c>
    </row>
    <row r="12" spans="1:16" x14ac:dyDescent="0.35">
      <c r="A12">
        <v>666</v>
      </c>
      <c r="B12">
        <v>583006007</v>
      </c>
      <c r="C12">
        <v>37087</v>
      </c>
      <c r="D12" t="s">
        <v>247</v>
      </c>
      <c r="E12" t="s">
        <v>343</v>
      </c>
      <c r="F12" t="s">
        <v>248</v>
      </c>
      <c r="G12" t="s">
        <v>249</v>
      </c>
      <c r="H12" t="s">
        <v>17</v>
      </c>
      <c r="I12" t="s">
        <v>18</v>
      </c>
      <c r="J12" t="s">
        <v>19</v>
      </c>
      <c r="K12">
        <v>30</v>
      </c>
      <c r="L12">
        <v>0</v>
      </c>
      <c r="M12" t="s">
        <v>20</v>
      </c>
      <c r="N12">
        <f>L12/500</f>
        <v>0</v>
      </c>
      <c r="P12">
        <f>K12/800</f>
        <v>3.7499999999999999E-2</v>
      </c>
    </row>
    <row r="13" spans="1:16" x14ac:dyDescent="0.35">
      <c r="A13">
        <v>667</v>
      </c>
      <c r="B13">
        <v>583006006</v>
      </c>
      <c r="C13">
        <v>37086</v>
      </c>
      <c r="D13" t="s">
        <v>247</v>
      </c>
      <c r="E13" t="s">
        <v>343</v>
      </c>
      <c r="F13" t="s">
        <v>248</v>
      </c>
      <c r="G13" t="s">
        <v>249</v>
      </c>
      <c r="H13" t="s">
        <v>17</v>
      </c>
      <c r="I13" t="s">
        <v>18</v>
      </c>
      <c r="J13" t="s">
        <v>19</v>
      </c>
      <c r="K13">
        <v>57</v>
      </c>
      <c r="L13">
        <v>0</v>
      </c>
      <c r="M13" t="s">
        <v>20</v>
      </c>
      <c r="N13">
        <f>L13/500</f>
        <v>0</v>
      </c>
      <c r="P13">
        <f>K13/800</f>
        <v>7.1249999999999994E-2</v>
      </c>
    </row>
    <row r="14" spans="1:16" x14ac:dyDescent="0.35">
      <c r="A14">
        <v>701</v>
      </c>
      <c r="B14">
        <v>583006008</v>
      </c>
      <c r="C14">
        <v>37088</v>
      </c>
      <c r="D14" t="s">
        <v>247</v>
      </c>
      <c r="E14" t="s">
        <v>343</v>
      </c>
      <c r="F14" t="s">
        <v>248</v>
      </c>
      <c r="G14" t="s">
        <v>249</v>
      </c>
      <c r="H14" t="s">
        <v>17</v>
      </c>
      <c r="I14" t="s">
        <v>18</v>
      </c>
      <c r="J14" t="s">
        <v>19</v>
      </c>
      <c r="K14">
        <v>36</v>
      </c>
      <c r="L14">
        <v>0</v>
      </c>
      <c r="M14" t="s">
        <v>20</v>
      </c>
      <c r="N14">
        <f>L14/500</f>
        <v>0</v>
      </c>
      <c r="P14">
        <f>K14/800</f>
        <v>4.4999999999999998E-2</v>
      </c>
    </row>
    <row r="15" spans="1:16" x14ac:dyDescent="0.35">
      <c r="A15">
        <v>960</v>
      </c>
      <c r="B15">
        <v>583006304</v>
      </c>
      <c r="C15">
        <v>37476</v>
      </c>
      <c r="D15" t="s">
        <v>247</v>
      </c>
      <c r="E15" t="s">
        <v>386</v>
      </c>
      <c r="F15" t="s">
        <v>248</v>
      </c>
      <c r="G15" t="s">
        <v>249</v>
      </c>
      <c r="H15" t="s">
        <v>17</v>
      </c>
      <c r="I15" t="s">
        <v>18</v>
      </c>
      <c r="J15" t="s">
        <v>19</v>
      </c>
      <c r="K15">
        <v>84</v>
      </c>
      <c r="L15">
        <v>0</v>
      </c>
      <c r="M15" t="s">
        <v>20</v>
      </c>
      <c r="N15">
        <f>L15/500</f>
        <v>0</v>
      </c>
      <c r="P15">
        <f>K15/800</f>
        <v>0.105</v>
      </c>
    </row>
    <row r="16" spans="1:16" x14ac:dyDescent="0.35">
      <c r="A16">
        <v>970</v>
      </c>
      <c r="B16">
        <v>583006305</v>
      </c>
      <c r="C16">
        <v>37477</v>
      </c>
      <c r="D16" t="s">
        <v>247</v>
      </c>
      <c r="E16" t="s">
        <v>386</v>
      </c>
      <c r="F16" t="s">
        <v>248</v>
      </c>
      <c r="G16" t="s">
        <v>249</v>
      </c>
      <c r="H16" t="s">
        <v>17</v>
      </c>
      <c r="I16" t="s">
        <v>18</v>
      </c>
      <c r="J16" t="s">
        <v>19</v>
      </c>
      <c r="K16">
        <v>144</v>
      </c>
      <c r="L16">
        <v>0</v>
      </c>
      <c r="M16" t="s">
        <v>20</v>
      </c>
      <c r="N16">
        <f>L16/500</f>
        <v>0</v>
      </c>
      <c r="P16">
        <f>K16/800</f>
        <v>0.18</v>
      </c>
    </row>
    <row r="17" spans="1:16" x14ac:dyDescent="0.35">
      <c r="A17">
        <v>995</v>
      </c>
      <c r="B17">
        <v>583006306</v>
      </c>
      <c r="C17">
        <v>37478</v>
      </c>
      <c r="D17" t="s">
        <v>247</v>
      </c>
      <c r="E17" t="s">
        <v>386</v>
      </c>
      <c r="F17" t="s">
        <v>248</v>
      </c>
      <c r="G17" t="s">
        <v>249</v>
      </c>
      <c r="H17" t="s">
        <v>17</v>
      </c>
      <c r="I17" t="s">
        <v>18</v>
      </c>
      <c r="J17" t="s">
        <v>19</v>
      </c>
      <c r="K17">
        <v>18</v>
      </c>
      <c r="L17">
        <v>0</v>
      </c>
      <c r="M17" t="s">
        <v>20</v>
      </c>
      <c r="N17">
        <f>L17/500</f>
        <v>0</v>
      </c>
      <c r="P17">
        <f>K17/800</f>
        <v>2.2499999999999999E-2</v>
      </c>
    </row>
    <row r="18" spans="1:16" x14ac:dyDescent="0.35">
      <c r="A18">
        <v>1136</v>
      </c>
      <c r="B18">
        <v>583006626</v>
      </c>
      <c r="C18">
        <v>37905</v>
      </c>
      <c r="D18" t="s">
        <v>247</v>
      </c>
      <c r="E18" t="s">
        <v>413</v>
      </c>
      <c r="F18" t="s">
        <v>248</v>
      </c>
      <c r="G18" t="s">
        <v>249</v>
      </c>
      <c r="H18" t="s">
        <v>17</v>
      </c>
      <c r="I18" t="s">
        <v>18</v>
      </c>
      <c r="J18" t="s">
        <v>19</v>
      </c>
      <c r="K18">
        <v>555</v>
      </c>
      <c r="L18">
        <v>0</v>
      </c>
      <c r="M18" t="s">
        <v>20</v>
      </c>
      <c r="N18">
        <f>L18/500</f>
        <v>0</v>
      </c>
      <c r="P18">
        <f>K18/800</f>
        <v>0.69374999999999998</v>
      </c>
    </row>
    <row r="19" spans="1:16" x14ac:dyDescent="0.35">
      <c r="A19">
        <v>1158</v>
      </c>
      <c r="B19">
        <v>583006626</v>
      </c>
      <c r="C19">
        <v>37905</v>
      </c>
      <c r="D19" t="s">
        <v>247</v>
      </c>
      <c r="E19" t="s">
        <v>413</v>
      </c>
      <c r="F19" t="s">
        <v>248</v>
      </c>
      <c r="G19" t="s">
        <v>249</v>
      </c>
      <c r="H19" t="s">
        <v>17</v>
      </c>
      <c r="I19" t="s">
        <v>18</v>
      </c>
      <c r="J19" t="s">
        <v>19</v>
      </c>
      <c r="K19">
        <v>1365</v>
      </c>
      <c r="L19">
        <v>0</v>
      </c>
      <c r="M19" t="s">
        <v>20</v>
      </c>
      <c r="N19">
        <f>L19/500</f>
        <v>0</v>
      </c>
      <c r="P19">
        <f>K19/800</f>
        <v>1.70625</v>
      </c>
    </row>
    <row r="20" spans="1:16" x14ac:dyDescent="0.35">
      <c r="A20">
        <v>1161</v>
      </c>
      <c r="B20">
        <v>583006577</v>
      </c>
      <c r="C20">
        <v>37839</v>
      </c>
      <c r="D20" t="s">
        <v>247</v>
      </c>
      <c r="E20" t="s">
        <v>413</v>
      </c>
      <c r="F20" t="s">
        <v>248</v>
      </c>
      <c r="G20" t="s">
        <v>249</v>
      </c>
      <c r="H20" t="s">
        <v>17</v>
      </c>
      <c r="I20" t="s">
        <v>18</v>
      </c>
      <c r="J20" t="s">
        <v>19</v>
      </c>
      <c r="K20">
        <v>117</v>
      </c>
      <c r="L20">
        <v>0</v>
      </c>
      <c r="M20" t="s">
        <v>20</v>
      </c>
      <c r="N20">
        <f>L20/500</f>
        <v>0</v>
      </c>
      <c r="P20">
        <f>K20/800</f>
        <v>0.14624999999999999</v>
      </c>
    </row>
    <row r="21" spans="1:16" x14ac:dyDescent="0.35">
      <c r="A21">
        <v>1183</v>
      </c>
      <c r="B21">
        <v>583006578</v>
      </c>
      <c r="C21">
        <v>37840</v>
      </c>
      <c r="D21" t="s">
        <v>247</v>
      </c>
      <c r="E21" t="s">
        <v>413</v>
      </c>
      <c r="F21" t="s">
        <v>248</v>
      </c>
      <c r="G21" t="s">
        <v>249</v>
      </c>
      <c r="H21" t="s">
        <v>17</v>
      </c>
      <c r="I21" t="s">
        <v>18</v>
      </c>
      <c r="J21" t="s">
        <v>19</v>
      </c>
      <c r="K21">
        <v>27</v>
      </c>
      <c r="L21">
        <v>0</v>
      </c>
      <c r="M21" t="s">
        <v>20</v>
      </c>
      <c r="N21">
        <f>L21/500</f>
        <v>0</v>
      </c>
      <c r="P21">
        <f>K21/800</f>
        <v>3.3750000000000002E-2</v>
      </c>
    </row>
    <row r="22" spans="1:16" x14ac:dyDescent="0.35">
      <c r="A22">
        <v>405</v>
      </c>
      <c r="B22">
        <v>583005577</v>
      </c>
      <c r="C22">
        <v>36478</v>
      </c>
      <c r="D22" t="s">
        <v>283</v>
      </c>
      <c r="E22" t="s">
        <v>270</v>
      </c>
      <c r="F22" t="s">
        <v>284</v>
      </c>
      <c r="G22" t="s">
        <v>285</v>
      </c>
      <c r="H22" t="s">
        <v>17</v>
      </c>
      <c r="I22" t="s">
        <v>18</v>
      </c>
      <c r="J22" t="s">
        <v>19</v>
      </c>
      <c r="K22">
        <v>57</v>
      </c>
      <c r="L22">
        <v>0</v>
      </c>
      <c r="M22" t="s">
        <v>20</v>
      </c>
      <c r="N22">
        <f>L22/500</f>
        <v>0</v>
      </c>
      <c r="P22">
        <f>K22/800</f>
        <v>7.1249999999999994E-2</v>
      </c>
    </row>
    <row r="23" spans="1:16" x14ac:dyDescent="0.35">
      <c r="A23">
        <v>519</v>
      </c>
      <c r="B23">
        <v>583005773</v>
      </c>
      <c r="C23">
        <v>36757</v>
      </c>
      <c r="D23" t="s">
        <v>283</v>
      </c>
      <c r="E23" t="s">
        <v>310</v>
      </c>
      <c r="F23" t="s">
        <v>284</v>
      </c>
      <c r="G23" t="s">
        <v>285</v>
      </c>
      <c r="H23" t="s">
        <v>17</v>
      </c>
      <c r="I23" t="s">
        <v>18</v>
      </c>
      <c r="J23" t="s">
        <v>19</v>
      </c>
      <c r="K23">
        <v>54</v>
      </c>
      <c r="L23">
        <v>0</v>
      </c>
      <c r="M23" t="s">
        <v>20</v>
      </c>
      <c r="N23">
        <f>L23/500</f>
        <v>0</v>
      </c>
      <c r="P23">
        <f>K23/800</f>
        <v>6.7500000000000004E-2</v>
      </c>
    </row>
    <row r="24" spans="1:16" x14ac:dyDescent="0.35">
      <c r="A24">
        <v>1415</v>
      </c>
      <c r="B24">
        <v>583006853</v>
      </c>
      <c r="C24">
        <v>38220</v>
      </c>
      <c r="D24" t="s">
        <v>283</v>
      </c>
      <c r="E24" t="s">
        <v>444</v>
      </c>
      <c r="F24" t="s">
        <v>284</v>
      </c>
      <c r="G24" t="s">
        <v>285</v>
      </c>
      <c r="H24" t="s">
        <v>17</v>
      </c>
      <c r="I24" t="s">
        <v>18</v>
      </c>
      <c r="J24" t="s">
        <v>19</v>
      </c>
      <c r="K24">
        <v>12</v>
      </c>
      <c r="L24">
        <v>0</v>
      </c>
      <c r="M24" t="s">
        <v>20</v>
      </c>
      <c r="N24">
        <f>L24/500</f>
        <v>0</v>
      </c>
      <c r="P24">
        <f>K24/800</f>
        <v>1.4999999999999999E-2</v>
      </c>
    </row>
    <row r="25" spans="1:16" x14ac:dyDescent="0.35">
      <c r="A25">
        <v>747</v>
      </c>
      <c r="B25">
        <v>583006064</v>
      </c>
      <c r="C25">
        <v>37164</v>
      </c>
      <c r="D25" t="s">
        <v>231</v>
      </c>
      <c r="E25" t="s">
        <v>347</v>
      </c>
      <c r="F25" t="s">
        <v>232</v>
      </c>
      <c r="G25" t="s">
        <v>233</v>
      </c>
      <c r="H25" t="s">
        <v>17</v>
      </c>
      <c r="I25" t="s">
        <v>63</v>
      </c>
      <c r="J25" t="s">
        <v>64</v>
      </c>
      <c r="K25">
        <v>24</v>
      </c>
      <c r="L25">
        <v>42.48</v>
      </c>
      <c r="M25" t="s">
        <v>20</v>
      </c>
      <c r="N25">
        <f>L25/500</f>
        <v>8.4959999999999994E-2</v>
      </c>
    </row>
    <row r="26" spans="1:16" x14ac:dyDescent="0.35">
      <c r="A26">
        <v>1456</v>
      </c>
      <c r="B26">
        <v>583006920</v>
      </c>
      <c r="C26">
        <v>38312</v>
      </c>
      <c r="D26" t="s">
        <v>231</v>
      </c>
      <c r="E26" t="s">
        <v>451</v>
      </c>
      <c r="F26" t="s">
        <v>232</v>
      </c>
      <c r="G26" t="s">
        <v>233</v>
      </c>
      <c r="H26" t="s">
        <v>17</v>
      </c>
      <c r="I26" t="s">
        <v>63</v>
      </c>
      <c r="J26" t="s">
        <v>64</v>
      </c>
      <c r="K26">
        <v>6</v>
      </c>
      <c r="L26">
        <v>10.62</v>
      </c>
      <c r="M26" t="s">
        <v>20</v>
      </c>
      <c r="N26">
        <f>L26/500</f>
        <v>2.1239999999999998E-2</v>
      </c>
    </row>
    <row r="27" spans="1:16" x14ac:dyDescent="0.35">
      <c r="A27">
        <v>228</v>
      </c>
      <c r="B27">
        <v>583005317</v>
      </c>
      <c r="C27">
        <v>36118</v>
      </c>
      <c r="D27" t="s">
        <v>231</v>
      </c>
      <c r="E27" t="s">
        <v>217</v>
      </c>
      <c r="F27" t="s">
        <v>232</v>
      </c>
      <c r="G27" t="s">
        <v>233</v>
      </c>
      <c r="H27" t="s">
        <v>17</v>
      </c>
      <c r="I27" t="s">
        <v>18</v>
      </c>
      <c r="J27" t="s">
        <v>19</v>
      </c>
      <c r="K27">
        <v>90</v>
      </c>
      <c r="L27">
        <v>0</v>
      </c>
      <c r="M27" t="s">
        <v>20</v>
      </c>
      <c r="N27">
        <f>L27/500</f>
        <v>0</v>
      </c>
      <c r="P27">
        <f>K27/800</f>
        <v>0.1125</v>
      </c>
    </row>
    <row r="28" spans="1:16" x14ac:dyDescent="0.35">
      <c r="A28">
        <v>424</v>
      </c>
      <c r="B28">
        <v>583005670</v>
      </c>
      <c r="C28">
        <v>36609</v>
      </c>
      <c r="D28" t="s">
        <v>231</v>
      </c>
      <c r="E28" t="s">
        <v>292</v>
      </c>
      <c r="F28" t="s">
        <v>232</v>
      </c>
      <c r="G28" t="s">
        <v>233</v>
      </c>
      <c r="H28" t="s">
        <v>17</v>
      </c>
      <c r="I28" t="s">
        <v>18</v>
      </c>
      <c r="J28" t="s">
        <v>19</v>
      </c>
      <c r="K28">
        <v>3</v>
      </c>
      <c r="L28">
        <v>0</v>
      </c>
      <c r="M28" t="s">
        <v>20</v>
      </c>
      <c r="N28">
        <f>L28/500</f>
        <v>0</v>
      </c>
      <c r="P28">
        <f>K28/800</f>
        <v>3.7499999999999999E-3</v>
      </c>
    </row>
    <row r="29" spans="1:16" x14ac:dyDescent="0.35">
      <c r="A29">
        <v>427</v>
      </c>
      <c r="B29">
        <v>583005668</v>
      </c>
      <c r="C29">
        <v>36607</v>
      </c>
      <c r="D29" t="s">
        <v>231</v>
      </c>
      <c r="E29" t="s">
        <v>292</v>
      </c>
      <c r="F29" t="s">
        <v>232</v>
      </c>
      <c r="G29" t="s">
        <v>233</v>
      </c>
      <c r="H29" t="s">
        <v>17</v>
      </c>
      <c r="I29" t="s">
        <v>18</v>
      </c>
      <c r="J29" t="s">
        <v>19</v>
      </c>
      <c r="K29">
        <v>45</v>
      </c>
      <c r="L29">
        <v>0</v>
      </c>
      <c r="M29" t="s">
        <v>20</v>
      </c>
      <c r="N29">
        <f>L29/500</f>
        <v>0</v>
      </c>
      <c r="P29">
        <f>K29/800</f>
        <v>5.6250000000000001E-2</v>
      </c>
    </row>
    <row r="30" spans="1:16" x14ac:dyDescent="0.35">
      <c r="A30">
        <v>428</v>
      </c>
      <c r="B30">
        <v>583005668</v>
      </c>
      <c r="C30">
        <v>36607</v>
      </c>
      <c r="D30" t="s">
        <v>231</v>
      </c>
      <c r="E30" t="s">
        <v>292</v>
      </c>
      <c r="F30" t="s">
        <v>232</v>
      </c>
      <c r="G30" t="s">
        <v>233</v>
      </c>
      <c r="H30" t="s">
        <v>17</v>
      </c>
      <c r="I30" t="s">
        <v>18</v>
      </c>
      <c r="J30" t="s">
        <v>19</v>
      </c>
      <c r="K30">
        <v>864</v>
      </c>
      <c r="L30">
        <v>0</v>
      </c>
      <c r="M30" t="s">
        <v>20</v>
      </c>
      <c r="N30">
        <f>L30/500</f>
        <v>0</v>
      </c>
      <c r="P30">
        <f>K30/800</f>
        <v>1.08</v>
      </c>
    </row>
    <row r="31" spans="1:16" x14ac:dyDescent="0.35">
      <c r="A31">
        <v>434</v>
      </c>
      <c r="B31">
        <v>583005669</v>
      </c>
      <c r="C31">
        <v>36608</v>
      </c>
      <c r="D31" t="s">
        <v>231</v>
      </c>
      <c r="E31" t="s">
        <v>292</v>
      </c>
      <c r="F31" t="s">
        <v>232</v>
      </c>
      <c r="G31" t="s">
        <v>233</v>
      </c>
      <c r="H31" t="s">
        <v>17</v>
      </c>
      <c r="I31" t="s">
        <v>18</v>
      </c>
      <c r="J31" t="s">
        <v>19</v>
      </c>
      <c r="K31">
        <v>42</v>
      </c>
      <c r="L31">
        <v>0</v>
      </c>
      <c r="M31" t="s">
        <v>20</v>
      </c>
      <c r="N31">
        <f>L31/500</f>
        <v>0</v>
      </c>
      <c r="P31">
        <f>K31/800</f>
        <v>5.2499999999999998E-2</v>
      </c>
    </row>
    <row r="32" spans="1:16" x14ac:dyDescent="0.35">
      <c r="A32">
        <v>670</v>
      </c>
      <c r="B32">
        <v>583006023</v>
      </c>
      <c r="C32">
        <v>37107</v>
      </c>
      <c r="D32" t="s">
        <v>231</v>
      </c>
      <c r="E32" t="s">
        <v>343</v>
      </c>
      <c r="F32" t="s">
        <v>232</v>
      </c>
      <c r="G32" t="s">
        <v>233</v>
      </c>
      <c r="H32" t="s">
        <v>17</v>
      </c>
      <c r="I32" t="s">
        <v>18</v>
      </c>
      <c r="J32" t="s">
        <v>19</v>
      </c>
      <c r="K32">
        <v>414</v>
      </c>
      <c r="L32">
        <v>0</v>
      </c>
      <c r="M32" t="s">
        <v>20</v>
      </c>
      <c r="N32">
        <f>L32/500</f>
        <v>0</v>
      </c>
      <c r="P32">
        <f>K32/800</f>
        <v>0.51749999999999996</v>
      </c>
    </row>
    <row r="33" spans="1:16" x14ac:dyDescent="0.35">
      <c r="A33">
        <v>671</v>
      </c>
      <c r="B33">
        <v>583006023</v>
      </c>
      <c r="C33">
        <v>37107</v>
      </c>
      <c r="D33" t="s">
        <v>231</v>
      </c>
      <c r="E33" t="s">
        <v>343</v>
      </c>
      <c r="F33" t="s">
        <v>232</v>
      </c>
      <c r="G33" t="s">
        <v>233</v>
      </c>
      <c r="H33" t="s">
        <v>17</v>
      </c>
      <c r="I33" t="s">
        <v>18</v>
      </c>
      <c r="J33" t="s">
        <v>19</v>
      </c>
      <c r="K33">
        <v>507</v>
      </c>
      <c r="L33">
        <v>0</v>
      </c>
      <c r="M33" t="s">
        <v>20</v>
      </c>
      <c r="N33">
        <f>L33/500</f>
        <v>0</v>
      </c>
      <c r="P33">
        <f>K33/800</f>
        <v>0.63375000000000004</v>
      </c>
    </row>
    <row r="34" spans="1:16" x14ac:dyDescent="0.35">
      <c r="A34">
        <v>708</v>
      </c>
      <c r="B34">
        <v>583006046</v>
      </c>
      <c r="C34">
        <v>37140</v>
      </c>
      <c r="D34" t="s">
        <v>231</v>
      </c>
      <c r="E34" t="s">
        <v>347</v>
      </c>
      <c r="F34" t="s">
        <v>232</v>
      </c>
      <c r="G34" t="s">
        <v>233</v>
      </c>
      <c r="H34" t="s">
        <v>17</v>
      </c>
      <c r="I34" t="s">
        <v>18</v>
      </c>
      <c r="J34" t="s">
        <v>19</v>
      </c>
      <c r="K34">
        <v>108</v>
      </c>
      <c r="L34">
        <v>0</v>
      </c>
      <c r="M34" t="s">
        <v>20</v>
      </c>
      <c r="N34">
        <f>L34/500</f>
        <v>0</v>
      </c>
      <c r="P34">
        <f>K34/800</f>
        <v>0.13500000000000001</v>
      </c>
    </row>
    <row r="35" spans="1:16" x14ac:dyDescent="0.35">
      <c r="A35">
        <v>709</v>
      </c>
      <c r="B35">
        <v>583006046</v>
      </c>
      <c r="C35">
        <v>37140</v>
      </c>
      <c r="D35" t="s">
        <v>231</v>
      </c>
      <c r="E35" t="s">
        <v>347</v>
      </c>
      <c r="F35" t="s">
        <v>232</v>
      </c>
      <c r="G35" t="s">
        <v>233</v>
      </c>
      <c r="H35" t="s">
        <v>17</v>
      </c>
      <c r="I35" t="s">
        <v>18</v>
      </c>
      <c r="J35" t="s">
        <v>19</v>
      </c>
      <c r="K35">
        <v>240</v>
      </c>
      <c r="L35">
        <v>0</v>
      </c>
      <c r="M35" t="s">
        <v>20</v>
      </c>
      <c r="N35">
        <f>L35/500</f>
        <v>0</v>
      </c>
      <c r="P35">
        <f>K35/800</f>
        <v>0.3</v>
      </c>
    </row>
    <row r="36" spans="1:16" x14ac:dyDescent="0.35">
      <c r="A36">
        <v>714</v>
      </c>
      <c r="B36">
        <v>583006045</v>
      </c>
      <c r="C36">
        <v>37139</v>
      </c>
      <c r="D36" t="s">
        <v>231</v>
      </c>
      <c r="E36" t="s">
        <v>347</v>
      </c>
      <c r="F36" t="s">
        <v>232</v>
      </c>
      <c r="G36" t="s">
        <v>233</v>
      </c>
      <c r="H36" t="s">
        <v>17</v>
      </c>
      <c r="I36" t="s">
        <v>18</v>
      </c>
      <c r="J36" t="s">
        <v>19</v>
      </c>
      <c r="K36">
        <v>90</v>
      </c>
      <c r="L36">
        <v>0</v>
      </c>
      <c r="M36" t="s">
        <v>20</v>
      </c>
      <c r="N36">
        <f>L36/500</f>
        <v>0</v>
      </c>
      <c r="P36">
        <f>K36/800</f>
        <v>0.1125</v>
      </c>
    </row>
    <row r="37" spans="1:16" x14ac:dyDescent="0.35">
      <c r="A37">
        <v>716</v>
      </c>
      <c r="B37">
        <v>583006045</v>
      </c>
      <c r="C37">
        <v>37139</v>
      </c>
      <c r="D37" t="s">
        <v>231</v>
      </c>
      <c r="E37" t="s">
        <v>347</v>
      </c>
      <c r="F37" t="s">
        <v>232</v>
      </c>
      <c r="G37" t="s">
        <v>233</v>
      </c>
      <c r="H37" t="s">
        <v>17</v>
      </c>
      <c r="I37" t="s">
        <v>18</v>
      </c>
      <c r="J37" t="s">
        <v>19</v>
      </c>
      <c r="K37">
        <v>72</v>
      </c>
      <c r="L37">
        <v>0</v>
      </c>
      <c r="M37" t="s">
        <v>20</v>
      </c>
      <c r="N37">
        <f>L37/500</f>
        <v>0</v>
      </c>
      <c r="P37">
        <f>K37/800</f>
        <v>0.09</v>
      </c>
    </row>
    <row r="38" spans="1:16" x14ac:dyDescent="0.35">
      <c r="A38">
        <v>717</v>
      </c>
      <c r="B38">
        <v>583006045</v>
      </c>
      <c r="C38">
        <v>37139</v>
      </c>
      <c r="D38" t="s">
        <v>231</v>
      </c>
      <c r="E38" t="s">
        <v>347</v>
      </c>
      <c r="F38" t="s">
        <v>232</v>
      </c>
      <c r="G38" t="s">
        <v>233</v>
      </c>
      <c r="H38" t="s">
        <v>17</v>
      </c>
      <c r="I38" t="s">
        <v>18</v>
      </c>
      <c r="J38" t="s">
        <v>19</v>
      </c>
      <c r="K38">
        <v>336</v>
      </c>
      <c r="L38">
        <v>0</v>
      </c>
      <c r="M38" t="s">
        <v>20</v>
      </c>
      <c r="N38">
        <f>L38/500</f>
        <v>0</v>
      </c>
      <c r="P38">
        <f>K38/800</f>
        <v>0.42</v>
      </c>
    </row>
    <row r="39" spans="1:16" x14ac:dyDescent="0.35">
      <c r="A39">
        <v>951</v>
      </c>
      <c r="B39">
        <v>583006320</v>
      </c>
      <c r="C39">
        <v>37497</v>
      </c>
      <c r="D39" t="s">
        <v>231</v>
      </c>
      <c r="E39" t="s">
        <v>386</v>
      </c>
      <c r="F39" t="s">
        <v>232</v>
      </c>
      <c r="G39" t="s">
        <v>233</v>
      </c>
      <c r="H39" t="s">
        <v>17</v>
      </c>
      <c r="I39" t="s">
        <v>18</v>
      </c>
      <c r="J39" t="s">
        <v>19</v>
      </c>
      <c r="K39">
        <v>657</v>
      </c>
      <c r="L39">
        <v>0</v>
      </c>
      <c r="M39" t="s">
        <v>20</v>
      </c>
      <c r="N39">
        <f>L39/500</f>
        <v>0</v>
      </c>
      <c r="P39">
        <f>K39/800</f>
        <v>0.82125000000000004</v>
      </c>
    </row>
    <row r="40" spans="1:16" x14ac:dyDescent="0.35">
      <c r="A40">
        <v>952</v>
      </c>
      <c r="B40">
        <v>583006320</v>
      </c>
      <c r="C40">
        <v>37497</v>
      </c>
      <c r="D40" t="s">
        <v>231</v>
      </c>
      <c r="E40" t="s">
        <v>386</v>
      </c>
      <c r="F40" t="s">
        <v>232</v>
      </c>
      <c r="G40" t="s">
        <v>233</v>
      </c>
      <c r="H40" t="s">
        <v>17</v>
      </c>
      <c r="I40" t="s">
        <v>18</v>
      </c>
      <c r="J40" t="s">
        <v>19</v>
      </c>
      <c r="K40">
        <v>405</v>
      </c>
      <c r="L40">
        <v>0</v>
      </c>
      <c r="M40" t="s">
        <v>20</v>
      </c>
      <c r="N40">
        <f>L40/500</f>
        <v>0</v>
      </c>
      <c r="P40">
        <f>K40/800</f>
        <v>0.50624999999999998</v>
      </c>
    </row>
    <row r="41" spans="1:16" x14ac:dyDescent="0.35">
      <c r="A41">
        <v>1147</v>
      </c>
      <c r="B41">
        <v>583006645</v>
      </c>
      <c r="C41">
        <v>37925</v>
      </c>
      <c r="D41" t="s">
        <v>231</v>
      </c>
      <c r="E41" t="s">
        <v>413</v>
      </c>
      <c r="F41" t="s">
        <v>232</v>
      </c>
      <c r="G41" t="s">
        <v>233</v>
      </c>
      <c r="H41" t="s">
        <v>17</v>
      </c>
      <c r="I41" t="s">
        <v>18</v>
      </c>
      <c r="J41" t="s">
        <v>19</v>
      </c>
      <c r="K41">
        <v>417</v>
      </c>
      <c r="L41">
        <v>0</v>
      </c>
      <c r="M41" t="s">
        <v>20</v>
      </c>
      <c r="N41">
        <f>L41/500</f>
        <v>0</v>
      </c>
      <c r="P41">
        <f>K41/800</f>
        <v>0.52124999999999999</v>
      </c>
    </row>
    <row r="42" spans="1:16" x14ac:dyDescent="0.35">
      <c r="A42">
        <v>1148</v>
      </c>
      <c r="B42">
        <v>583006645</v>
      </c>
      <c r="C42">
        <v>37925</v>
      </c>
      <c r="D42" t="s">
        <v>231</v>
      </c>
      <c r="E42" t="s">
        <v>413</v>
      </c>
      <c r="F42" t="s">
        <v>232</v>
      </c>
      <c r="G42" t="s">
        <v>233</v>
      </c>
      <c r="H42" t="s">
        <v>17</v>
      </c>
      <c r="I42" t="s">
        <v>18</v>
      </c>
      <c r="J42" t="s">
        <v>19</v>
      </c>
      <c r="K42">
        <v>606</v>
      </c>
      <c r="L42">
        <v>0</v>
      </c>
      <c r="M42" t="s">
        <v>20</v>
      </c>
      <c r="N42">
        <f>L42/500</f>
        <v>0</v>
      </c>
      <c r="P42">
        <f>K42/800</f>
        <v>0.75749999999999995</v>
      </c>
    </row>
    <row r="43" spans="1:16" x14ac:dyDescent="0.35">
      <c r="A43">
        <v>918</v>
      </c>
      <c r="B43">
        <v>583006218</v>
      </c>
      <c r="C43">
        <v>37357</v>
      </c>
      <c r="D43" t="s">
        <v>383</v>
      </c>
      <c r="E43" t="s">
        <v>367</v>
      </c>
      <c r="F43" t="s">
        <v>384</v>
      </c>
      <c r="G43" t="s">
        <v>385</v>
      </c>
      <c r="H43" t="s">
        <v>17</v>
      </c>
      <c r="I43" t="s">
        <v>18</v>
      </c>
      <c r="J43" t="s">
        <v>19</v>
      </c>
      <c r="K43">
        <v>12</v>
      </c>
      <c r="L43">
        <v>0</v>
      </c>
      <c r="M43" t="s">
        <v>20</v>
      </c>
      <c r="N43">
        <f>L43/500</f>
        <v>0</v>
      </c>
      <c r="P43">
        <f>K43/800</f>
        <v>1.4999999999999999E-2</v>
      </c>
    </row>
    <row r="44" spans="1:16" x14ac:dyDescent="0.35">
      <c r="A44">
        <v>1054</v>
      </c>
      <c r="B44">
        <v>583006411</v>
      </c>
      <c r="C44">
        <v>37619</v>
      </c>
      <c r="D44" t="s">
        <v>383</v>
      </c>
      <c r="E44" t="s">
        <v>393</v>
      </c>
      <c r="F44" t="s">
        <v>384</v>
      </c>
      <c r="G44" t="s">
        <v>385</v>
      </c>
      <c r="H44" t="s">
        <v>17</v>
      </c>
      <c r="I44" t="s">
        <v>18</v>
      </c>
      <c r="J44" t="s">
        <v>19</v>
      </c>
      <c r="K44">
        <v>27</v>
      </c>
      <c r="L44">
        <v>0</v>
      </c>
      <c r="M44" t="s">
        <v>20</v>
      </c>
      <c r="N44">
        <f>L44/500</f>
        <v>0</v>
      </c>
      <c r="P44">
        <f>K44/800</f>
        <v>3.3750000000000002E-2</v>
      </c>
    </row>
    <row r="45" spans="1:16" x14ac:dyDescent="0.35">
      <c r="A45">
        <v>1168</v>
      </c>
      <c r="B45">
        <v>583006571</v>
      </c>
      <c r="C45">
        <v>37833</v>
      </c>
      <c r="D45" t="s">
        <v>383</v>
      </c>
      <c r="E45" t="s">
        <v>413</v>
      </c>
      <c r="F45" t="s">
        <v>384</v>
      </c>
      <c r="G45" t="s">
        <v>385</v>
      </c>
      <c r="H45" t="s">
        <v>17</v>
      </c>
      <c r="I45" t="s">
        <v>18</v>
      </c>
      <c r="J45" t="s">
        <v>19</v>
      </c>
      <c r="K45">
        <v>24</v>
      </c>
      <c r="L45">
        <v>0</v>
      </c>
      <c r="M45" t="s">
        <v>20</v>
      </c>
      <c r="N45">
        <f>L45/500</f>
        <v>0</v>
      </c>
      <c r="P45">
        <f>K45/800</f>
        <v>0.03</v>
      </c>
    </row>
    <row r="46" spans="1:16" x14ac:dyDescent="0.35">
      <c r="A46">
        <v>1186</v>
      </c>
      <c r="B46">
        <v>583006572</v>
      </c>
      <c r="C46">
        <v>37834</v>
      </c>
      <c r="D46" t="s">
        <v>383</v>
      </c>
      <c r="E46" t="s">
        <v>413</v>
      </c>
      <c r="F46" t="s">
        <v>384</v>
      </c>
      <c r="G46" t="s">
        <v>385</v>
      </c>
      <c r="H46" t="s">
        <v>17</v>
      </c>
      <c r="I46" t="s">
        <v>18</v>
      </c>
      <c r="J46" t="s">
        <v>19</v>
      </c>
      <c r="K46">
        <v>9</v>
      </c>
      <c r="L46">
        <v>0</v>
      </c>
      <c r="M46" t="s">
        <v>20</v>
      </c>
      <c r="N46">
        <f>L46/500</f>
        <v>0</v>
      </c>
      <c r="P46">
        <f>K46/800</f>
        <v>1.125E-2</v>
      </c>
    </row>
    <row r="47" spans="1:16" x14ac:dyDescent="0.35">
      <c r="A47">
        <v>156</v>
      </c>
      <c r="B47">
        <v>583005219</v>
      </c>
      <c r="C47">
        <v>35977</v>
      </c>
      <c r="D47" t="s">
        <v>125</v>
      </c>
      <c r="E47" t="s">
        <v>177</v>
      </c>
      <c r="F47" t="s">
        <v>127</v>
      </c>
      <c r="G47" t="s">
        <v>128</v>
      </c>
      <c r="H47" t="s">
        <v>17</v>
      </c>
      <c r="I47" t="s">
        <v>63</v>
      </c>
      <c r="J47" t="s">
        <v>64</v>
      </c>
      <c r="K47">
        <v>28</v>
      </c>
      <c r="L47">
        <v>49.56</v>
      </c>
      <c r="M47" t="s">
        <v>20</v>
      </c>
      <c r="N47">
        <f>L47/500</f>
        <v>9.912E-2</v>
      </c>
    </row>
    <row r="48" spans="1:16" x14ac:dyDescent="0.35">
      <c r="A48">
        <v>239</v>
      </c>
      <c r="B48">
        <v>583005359</v>
      </c>
      <c r="C48">
        <v>36175</v>
      </c>
      <c r="D48" t="s">
        <v>125</v>
      </c>
      <c r="E48" t="s">
        <v>237</v>
      </c>
      <c r="F48" t="s">
        <v>127</v>
      </c>
      <c r="G48" t="s">
        <v>128</v>
      </c>
      <c r="H48" t="s">
        <v>17</v>
      </c>
      <c r="I48" t="s">
        <v>63</v>
      </c>
      <c r="J48" t="s">
        <v>64</v>
      </c>
      <c r="K48">
        <v>43</v>
      </c>
      <c r="L48">
        <v>76.11</v>
      </c>
      <c r="M48" t="s">
        <v>20</v>
      </c>
      <c r="N48">
        <f>L48/500</f>
        <v>0.15221999999999999</v>
      </c>
    </row>
    <row r="49" spans="1:16" x14ac:dyDescent="0.35">
      <c r="A49">
        <v>929</v>
      </c>
      <c r="B49">
        <v>583006358</v>
      </c>
      <c r="C49">
        <v>37549</v>
      </c>
      <c r="D49" t="s">
        <v>125</v>
      </c>
      <c r="E49" t="s">
        <v>386</v>
      </c>
      <c r="F49" t="s">
        <v>127</v>
      </c>
      <c r="G49" t="s">
        <v>128</v>
      </c>
      <c r="H49" t="s">
        <v>17</v>
      </c>
      <c r="I49" t="s">
        <v>63</v>
      </c>
      <c r="J49" t="s">
        <v>64</v>
      </c>
      <c r="K49">
        <v>63</v>
      </c>
      <c r="L49">
        <v>103.95</v>
      </c>
      <c r="M49" t="s">
        <v>20</v>
      </c>
      <c r="N49">
        <f>L49/500</f>
        <v>0.2079</v>
      </c>
    </row>
    <row r="50" spans="1:16" x14ac:dyDescent="0.35">
      <c r="A50">
        <v>77</v>
      </c>
      <c r="B50">
        <v>583005142</v>
      </c>
      <c r="C50">
        <v>35876</v>
      </c>
      <c r="D50" t="s">
        <v>125</v>
      </c>
      <c r="E50" t="s">
        <v>126</v>
      </c>
      <c r="F50" t="s">
        <v>127</v>
      </c>
      <c r="G50" t="s">
        <v>128</v>
      </c>
      <c r="H50" t="s">
        <v>17</v>
      </c>
      <c r="I50" t="s">
        <v>18</v>
      </c>
      <c r="J50" t="s">
        <v>19</v>
      </c>
      <c r="K50">
        <v>3141</v>
      </c>
      <c r="L50">
        <v>0</v>
      </c>
      <c r="M50" t="s">
        <v>20</v>
      </c>
      <c r="N50">
        <f>L50/500</f>
        <v>0</v>
      </c>
      <c r="P50">
        <f>K50/800</f>
        <v>3.92625</v>
      </c>
    </row>
    <row r="51" spans="1:16" x14ac:dyDescent="0.35">
      <c r="A51">
        <v>78</v>
      </c>
      <c r="B51">
        <v>583005142</v>
      </c>
      <c r="C51">
        <v>35876</v>
      </c>
      <c r="D51" t="s">
        <v>125</v>
      </c>
      <c r="E51" t="s">
        <v>126</v>
      </c>
      <c r="F51" t="s">
        <v>127</v>
      </c>
      <c r="G51" t="s">
        <v>128</v>
      </c>
      <c r="H51" t="s">
        <v>17</v>
      </c>
      <c r="I51" t="s">
        <v>18</v>
      </c>
      <c r="J51" t="s">
        <v>19</v>
      </c>
      <c r="K51">
        <v>1191</v>
      </c>
      <c r="L51">
        <v>0</v>
      </c>
      <c r="M51" t="s">
        <v>20</v>
      </c>
      <c r="N51">
        <f>L51/500</f>
        <v>0</v>
      </c>
      <c r="P51">
        <f>K51/800</f>
        <v>1.48875</v>
      </c>
    </row>
    <row r="52" spans="1:16" x14ac:dyDescent="0.35">
      <c r="A52">
        <v>79</v>
      </c>
      <c r="B52">
        <v>583005142</v>
      </c>
      <c r="C52">
        <v>35876</v>
      </c>
      <c r="D52" t="s">
        <v>125</v>
      </c>
      <c r="E52" t="s">
        <v>126</v>
      </c>
      <c r="F52" t="s">
        <v>127</v>
      </c>
      <c r="G52" t="s">
        <v>128</v>
      </c>
      <c r="H52" t="s">
        <v>17</v>
      </c>
      <c r="I52" t="s">
        <v>18</v>
      </c>
      <c r="J52" t="s">
        <v>19</v>
      </c>
      <c r="K52">
        <v>225</v>
      </c>
      <c r="L52">
        <v>0</v>
      </c>
      <c r="M52" t="s">
        <v>20</v>
      </c>
      <c r="N52">
        <f>L52/500</f>
        <v>0</v>
      </c>
      <c r="P52">
        <f>K52/800</f>
        <v>0.28125</v>
      </c>
    </row>
    <row r="53" spans="1:16" x14ac:dyDescent="0.35">
      <c r="A53">
        <v>115</v>
      </c>
      <c r="B53">
        <v>583005127</v>
      </c>
      <c r="C53">
        <v>35856</v>
      </c>
      <c r="D53" t="s">
        <v>125</v>
      </c>
      <c r="E53" t="s">
        <v>126</v>
      </c>
      <c r="F53" t="s">
        <v>127</v>
      </c>
      <c r="G53" t="s">
        <v>128</v>
      </c>
      <c r="H53" t="s">
        <v>17</v>
      </c>
      <c r="I53" t="s">
        <v>18</v>
      </c>
      <c r="J53" t="s">
        <v>19</v>
      </c>
      <c r="K53">
        <v>2997</v>
      </c>
      <c r="L53">
        <v>0</v>
      </c>
      <c r="M53" t="s">
        <v>20</v>
      </c>
      <c r="N53">
        <f>L53/500</f>
        <v>0</v>
      </c>
      <c r="P53">
        <f>K53/800</f>
        <v>3.7462499999999999</v>
      </c>
    </row>
    <row r="54" spans="1:16" x14ac:dyDescent="0.35">
      <c r="A54">
        <v>116</v>
      </c>
      <c r="B54">
        <v>583005127</v>
      </c>
      <c r="C54">
        <v>35856</v>
      </c>
      <c r="D54" t="s">
        <v>125</v>
      </c>
      <c r="E54" t="s">
        <v>126</v>
      </c>
      <c r="F54" t="s">
        <v>127</v>
      </c>
      <c r="G54" t="s">
        <v>128</v>
      </c>
      <c r="H54" t="s">
        <v>17</v>
      </c>
      <c r="I54" t="s">
        <v>18</v>
      </c>
      <c r="J54" t="s">
        <v>19</v>
      </c>
      <c r="K54">
        <v>180</v>
      </c>
      <c r="L54">
        <v>0</v>
      </c>
      <c r="M54" t="s">
        <v>20</v>
      </c>
      <c r="N54">
        <f>L54/500</f>
        <v>0</v>
      </c>
      <c r="P54">
        <f>K54/800</f>
        <v>0.22500000000000001</v>
      </c>
    </row>
    <row r="55" spans="1:16" x14ac:dyDescent="0.35">
      <c r="A55">
        <v>117</v>
      </c>
      <c r="B55">
        <v>583005127</v>
      </c>
      <c r="C55">
        <v>35856</v>
      </c>
      <c r="D55" t="s">
        <v>125</v>
      </c>
      <c r="E55" t="s">
        <v>126</v>
      </c>
      <c r="F55" t="s">
        <v>127</v>
      </c>
      <c r="G55" t="s">
        <v>128</v>
      </c>
      <c r="H55" t="s">
        <v>17</v>
      </c>
      <c r="I55" t="s">
        <v>18</v>
      </c>
      <c r="J55" t="s">
        <v>19</v>
      </c>
      <c r="K55">
        <v>708</v>
      </c>
      <c r="L55">
        <v>0</v>
      </c>
      <c r="M55" t="s">
        <v>20</v>
      </c>
      <c r="N55">
        <f>L55/500</f>
        <v>0</v>
      </c>
      <c r="P55">
        <f>K55/800</f>
        <v>0.88500000000000001</v>
      </c>
    </row>
    <row r="56" spans="1:16" x14ac:dyDescent="0.35">
      <c r="A56">
        <v>213</v>
      </c>
      <c r="B56">
        <v>583005307</v>
      </c>
      <c r="C56">
        <v>36107</v>
      </c>
      <c r="D56" t="s">
        <v>125</v>
      </c>
      <c r="E56" t="s">
        <v>217</v>
      </c>
      <c r="F56" t="s">
        <v>127</v>
      </c>
      <c r="G56" t="s">
        <v>128</v>
      </c>
      <c r="H56" t="s">
        <v>17</v>
      </c>
      <c r="I56" t="s">
        <v>18</v>
      </c>
      <c r="J56" t="s">
        <v>19</v>
      </c>
      <c r="K56">
        <v>1296</v>
      </c>
      <c r="L56">
        <v>0</v>
      </c>
      <c r="M56" t="s">
        <v>20</v>
      </c>
      <c r="N56">
        <f>L56/500</f>
        <v>0</v>
      </c>
      <c r="P56">
        <f>K56/800</f>
        <v>1.62</v>
      </c>
    </row>
    <row r="57" spans="1:16" x14ac:dyDescent="0.35">
      <c r="A57">
        <v>214</v>
      </c>
      <c r="B57">
        <v>583005307</v>
      </c>
      <c r="C57">
        <v>36107</v>
      </c>
      <c r="D57" t="s">
        <v>125</v>
      </c>
      <c r="E57" t="s">
        <v>217</v>
      </c>
      <c r="F57" t="s">
        <v>127</v>
      </c>
      <c r="G57" t="s">
        <v>128</v>
      </c>
      <c r="H57" t="s">
        <v>17</v>
      </c>
      <c r="I57" t="s">
        <v>18</v>
      </c>
      <c r="J57" t="s">
        <v>19</v>
      </c>
      <c r="K57">
        <v>2385</v>
      </c>
      <c r="L57">
        <v>0</v>
      </c>
      <c r="M57" t="s">
        <v>20</v>
      </c>
      <c r="N57">
        <f>L57/500</f>
        <v>0</v>
      </c>
      <c r="P57">
        <f>K57/800</f>
        <v>2.9812500000000002</v>
      </c>
    </row>
    <row r="58" spans="1:16" x14ac:dyDescent="0.35">
      <c r="A58">
        <v>218</v>
      </c>
      <c r="B58">
        <v>583005307</v>
      </c>
      <c r="C58">
        <v>36107</v>
      </c>
      <c r="D58" t="s">
        <v>125</v>
      </c>
      <c r="E58" t="s">
        <v>217</v>
      </c>
      <c r="F58" t="s">
        <v>127</v>
      </c>
      <c r="G58" t="s">
        <v>128</v>
      </c>
      <c r="H58" t="s">
        <v>17</v>
      </c>
      <c r="I58" t="s">
        <v>18</v>
      </c>
      <c r="J58" t="s">
        <v>19</v>
      </c>
      <c r="K58">
        <v>510</v>
      </c>
      <c r="L58">
        <v>0</v>
      </c>
      <c r="M58" t="s">
        <v>20</v>
      </c>
      <c r="N58">
        <f>L58/500</f>
        <v>0</v>
      </c>
      <c r="P58">
        <f>K58/800</f>
        <v>0.63749999999999996</v>
      </c>
    </row>
    <row r="59" spans="1:16" x14ac:dyDescent="0.35">
      <c r="A59">
        <v>433</v>
      </c>
      <c r="B59">
        <v>583005643</v>
      </c>
      <c r="C59">
        <v>36573</v>
      </c>
      <c r="D59" t="s">
        <v>125</v>
      </c>
      <c r="E59" t="s">
        <v>292</v>
      </c>
      <c r="F59" t="s">
        <v>127</v>
      </c>
      <c r="G59" t="s">
        <v>128</v>
      </c>
      <c r="H59" t="s">
        <v>17</v>
      </c>
      <c r="I59" t="s">
        <v>18</v>
      </c>
      <c r="J59" t="s">
        <v>19</v>
      </c>
      <c r="K59">
        <v>801</v>
      </c>
      <c r="L59">
        <v>0</v>
      </c>
      <c r="M59" t="s">
        <v>20</v>
      </c>
      <c r="N59">
        <f>L59/500</f>
        <v>0</v>
      </c>
      <c r="P59">
        <f>K59/800</f>
        <v>1.00125</v>
      </c>
    </row>
    <row r="60" spans="1:16" x14ac:dyDescent="0.35">
      <c r="A60">
        <v>436</v>
      </c>
      <c r="B60">
        <v>583005643</v>
      </c>
      <c r="C60">
        <v>36573</v>
      </c>
      <c r="D60" t="s">
        <v>125</v>
      </c>
      <c r="E60" t="s">
        <v>292</v>
      </c>
      <c r="F60" t="s">
        <v>127</v>
      </c>
      <c r="G60" t="s">
        <v>128</v>
      </c>
      <c r="H60" t="s">
        <v>17</v>
      </c>
      <c r="I60" t="s">
        <v>18</v>
      </c>
      <c r="J60" t="s">
        <v>19</v>
      </c>
      <c r="K60">
        <v>3204</v>
      </c>
      <c r="L60">
        <v>0</v>
      </c>
      <c r="M60" t="s">
        <v>20</v>
      </c>
      <c r="N60">
        <f>L60/500</f>
        <v>0</v>
      </c>
      <c r="P60">
        <f>K60/800</f>
        <v>4.0049999999999999</v>
      </c>
    </row>
    <row r="61" spans="1:16" x14ac:dyDescent="0.35">
      <c r="A61">
        <v>522</v>
      </c>
      <c r="B61">
        <v>583005786</v>
      </c>
      <c r="C61">
        <v>36771</v>
      </c>
      <c r="D61" t="s">
        <v>125</v>
      </c>
      <c r="E61" t="s">
        <v>310</v>
      </c>
      <c r="F61" t="s">
        <v>127</v>
      </c>
      <c r="G61" t="s">
        <v>128</v>
      </c>
      <c r="H61" t="s">
        <v>17</v>
      </c>
      <c r="I61" t="s">
        <v>18</v>
      </c>
      <c r="J61" t="s">
        <v>19</v>
      </c>
      <c r="K61">
        <v>2250</v>
      </c>
      <c r="L61">
        <v>0</v>
      </c>
      <c r="M61" t="s">
        <v>20</v>
      </c>
      <c r="N61">
        <f>L61/500</f>
        <v>0</v>
      </c>
      <c r="P61">
        <f>K61/800</f>
        <v>2.8125</v>
      </c>
    </row>
    <row r="62" spans="1:16" x14ac:dyDescent="0.35">
      <c r="A62">
        <v>523</v>
      </c>
      <c r="B62">
        <v>583005786</v>
      </c>
      <c r="C62">
        <v>36771</v>
      </c>
      <c r="D62" t="s">
        <v>125</v>
      </c>
      <c r="E62" t="s">
        <v>310</v>
      </c>
      <c r="F62" t="s">
        <v>127</v>
      </c>
      <c r="G62" t="s">
        <v>128</v>
      </c>
      <c r="H62" t="s">
        <v>17</v>
      </c>
      <c r="I62" t="s">
        <v>18</v>
      </c>
      <c r="J62" t="s">
        <v>19</v>
      </c>
      <c r="K62">
        <v>1206</v>
      </c>
      <c r="L62">
        <v>0</v>
      </c>
      <c r="M62" t="s">
        <v>20</v>
      </c>
      <c r="N62">
        <f>L62/500</f>
        <v>0</v>
      </c>
      <c r="P62">
        <f>K62/800</f>
        <v>1.5075000000000001</v>
      </c>
    </row>
    <row r="63" spans="1:16" x14ac:dyDescent="0.35">
      <c r="A63">
        <v>524</v>
      </c>
      <c r="B63">
        <v>583005786</v>
      </c>
      <c r="C63">
        <v>36771</v>
      </c>
      <c r="D63" t="s">
        <v>125</v>
      </c>
      <c r="E63" t="s">
        <v>310</v>
      </c>
      <c r="F63" t="s">
        <v>127</v>
      </c>
      <c r="G63" t="s">
        <v>128</v>
      </c>
      <c r="H63" t="s">
        <v>17</v>
      </c>
      <c r="I63" t="s">
        <v>18</v>
      </c>
      <c r="J63" t="s">
        <v>19</v>
      </c>
      <c r="K63">
        <v>837</v>
      </c>
      <c r="L63">
        <v>0</v>
      </c>
      <c r="M63" t="s">
        <v>20</v>
      </c>
      <c r="N63">
        <f>L63/500</f>
        <v>0</v>
      </c>
      <c r="P63">
        <f>K63/800</f>
        <v>1.0462499999999999</v>
      </c>
    </row>
    <row r="64" spans="1:16" x14ac:dyDescent="0.35">
      <c r="A64">
        <v>564</v>
      </c>
      <c r="B64">
        <v>583005864</v>
      </c>
      <c r="C64">
        <v>36886</v>
      </c>
      <c r="D64" t="s">
        <v>125</v>
      </c>
      <c r="E64" t="s">
        <v>318</v>
      </c>
      <c r="F64" t="s">
        <v>127</v>
      </c>
      <c r="G64" t="s">
        <v>128</v>
      </c>
      <c r="H64" t="s">
        <v>17</v>
      </c>
      <c r="I64" t="s">
        <v>18</v>
      </c>
      <c r="J64" t="s">
        <v>19</v>
      </c>
      <c r="K64">
        <v>1299</v>
      </c>
      <c r="L64">
        <v>0</v>
      </c>
      <c r="M64" t="s">
        <v>20</v>
      </c>
      <c r="N64">
        <f>L64/500</f>
        <v>0</v>
      </c>
      <c r="P64">
        <f>K64/800</f>
        <v>1.62375</v>
      </c>
    </row>
    <row r="65" spans="1:16" x14ac:dyDescent="0.35">
      <c r="A65">
        <v>565</v>
      </c>
      <c r="B65">
        <v>583005864</v>
      </c>
      <c r="C65">
        <v>36886</v>
      </c>
      <c r="D65" t="s">
        <v>125</v>
      </c>
      <c r="E65" t="s">
        <v>318</v>
      </c>
      <c r="F65" t="s">
        <v>127</v>
      </c>
      <c r="G65" t="s">
        <v>128</v>
      </c>
      <c r="H65" t="s">
        <v>17</v>
      </c>
      <c r="I65" t="s">
        <v>18</v>
      </c>
      <c r="J65" t="s">
        <v>19</v>
      </c>
      <c r="K65">
        <v>2739</v>
      </c>
      <c r="L65">
        <v>0</v>
      </c>
      <c r="M65" t="s">
        <v>20</v>
      </c>
      <c r="N65">
        <f>L65/500</f>
        <v>0</v>
      </c>
      <c r="P65">
        <f>K65/800</f>
        <v>3.4237500000000001</v>
      </c>
    </row>
    <row r="66" spans="1:16" x14ac:dyDescent="0.35">
      <c r="A66">
        <v>599</v>
      </c>
      <c r="B66">
        <v>583005949</v>
      </c>
      <c r="C66">
        <v>37006</v>
      </c>
      <c r="D66" t="s">
        <v>125</v>
      </c>
      <c r="E66" t="s">
        <v>324</v>
      </c>
      <c r="F66" t="s">
        <v>127</v>
      </c>
      <c r="G66" t="s">
        <v>128</v>
      </c>
      <c r="H66" t="s">
        <v>17</v>
      </c>
      <c r="I66" t="s">
        <v>18</v>
      </c>
      <c r="J66" t="s">
        <v>19</v>
      </c>
      <c r="K66">
        <v>597</v>
      </c>
      <c r="L66">
        <v>0</v>
      </c>
      <c r="M66" t="s">
        <v>20</v>
      </c>
      <c r="N66">
        <f>L66/500</f>
        <v>0</v>
      </c>
      <c r="P66">
        <f>K66/800</f>
        <v>0.74624999999999997</v>
      </c>
    </row>
    <row r="67" spans="1:16" x14ac:dyDescent="0.35">
      <c r="A67">
        <v>601</v>
      </c>
      <c r="B67">
        <v>583005949</v>
      </c>
      <c r="C67">
        <v>37006</v>
      </c>
      <c r="D67" t="s">
        <v>125</v>
      </c>
      <c r="E67" t="s">
        <v>324</v>
      </c>
      <c r="F67" t="s">
        <v>127</v>
      </c>
      <c r="G67" t="s">
        <v>128</v>
      </c>
      <c r="H67" t="s">
        <v>17</v>
      </c>
      <c r="I67" t="s">
        <v>18</v>
      </c>
      <c r="J67" t="s">
        <v>19</v>
      </c>
      <c r="K67">
        <v>1590</v>
      </c>
      <c r="L67">
        <v>0</v>
      </c>
      <c r="M67" t="s">
        <v>20</v>
      </c>
      <c r="N67">
        <f>L67/500</f>
        <v>0</v>
      </c>
      <c r="P67">
        <f>K67/800</f>
        <v>1.9875</v>
      </c>
    </row>
    <row r="68" spans="1:16" x14ac:dyDescent="0.35">
      <c r="A68">
        <v>602</v>
      </c>
      <c r="B68">
        <v>583005949</v>
      </c>
      <c r="C68">
        <v>37006</v>
      </c>
      <c r="D68" t="s">
        <v>125</v>
      </c>
      <c r="E68" t="s">
        <v>324</v>
      </c>
      <c r="F68" t="s">
        <v>127</v>
      </c>
      <c r="G68" t="s">
        <v>128</v>
      </c>
      <c r="H68" t="s">
        <v>17</v>
      </c>
      <c r="I68" t="s">
        <v>18</v>
      </c>
      <c r="J68" t="s">
        <v>19</v>
      </c>
      <c r="K68">
        <v>1533</v>
      </c>
      <c r="L68">
        <v>0</v>
      </c>
      <c r="M68" t="s">
        <v>20</v>
      </c>
      <c r="N68">
        <f>L68/500</f>
        <v>0</v>
      </c>
      <c r="P68">
        <f>K68/800</f>
        <v>1.91625</v>
      </c>
    </row>
    <row r="69" spans="1:16" x14ac:dyDescent="0.35">
      <c r="A69">
        <v>675</v>
      </c>
      <c r="B69">
        <v>583006034</v>
      </c>
      <c r="C69">
        <v>37120</v>
      </c>
      <c r="D69" t="s">
        <v>125</v>
      </c>
      <c r="E69" t="s">
        <v>343</v>
      </c>
      <c r="F69" t="s">
        <v>127</v>
      </c>
      <c r="G69" t="s">
        <v>128</v>
      </c>
      <c r="H69" t="s">
        <v>17</v>
      </c>
      <c r="I69" t="s">
        <v>18</v>
      </c>
      <c r="J69" t="s">
        <v>19</v>
      </c>
      <c r="K69">
        <v>1464</v>
      </c>
      <c r="L69">
        <v>0</v>
      </c>
      <c r="M69" t="s">
        <v>20</v>
      </c>
      <c r="N69">
        <f>L69/500</f>
        <v>0</v>
      </c>
      <c r="P69">
        <f>K69/800</f>
        <v>1.83</v>
      </c>
    </row>
    <row r="70" spans="1:16" x14ac:dyDescent="0.35">
      <c r="A70">
        <v>676</v>
      </c>
      <c r="B70">
        <v>583006034</v>
      </c>
      <c r="C70">
        <v>37120</v>
      </c>
      <c r="D70" t="s">
        <v>125</v>
      </c>
      <c r="E70" t="s">
        <v>343</v>
      </c>
      <c r="F70" t="s">
        <v>127</v>
      </c>
      <c r="G70" t="s">
        <v>128</v>
      </c>
      <c r="H70" t="s">
        <v>17</v>
      </c>
      <c r="I70" t="s">
        <v>18</v>
      </c>
      <c r="J70" t="s">
        <v>19</v>
      </c>
      <c r="K70">
        <v>1422</v>
      </c>
      <c r="L70">
        <v>0</v>
      </c>
      <c r="M70" t="s">
        <v>20</v>
      </c>
      <c r="N70">
        <f>L70/500</f>
        <v>0</v>
      </c>
      <c r="P70">
        <f>K70/800</f>
        <v>1.7775000000000001</v>
      </c>
    </row>
    <row r="71" spans="1:16" x14ac:dyDescent="0.35">
      <c r="A71">
        <v>677</v>
      </c>
      <c r="B71">
        <v>583006034</v>
      </c>
      <c r="C71">
        <v>37120</v>
      </c>
      <c r="D71" t="s">
        <v>125</v>
      </c>
      <c r="E71" t="s">
        <v>343</v>
      </c>
      <c r="F71" t="s">
        <v>127</v>
      </c>
      <c r="G71" t="s">
        <v>128</v>
      </c>
      <c r="H71" t="s">
        <v>17</v>
      </c>
      <c r="I71" t="s">
        <v>18</v>
      </c>
      <c r="J71" t="s">
        <v>19</v>
      </c>
      <c r="K71">
        <v>465</v>
      </c>
      <c r="L71">
        <v>0</v>
      </c>
      <c r="M71" t="s">
        <v>20</v>
      </c>
      <c r="N71">
        <f>L71/500</f>
        <v>0</v>
      </c>
      <c r="P71">
        <f>K71/800</f>
        <v>0.58125000000000004</v>
      </c>
    </row>
    <row r="72" spans="1:16" x14ac:dyDescent="0.35">
      <c r="A72">
        <v>678</v>
      </c>
      <c r="B72">
        <v>583006034</v>
      </c>
      <c r="C72">
        <v>37120</v>
      </c>
      <c r="D72" t="s">
        <v>125</v>
      </c>
      <c r="E72" t="s">
        <v>343</v>
      </c>
      <c r="F72" t="s">
        <v>127</v>
      </c>
      <c r="G72" t="s">
        <v>128</v>
      </c>
      <c r="H72" t="s">
        <v>17</v>
      </c>
      <c r="I72" t="s">
        <v>18</v>
      </c>
      <c r="J72" t="s">
        <v>19</v>
      </c>
      <c r="K72">
        <v>150</v>
      </c>
      <c r="L72">
        <v>0</v>
      </c>
      <c r="M72" t="s">
        <v>20</v>
      </c>
      <c r="N72">
        <f>L72/500</f>
        <v>0</v>
      </c>
      <c r="P72">
        <f>K72/800</f>
        <v>0.1875</v>
      </c>
    </row>
    <row r="73" spans="1:16" x14ac:dyDescent="0.35">
      <c r="A73">
        <v>722</v>
      </c>
      <c r="B73">
        <v>583006104</v>
      </c>
      <c r="C73">
        <v>37209</v>
      </c>
      <c r="D73" t="s">
        <v>125</v>
      </c>
      <c r="E73" t="s">
        <v>347</v>
      </c>
      <c r="F73" t="s">
        <v>127</v>
      </c>
      <c r="G73" t="s">
        <v>128</v>
      </c>
      <c r="H73" t="s">
        <v>17</v>
      </c>
      <c r="I73" t="s">
        <v>18</v>
      </c>
      <c r="J73" t="s">
        <v>19</v>
      </c>
      <c r="K73">
        <v>633</v>
      </c>
      <c r="L73">
        <v>0</v>
      </c>
      <c r="M73" t="s">
        <v>20</v>
      </c>
      <c r="N73">
        <f>L73/500</f>
        <v>0</v>
      </c>
      <c r="P73">
        <f>K73/800</f>
        <v>0.79125000000000001</v>
      </c>
    </row>
    <row r="74" spans="1:16" x14ac:dyDescent="0.35">
      <c r="A74">
        <v>723</v>
      </c>
      <c r="B74">
        <v>583006104</v>
      </c>
      <c r="C74">
        <v>37209</v>
      </c>
      <c r="D74" t="s">
        <v>125</v>
      </c>
      <c r="E74" t="s">
        <v>347</v>
      </c>
      <c r="F74" t="s">
        <v>127</v>
      </c>
      <c r="G74" t="s">
        <v>128</v>
      </c>
      <c r="H74" t="s">
        <v>17</v>
      </c>
      <c r="I74" t="s">
        <v>18</v>
      </c>
      <c r="J74" t="s">
        <v>19</v>
      </c>
      <c r="K74">
        <v>918</v>
      </c>
      <c r="L74">
        <v>0</v>
      </c>
      <c r="M74" t="s">
        <v>20</v>
      </c>
      <c r="N74">
        <f>L74/500</f>
        <v>0</v>
      </c>
      <c r="P74">
        <f>K74/800</f>
        <v>1.1475</v>
      </c>
    </row>
    <row r="75" spans="1:16" x14ac:dyDescent="0.35">
      <c r="A75">
        <v>724</v>
      </c>
      <c r="B75">
        <v>583006104</v>
      </c>
      <c r="C75">
        <v>37209</v>
      </c>
      <c r="D75" t="s">
        <v>125</v>
      </c>
      <c r="E75" t="s">
        <v>347</v>
      </c>
      <c r="F75" t="s">
        <v>127</v>
      </c>
      <c r="G75" t="s">
        <v>128</v>
      </c>
      <c r="H75" t="s">
        <v>17</v>
      </c>
      <c r="I75" t="s">
        <v>18</v>
      </c>
      <c r="J75" t="s">
        <v>19</v>
      </c>
      <c r="K75">
        <v>2451</v>
      </c>
      <c r="L75">
        <v>0</v>
      </c>
      <c r="M75" t="s">
        <v>20</v>
      </c>
      <c r="N75">
        <f>L75/500</f>
        <v>0</v>
      </c>
      <c r="P75">
        <f>K75/800</f>
        <v>3.0637500000000002</v>
      </c>
    </row>
    <row r="76" spans="1:16" x14ac:dyDescent="0.35">
      <c r="A76">
        <v>924</v>
      </c>
      <c r="B76">
        <v>583006359</v>
      </c>
      <c r="C76">
        <v>37550</v>
      </c>
      <c r="D76" t="s">
        <v>125</v>
      </c>
      <c r="E76" t="s">
        <v>386</v>
      </c>
      <c r="F76" t="s">
        <v>127</v>
      </c>
      <c r="G76" t="s">
        <v>128</v>
      </c>
      <c r="H76" t="s">
        <v>17</v>
      </c>
      <c r="I76" t="s">
        <v>18</v>
      </c>
      <c r="J76" t="s">
        <v>19</v>
      </c>
      <c r="K76">
        <v>1116</v>
      </c>
      <c r="L76">
        <v>0</v>
      </c>
      <c r="M76" t="s">
        <v>20</v>
      </c>
      <c r="N76">
        <f>L76/500</f>
        <v>0</v>
      </c>
      <c r="P76">
        <f>K76/800</f>
        <v>1.395</v>
      </c>
    </row>
    <row r="77" spans="1:16" x14ac:dyDescent="0.35">
      <c r="A77">
        <v>942</v>
      </c>
      <c r="B77">
        <v>583006359</v>
      </c>
      <c r="C77">
        <v>37550</v>
      </c>
      <c r="D77" t="s">
        <v>125</v>
      </c>
      <c r="E77" t="s">
        <v>386</v>
      </c>
      <c r="F77" t="s">
        <v>127</v>
      </c>
      <c r="G77" t="s">
        <v>128</v>
      </c>
      <c r="H77" t="s">
        <v>17</v>
      </c>
      <c r="I77" t="s">
        <v>18</v>
      </c>
      <c r="J77" t="s">
        <v>19</v>
      </c>
      <c r="K77">
        <v>2403</v>
      </c>
      <c r="L77">
        <v>0</v>
      </c>
      <c r="M77" t="s">
        <v>20</v>
      </c>
      <c r="N77">
        <f>L77/500</f>
        <v>0</v>
      </c>
      <c r="P77">
        <f>K77/800</f>
        <v>3.0037500000000001</v>
      </c>
    </row>
    <row r="78" spans="1:16" x14ac:dyDescent="0.35">
      <c r="A78">
        <v>1002</v>
      </c>
      <c r="B78">
        <v>583006476</v>
      </c>
      <c r="C78">
        <v>37691</v>
      </c>
      <c r="D78" t="s">
        <v>125</v>
      </c>
      <c r="E78" t="s">
        <v>393</v>
      </c>
      <c r="F78" t="s">
        <v>127</v>
      </c>
      <c r="G78" t="s">
        <v>128</v>
      </c>
      <c r="H78" t="s">
        <v>17</v>
      </c>
      <c r="I78" t="s">
        <v>18</v>
      </c>
      <c r="J78" t="s">
        <v>19</v>
      </c>
      <c r="K78">
        <v>2106</v>
      </c>
      <c r="L78">
        <v>0</v>
      </c>
      <c r="M78" t="s">
        <v>20</v>
      </c>
      <c r="N78">
        <f>L78/500</f>
        <v>0</v>
      </c>
      <c r="P78">
        <f>K78/800</f>
        <v>2.6324999999999998</v>
      </c>
    </row>
    <row r="79" spans="1:16" x14ac:dyDescent="0.35">
      <c r="A79">
        <v>1007</v>
      </c>
      <c r="B79">
        <v>583006476</v>
      </c>
      <c r="C79">
        <v>37691</v>
      </c>
      <c r="D79" t="s">
        <v>125</v>
      </c>
      <c r="E79" t="s">
        <v>393</v>
      </c>
      <c r="F79" t="s">
        <v>127</v>
      </c>
      <c r="G79" t="s">
        <v>128</v>
      </c>
      <c r="H79" t="s">
        <v>17</v>
      </c>
      <c r="I79" t="s">
        <v>18</v>
      </c>
      <c r="J79" t="s">
        <v>19</v>
      </c>
      <c r="K79">
        <v>237</v>
      </c>
      <c r="L79">
        <v>0</v>
      </c>
      <c r="M79" t="s">
        <v>20</v>
      </c>
      <c r="N79">
        <f>L79/500</f>
        <v>0</v>
      </c>
      <c r="P79">
        <f>K79/800</f>
        <v>0.29625000000000001</v>
      </c>
    </row>
    <row r="80" spans="1:16" x14ac:dyDescent="0.35">
      <c r="A80">
        <v>1013</v>
      </c>
      <c r="B80">
        <v>583006476</v>
      </c>
      <c r="C80">
        <v>37691</v>
      </c>
      <c r="D80" t="s">
        <v>125</v>
      </c>
      <c r="E80" t="s">
        <v>393</v>
      </c>
      <c r="F80" t="s">
        <v>127</v>
      </c>
      <c r="G80" t="s">
        <v>128</v>
      </c>
      <c r="H80" t="s">
        <v>17</v>
      </c>
      <c r="I80" t="s">
        <v>18</v>
      </c>
      <c r="J80" t="s">
        <v>19</v>
      </c>
      <c r="K80">
        <v>540</v>
      </c>
      <c r="L80">
        <v>0</v>
      </c>
      <c r="M80" t="s">
        <v>20</v>
      </c>
      <c r="N80">
        <f>L80/500</f>
        <v>0</v>
      </c>
      <c r="P80">
        <f>K80/800</f>
        <v>0.67500000000000004</v>
      </c>
    </row>
    <row r="81" spans="1:16" x14ac:dyDescent="0.35">
      <c r="A81">
        <v>1063</v>
      </c>
      <c r="B81">
        <v>583006476</v>
      </c>
      <c r="C81">
        <v>37691</v>
      </c>
      <c r="D81" t="s">
        <v>125</v>
      </c>
      <c r="E81" t="s">
        <v>393</v>
      </c>
      <c r="F81" t="s">
        <v>127</v>
      </c>
      <c r="G81" t="s">
        <v>128</v>
      </c>
      <c r="H81" t="s">
        <v>17</v>
      </c>
      <c r="I81" t="s">
        <v>18</v>
      </c>
      <c r="J81" t="s">
        <v>19</v>
      </c>
      <c r="K81">
        <v>927</v>
      </c>
      <c r="L81">
        <v>0</v>
      </c>
      <c r="M81" t="s">
        <v>20</v>
      </c>
      <c r="N81">
        <f>L81/500</f>
        <v>0</v>
      </c>
      <c r="P81">
        <f>K81/800</f>
        <v>1.1587499999999999</v>
      </c>
    </row>
    <row r="82" spans="1:16" x14ac:dyDescent="0.35">
      <c r="A82">
        <v>1065</v>
      </c>
      <c r="B82">
        <v>583006461</v>
      </c>
      <c r="C82">
        <v>37674</v>
      </c>
      <c r="D82" t="s">
        <v>125</v>
      </c>
      <c r="E82" t="s">
        <v>393</v>
      </c>
      <c r="F82" t="s">
        <v>127</v>
      </c>
      <c r="G82" t="s">
        <v>128</v>
      </c>
      <c r="H82" t="s">
        <v>17</v>
      </c>
      <c r="I82" t="s">
        <v>18</v>
      </c>
      <c r="J82" t="s">
        <v>19</v>
      </c>
      <c r="K82">
        <v>579</v>
      </c>
      <c r="L82">
        <v>0</v>
      </c>
      <c r="M82" t="s">
        <v>20</v>
      </c>
      <c r="N82">
        <f>L82/500</f>
        <v>0</v>
      </c>
      <c r="P82">
        <f>K82/800</f>
        <v>0.72375</v>
      </c>
    </row>
    <row r="83" spans="1:16" x14ac:dyDescent="0.35">
      <c r="A83">
        <v>1066</v>
      </c>
      <c r="B83">
        <v>583006461</v>
      </c>
      <c r="C83">
        <v>37674</v>
      </c>
      <c r="D83" t="s">
        <v>125</v>
      </c>
      <c r="E83" t="s">
        <v>393</v>
      </c>
      <c r="F83" t="s">
        <v>127</v>
      </c>
      <c r="G83" t="s">
        <v>128</v>
      </c>
      <c r="H83" t="s">
        <v>17</v>
      </c>
      <c r="I83" t="s">
        <v>18</v>
      </c>
      <c r="J83" t="s">
        <v>19</v>
      </c>
      <c r="K83">
        <v>450</v>
      </c>
      <c r="L83">
        <v>0</v>
      </c>
      <c r="M83" t="s">
        <v>20</v>
      </c>
      <c r="N83">
        <f>L83/500</f>
        <v>0</v>
      </c>
      <c r="P83">
        <f>K83/800</f>
        <v>0.5625</v>
      </c>
    </row>
    <row r="84" spans="1:16" x14ac:dyDescent="0.35">
      <c r="A84">
        <v>1067</v>
      </c>
      <c r="B84">
        <v>583006461</v>
      </c>
      <c r="C84">
        <v>37674</v>
      </c>
      <c r="D84" t="s">
        <v>125</v>
      </c>
      <c r="E84" t="s">
        <v>393</v>
      </c>
      <c r="F84" t="s">
        <v>127</v>
      </c>
      <c r="G84" t="s">
        <v>128</v>
      </c>
      <c r="H84" t="s">
        <v>17</v>
      </c>
      <c r="I84" t="s">
        <v>18</v>
      </c>
      <c r="J84" t="s">
        <v>19</v>
      </c>
      <c r="K84">
        <v>2697</v>
      </c>
      <c r="L84">
        <v>0</v>
      </c>
      <c r="M84" t="s">
        <v>20</v>
      </c>
      <c r="N84">
        <f>L84/500</f>
        <v>0</v>
      </c>
      <c r="P84">
        <f>K84/800</f>
        <v>3.3712499999999999</v>
      </c>
    </row>
    <row r="85" spans="1:16" x14ac:dyDescent="0.35">
      <c r="A85">
        <v>1211</v>
      </c>
      <c r="B85">
        <v>583006648</v>
      </c>
      <c r="C85">
        <v>37930</v>
      </c>
      <c r="D85" t="s">
        <v>125</v>
      </c>
      <c r="E85" t="s">
        <v>420</v>
      </c>
      <c r="F85" t="s">
        <v>127</v>
      </c>
      <c r="G85" t="s">
        <v>128</v>
      </c>
      <c r="H85" t="s">
        <v>17</v>
      </c>
      <c r="I85" t="s">
        <v>18</v>
      </c>
      <c r="J85" t="s">
        <v>19</v>
      </c>
      <c r="K85">
        <v>792</v>
      </c>
      <c r="L85">
        <v>0</v>
      </c>
      <c r="M85" t="s">
        <v>20</v>
      </c>
      <c r="N85">
        <f>L85/500</f>
        <v>0</v>
      </c>
      <c r="P85">
        <f>K85/800</f>
        <v>0.99</v>
      </c>
    </row>
    <row r="86" spans="1:16" x14ac:dyDescent="0.35">
      <c r="A86">
        <v>1212</v>
      </c>
      <c r="B86">
        <v>583006648</v>
      </c>
      <c r="C86">
        <v>37930</v>
      </c>
      <c r="D86" t="s">
        <v>125</v>
      </c>
      <c r="E86" t="s">
        <v>420</v>
      </c>
      <c r="F86" t="s">
        <v>127</v>
      </c>
      <c r="G86" t="s">
        <v>128</v>
      </c>
      <c r="H86" t="s">
        <v>17</v>
      </c>
      <c r="I86" t="s">
        <v>18</v>
      </c>
      <c r="J86" t="s">
        <v>19</v>
      </c>
      <c r="K86">
        <v>1737</v>
      </c>
      <c r="L86">
        <v>0</v>
      </c>
      <c r="M86" t="s">
        <v>20</v>
      </c>
      <c r="N86">
        <f>L86/500</f>
        <v>0</v>
      </c>
      <c r="P86">
        <f>K86/800</f>
        <v>2.1712500000000001</v>
      </c>
    </row>
    <row r="87" spans="1:16" x14ac:dyDescent="0.35">
      <c r="A87">
        <v>1213</v>
      </c>
      <c r="B87">
        <v>583006648</v>
      </c>
      <c r="C87">
        <v>37930</v>
      </c>
      <c r="D87" t="s">
        <v>125</v>
      </c>
      <c r="E87" t="s">
        <v>420</v>
      </c>
      <c r="F87" t="s">
        <v>127</v>
      </c>
      <c r="G87" t="s">
        <v>128</v>
      </c>
      <c r="H87" t="s">
        <v>17</v>
      </c>
      <c r="I87" t="s">
        <v>18</v>
      </c>
      <c r="J87" t="s">
        <v>19</v>
      </c>
      <c r="K87">
        <v>450</v>
      </c>
      <c r="L87">
        <v>0</v>
      </c>
      <c r="M87" t="s">
        <v>20</v>
      </c>
      <c r="N87">
        <f>L87/500</f>
        <v>0</v>
      </c>
      <c r="P87">
        <f>K87/800</f>
        <v>0.5625</v>
      </c>
    </row>
    <row r="88" spans="1:16" x14ac:dyDescent="0.35">
      <c r="A88">
        <v>1214</v>
      </c>
      <c r="B88">
        <v>583006648</v>
      </c>
      <c r="C88">
        <v>37930</v>
      </c>
      <c r="D88" t="s">
        <v>125</v>
      </c>
      <c r="E88" t="s">
        <v>420</v>
      </c>
      <c r="F88" t="s">
        <v>127</v>
      </c>
      <c r="G88" t="s">
        <v>128</v>
      </c>
      <c r="H88" t="s">
        <v>17</v>
      </c>
      <c r="I88" t="s">
        <v>18</v>
      </c>
      <c r="J88" t="s">
        <v>19</v>
      </c>
      <c r="K88">
        <v>918</v>
      </c>
      <c r="L88">
        <v>0</v>
      </c>
      <c r="M88" t="s">
        <v>20</v>
      </c>
      <c r="N88">
        <f>L88/500</f>
        <v>0</v>
      </c>
      <c r="P88">
        <f>K88/800</f>
        <v>1.1475</v>
      </c>
    </row>
    <row r="89" spans="1:16" x14ac:dyDescent="0.35">
      <c r="A89">
        <v>1281</v>
      </c>
      <c r="B89">
        <v>583006745</v>
      </c>
      <c r="C89">
        <v>38064</v>
      </c>
      <c r="D89" t="s">
        <v>125</v>
      </c>
      <c r="E89" t="s">
        <v>424</v>
      </c>
      <c r="F89" t="s">
        <v>127</v>
      </c>
      <c r="G89" t="s">
        <v>128</v>
      </c>
      <c r="H89" t="s">
        <v>17</v>
      </c>
      <c r="I89" t="s">
        <v>18</v>
      </c>
      <c r="J89" t="s">
        <v>19</v>
      </c>
      <c r="K89">
        <v>333</v>
      </c>
      <c r="L89">
        <v>0</v>
      </c>
      <c r="M89" t="s">
        <v>20</v>
      </c>
      <c r="N89">
        <f>L89/500</f>
        <v>0</v>
      </c>
      <c r="P89">
        <f>K89/800</f>
        <v>0.41625000000000001</v>
      </c>
    </row>
    <row r="90" spans="1:16" x14ac:dyDescent="0.35">
      <c r="A90">
        <v>1282</v>
      </c>
      <c r="B90">
        <v>583006745</v>
      </c>
      <c r="C90">
        <v>38064</v>
      </c>
      <c r="D90" t="s">
        <v>125</v>
      </c>
      <c r="E90" t="s">
        <v>424</v>
      </c>
      <c r="F90" t="s">
        <v>127</v>
      </c>
      <c r="G90" t="s">
        <v>128</v>
      </c>
      <c r="H90" t="s">
        <v>17</v>
      </c>
      <c r="I90" t="s">
        <v>18</v>
      </c>
      <c r="J90" t="s">
        <v>19</v>
      </c>
      <c r="K90">
        <v>1140</v>
      </c>
      <c r="L90">
        <v>0</v>
      </c>
      <c r="M90" t="s">
        <v>20</v>
      </c>
      <c r="N90">
        <f>L90/500</f>
        <v>0</v>
      </c>
      <c r="P90">
        <f>K90/800</f>
        <v>1.425</v>
      </c>
    </row>
    <row r="91" spans="1:16" x14ac:dyDescent="0.35">
      <c r="A91">
        <v>1283</v>
      </c>
      <c r="B91">
        <v>583006745</v>
      </c>
      <c r="C91">
        <v>38064</v>
      </c>
      <c r="D91" t="s">
        <v>125</v>
      </c>
      <c r="E91" t="s">
        <v>424</v>
      </c>
      <c r="F91" t="s">
        <v>127</v>
      </c>
      <c r="G91" t="s">
        <v>128</v>
      </c>
      <c r="H91" t="s">
        <v>17</v>
      </c>
      <c r="I91" t="s">
        <v>18</v>
      </c>
      <c r="J91" t="s">
        <v>19</v>
      </c>
      <c r="K91">
        <v>927</v>
      </c>
      <c r="L91">
        <v>0</v>
      </c>
      <c r="M91" t="s">
        <v>20</v>
      </c>
      <c r="N91">
        <f>L91/500</f>
        <v>0</v>
      </c>
      <c r="P91">
        <f>K91/800</f>
        <v>1.1587499999999999</v>
      </c>
    </row>
    <row r="92" spans="1:16" x14ac:dyDescent="0.35">
      <c r="A92">
        <v>1284</v>
      </c>
      <c r="B92">
        <v>583006745</v>
      </c>
      <c r="C92">
        <v>38064</v>
      </c>
      <c r="D92" t="s">
        <v>125</v>
      </c>
      <c r="E92" t="s">
        <v>424</v>
      </c>
      <c r="F92" t="s">
        <v>127</v>
      </c>
      <c r="G92" t="s">
        <v>128</v>
      </c>
      <c r="H92" t="s">
        <v>17</v>
      </c>
      <c r="I92" t="s">
        <v>18</v>
      </c>
      <c r="J92" t="s">
        <v>19</v>
      </c>
      <c r="K92">
        <v>1416</v>
      </c>
      <c r="L92">
        <v>0</v>
      </c>
      <c r="M92" t="s">
        <v>20</v>
      </c>
      <c r="N92">
        <f>L92/500</f>
        <v>0</v>
      </c>
      <c r="P92">
        <f>K92/800</f>
        <v>1.77</v>
      </c>
    </row>
    <row r="93" spans="1:16" x14ac:dyDescent="0.35">
      <c r="A93">
        <v>1395</v>
      </c>
      <c r="B93">
        <v>583006903</v>
      </c>
      <c r="C93">
        <v>38280</v>
      </c>
      <c r="D93" t="s">
        <v>125</v>
      </c>
      <c r="E93" t="s">
        <v>444</v>
      </c>
      <c r="F93" t="s">
        <v>127</v>
      </c>
      <c r="G93" t="s">
        <v>128</v>
      </c>
      <c r="H93" t="s">
        <v>17</v>
      </c>
      <c r="I93" t="s">
        <v>18</v>
      </c>
      <c r="J93" t="s">
        <v>19</v>
      </c>
      <c r="K93">
        <v>1815</v>
      </c>
      <c r="L93">
        <v>0</v>
      </c>
      <c r="M93" t="s">
        <v>20</v>
      </c>
      <c r="N93">
        <f>L93/500</f>
        <v>0</v>
      </c>
      <c r="P93">
        <f>K93/800</f>
        <v>2.2687499999999998</v>
      </c>
    </row>
    <row r="94" spans="1:16" x14ac:dyDescent="0.35">
      <c r="A94">
        <v>1396</v>
      </c>
      <c r="B94">
        <v>583006903</v>
      </c>
      <c r="C94">
        <v>38280</v>
      </c>
      <c r="D94" t="s">
        <v>125</v>
      </c>
      <c r="E94" t="s">
        <v>444</v>
      </c>
      <c r="F94" t="s">
        <v>127</v>
      </c>
      <c r="G94" t="s">
        <v>128</v>
      </c>
      <c r="H94" t="s">
        <v>17</v>
      </c>
      <c r="I94" t="s">
        <v>18</v>
      </c>
      <c r="J94" t="s">
        <v>19</v>
      </c>
      <c r="K94">
        <v>60</v>
      </c>
      <c r="L94">
        <v>0</v>
      </c>
      <c r="M94" t="s">
        <v>20</v>
      </c>
      <c r="N94">
        <f>L94/500</f>
        <v>0</v>
      </c>
      <c r="P94">
        <f>K94/800</f>
        <v>7.4999999999999997E-2</v>
      </c>
    </row>
    <row r="95" spans="1:16" x14ac:dyDescent="0.35">
      <c r="A95">
        <v>1397</v>
      </c>
      <c r="B95">
        <v>583006903</v>
      </c>
      <c r="C95">
        <v>38280</v>
      </c>
      <c r="D95" t="s">
        <v>125</v>
      </c>
      <c r="E95" t="s">
        <v>444</v>
      </c>
      <c r="F95" t="s">
        <v>127</v>
      </c>
      <c r="G95" t="s">
        <v>128</v>
      </c>
      <c r="H95" t="s">
        <v>17</v>
      </c>
      <c r="I95" t="s">
        <v>18</v>
      </c>
      <c r="J95" t="s">
        <v>19</v>
      </c>
      <c r="K95">
        <v>939</v>
      </c>
      <c r="L95">
        <v>0</v>
      </c>
      <c r="M95" t="s">
        <v>20</v>
      </c>
      <c r="N95">
        <f>L95/500</f>
        <v>0</v>
      </c>
      <c r="P95">
        <f>K95/800</f>
        <v>1.1737500000000001</v>
      </c>
    </row>
    <row r="96" spans="1:16" x14ac:dyDescent="0.35">
      <c r="A96">
        <v>1398</v>
      </c>
      <c r="B96">
        <v>583006903</v>
      </c>
      <c r="C96">
        <v>38280</v>
      </c>
      <c r="D96" t="s">
        <v>125</v>
      </c>
      <c r="E96" t="s">
        <v>444</v>
      </c>
      <c r="F96" t="s">
        <v>127</v>
      </c>
      <c r="G96" t="s">
        <v>128</v>
      </c>
      <c r="H96" t="s">
        <v>17</v>
      </c>
      <c r="I96" t="s">
        <v>18</v>
      </c>
      <c r="J96" t="s">
        <v>19</v>
      </c>
      <c r="K96">
        <v>900</v>
      </c>
      <c r="L96">
        <v>0</v>
      </c>
      <c r="M96" t="s">
        <v>20</v>
      </c>
      <c r="N96">
        <f>L96/500</f>
        <v>0</v>
      </c>
      <c r="P96">
        <f>K96/800</f>
        <v>1.125</v>
      </c>
    </row>
    <row r="97" spans="1:16" x14ac:dyDescent="0.35">
      <c r="A97">
        <v>480</v>
      </c>
      <c r="B97">
        <v>583005757</v>
      </c>
      <c r="C97">
        <v>36722</v>
      </c>
      <c r="D97" t="s">
        <v>301</v>
      </c>
      <c r="E97" t="s">
        <v>300</v>
      </c>
      <c r="F97" t="s">
        <v>302</v>
      </c>
      <c r="G97" t="s">
        <v>303</v>
      </c>
      <c r="H97" t="s">
        <v>17</v>
      </c>
      <c r="I97" t="s">
        <v>18</v>
      </c>
      <c r="J97" t="s">
        <v>19</v>
      </c>
      <c r="K97">
        <v>2115</v>
      </c>
      <c r="L97">
        <v>0</v>
      </c>
      <c r="M97" t="s">
        <v>20</v>
      </c>
      <c r="N97">
        <f>L97/500</f>
        <v>0</v>
      </c>
      <c r="P97">
        <f>K97/800</f>
        <v>2.6437499999999998</v>
      </c>
    </row>
    <row r="98" spans="1:16" x14ac:dyDescent="0.35">
      <c r="A98">
        <v>481</v>
      </c>
      <c r="B98">
        <v>583005757</v>
      </c>
      <c r="C98">
        <v>36722</v>
      </c>
      <c r="D98" t="s">
        <v>301</v>
      </c>
      <c r="E98" t="s">
        <v>300</v>
      </c>
      <c r="F98" t="s">
        <v>302</v>
      </c>
      <c r="G98" t="s">
        <v>303</v>
      </c>
      <c r="H98" t="s">
        <v>17</v>
      </c>
      <c r="I98" t="s">
        <v>18</v>
      </c>
      <c r="J98" t="s">
        <v>19</v>
      </c>
      <c r="K98">
        <v>318</v>
      </c>
      <c r="L98">
        <v>0</v>
      </c>
      <c r="M98" t="s">
        <v>20</v>
      </c>
      <c r="N98">
        <f>L98/500</f>
        <v>0</v>
      </c>
      <c r="P98">
        <f>K98/800</f>
        <v>0.39750000000000002</v>
      </c>
    </row>
    <row r="99" spans="1:16" x14ac:dyDescent="0.35">
      <c r="A99">
        <v>482</v>
      </c>
      <c r="B99">
        <v>583005757</v>
      </c>
      <c r="C99">
        <v>36722</v>
      </c>
      <c r="D99" t="s">
        <v>301</v>
      </c>
      <c r="E99" t="s">
        <v>300</v>
      </c>
      <c r="F99" t="s">
        <v>302</v>
      </c>
      <c r="G99" t="s">
        <v>303</v>
      </c>
      <c r="H99" t="s">
        <v>17</v>
      </c>
      <c r="I99" t="s">
        <v>18</v>
      </c>
      <c r="J99" t="s">
        <v>19</v>
      </c>
      <c r="K99">
        <v>144</v>
      </c>
      <c r="L99">
        <v>0</v>
      </c>
      <c r="M99" t="s">
        <v>20</v>
      </c>
      <c r="N99">
        <f>L99/500</f>
        <v>0</v>
      </c>
      <c r="P99">
        <f>K99/800</f>
        <v>0.18</v>
      </c>
    </row>
    <row r="100" spans="1:16" x14ac:dyDescent="0.35">
      <c r="A100">
        <v>483</v>
      </c>
      <c r="B100">
        <v>583005757</v>
      </c>
      <c r="C100">
        <v>36722</v>
      </c>
      <c r="D100" t="s">
        <v>301</v>
      </c>
      <c r="E100" t="s">
        <v>300</v>
      </c>
      <c r="F100" t="s">
        <v>302</v>
      </c>
      <c r="G100" t="s">
        <v>303</v>
      </c>
      <c r="H100" t="s">
        <v>17</v>
      </c>
      <c r="I100" t="s">
        <v>18</v>
      </c>
      <c r="J100" t="s">
        <v>19</v>
      </c>
      <c r="K100">
        <v>900</v>
      </c>
      <c r="L100">
        <v>0</v>
      </c>
      <c r="M100" t="s">
        <v>20</v>
      </c>
      <c r="N100">
        <f>L100/500</f>
        <v>0</v>
      </c>
      <c r="P100">
        <f>K100/800</f>
        <v>1.125</v>
      </c>
    </row>
    <row r="101" spans="1:16" x14ac:dyDescent="0.35">
      <c r="A101">
        <v>669</v>
      </c>
      <c r="B101">
        <v>583006010</v>
      </c>
      <c r="C101">
        <v>37090</v>
      </c>
      <c r="D101" t="s">
        <v>301</v>
      </c>
      <c r="E101" t="s">
        <v>343</v>
      </c>
      <c r="F101" t="s">
        <v>302</v>
      </c>
      <c r="G101" t="s">
        <v>303</v>
      </c>
      <c r="H101" t="s">
        <v>17</v>
      </c>
      <c r="I101" t="s">
        <v>18</v>
      </c>
      <c r="J101" t="s">
        <v>19</v>
      </c>
      <c r="K101">
        <v>276</v>
      </c>
      <c r="L101">
        <v>0</v>
      </c>
      <c r="M101" t="s">
        <v>20</v>
      </c>
      <c r="N101">
        <f>L101/500</f>
        <v>0</v>
      </c>
      <c r="P101">
        <f>K101/800</f>
        <v>0.34499999999999997</v>
      </c>
    </row>
    <row r="102" spans="1:16" x14ac:dyDescent="0.35">
      <c r="A102">
        <v>556</v>
      </c>
      <c r="B102">
        <v>583005838</v>
      </c>
      <c r="C102">
        <v>36845</v>
      </c>
      <c r="D102" t="s">
        <v>321</v>
      </c>
      <c r="E102" t="s">
        <v>318</v>
      </c>
      <c r="F102" t="s">
        <v>322</v>
      </c>
      <c r="G102" t="s">
        <v>323</v>
      </c>
      <c r="H102" t="s">
        <v>17</v>
      </c>
      <c r="I102" t="s">
        <v>18</v>
      </c>
      <c r="J102" t="s">
        <v>19</v>
      </c>
      <c r="K102">
        <v>123</v>
      </c>
      <c r="L102">
        <v>0</v>
      </c>
      <c r="M102" t="s">
        <v>20</v>
      </c>
      <c r="N102">
        <f>L102/500</f>
        <v>0</v>
      </c>
      <c r="P102">
        <f>K102/800</f>
        <v>0.15375</v>
      </c>
    </row>
    <row r="103" spans="1:16" x14ac:dyDescent="0.35">
      <c r="A103">
        <v>645</v>
      </c>
      <c r="B103">
        <v>583005930</v>
      </c>
      <c r="C103">
        <v>36985</v>
      </c>
      <c r="D103" t="s">
        <v>321</v>
      </c>
      <c r="E103" t="s">
        <v>324</v>
      </c>
      <c r="F103" t="s">
        <v>322</v>
      </c>
      <c r="G103" t="s">
        <v>323</v>
      </c>
      <c r="H103" t="s">
        <v>17</v>
      </c>
      <c r="I103" t="s">
        <v>18</v>
      </c>
      <c r="J103" t="s">
        <v>19</v>
      </c>
      <c r="K103">
        <v>15</v>
      </c>
      <c r="L103">
        <v>0</v>
      </c>
      <c r="M103" t="s">
        <v>20</v>
      </c>
      <c r="N103">
        <f>L103/500</f>
        <v>0</v>
      </c>
      <c r="P103">
        <f>K103/800</f>
        <v>1.8749999999999999E-2</v>
      </c>
    </row>
    <row r="104" spans="1:16" x14ac:dyDescent="0.35">
      <c r="A104">
        <v>646</v>
      </c>
      <c r="B104">
        <v>583005930</v>
      </c>
      <c r="C104">
        <v>36985</v>
      </c>
      <c r="D104" t="s">
        <v>321</v>
      </c>
      <c r="E104" t="s">
        <v>324</v>
      </c>
      <c r="F104" t="s">
        <v>322</v>
      </c>
      <c r="G104" t="s">
        <v>323</v>
      </c>
      <c r="H104" t="s">
        <v>17</v>
      </c>
      <c r="I104" t="s">
        <v>18</v>
      </c>
      <c r="J104" t="s">
        <v>19</v>
      </c>
      <c r="K104">
        <v>42</v>
      </c>
      <c r="L104">
        <v>0</v>
      </c>
      <c r="M104" t="s">
        <v>20</v>
      </c>
      <c r="N104">
        <f>L104/500</f>
        <v>0</v>
      </c>
      <c r="P104">
        <f>K104/800</f>
        <v>5.2499999999999998E-2</v>
      </c>
    </row>
    <row r="105" spans="1:16" x14ac:dyDescent="0.35">
      <c r="A105">
        <v>1176</v>
      </c>
      <c r="B105">
        <v>583006564</v>
      </c>
      <c r="C105">
        <v>37826</v>
      </c>
      <c r="D105" t="s">
        <v>321</v>
      </c>
      <c r="E105" t="s">
        <v>413</v>
      </c>
      <c r="F105" t="s">
        <v>322</v>
      </c>
      <c r="G105" t="s">
        <v>323</v>
      </c>
      <c r="H105" t="s">
        <v>17</v>
      </c>
      <c r="I105" t="s">
        <v>18</v>
      </c>
      <c r="J105" t="s">
        <v>19</v>
      </c>
      <c r="K105">
        <v>45</v>
      </c>
      <c r="L105">
        <v>0</v>
      </c>
      <c r="M105" t="s">
        <v>20</v>
      </c>
      <c r="N105">
        <f>L105/500</f>
        <v>0</v>
      </c>
      <c r="P105">
        <f>K105/800</f>
        <v>5.6250000000000001E-2</v>
      </c>
    </row>
    <row r="106" spans="1:16" x14ac:dyDescent="0.35">
      <c r="A106">
        <v>1178</v>
      </c>
      <c r="B106">
        <v>583006588</v>
      </c>
      <c r="C106">
        <v>37850</v>
      </c>
      <c r="D106" t="s">
        <v>414</v>
      </c>
      <c r="E106" t="s">
        <v>413</v>
      </c>
      <c r="F106" t="s">
        <v>415</v>
      </c>
      <c r="G106" t="s">
        <v>416</v>
      </c>
      <c r="H106" t="s">
        <v>17</v>
      </c>
      <c r="I106" t="s">
        <v>63</v>
      </c>
      <c r="J106" t="s">
        <v>64</v>
      </c>
      <c r="K106">
        <v>12</v>
      </c>
      <c r="L106">
        <v>19.8</v>
      </c>
      <c r="M106" t="s">
        <v>20</v>
      </c>
      <c r="N106">
        <f>L106/500</f>
        <v>3.9600000000000003E-2</v>
      </c>
    </row>
    <row r="107" spans="1:16" x14ac:dyDescent="0.35">
      <c r="A107">
        <v>1165</v>
      </c>
      <c r="B107">
        <v>583006587</v>
      </c>
      <c r="C107">
        <v>37849</v>
      </c>
      <c r="D107" t="s">
        <v>414</v>
      </c>
      <c r="E107" t="s">
        <v>413</v>
      </c>
      <c r="F107" t="s">
        <v>415</v>
      </c>
      <c r="G107" t="s">
        <v>416</v>
      </c>
      <c r="H107" t="s">
        <v>17</v>
      </c>
      <c r="I107" t="s">
        <v>18</v>
      </c>
      <c r="J107" t="s">
        <v>19</v>
      </c>
      <c r="K107">
        <v>9</v>
      </c>
      <c r="L107">
        <v>0</v>
      </c>
      <c r="M107" t="s">
        <v>20</v>
      </c>
      <c r="N107">
        <f>L107/500</f>
        <v>0</v>
      </c>
      <c r="P107">
        <f>K107/800</f>
        <v>1.125E-2</v>
      </c>
    </row>
    <row r="108" spans="1:16" x14ac:dyDescent="0.35">
      <c r="A108">
        <v>1308</v>
      </c>
      <c r="B108">
        <v>583006809</v>
      </c>
      <c r="C108">
        <v>38155</v>
      </c>
      <c r="D108" t="s">
        <v>414</v>
      </c>
      <c r="E108" t="s">
        <v>434</v>
      </c>
      <c r="F108" t="s">
        <v>415</v>
      </c>
      <c r="G108" t="s">
        <v>416</v>
      </c>
      <c r="H108" t="s">
        <v>17</v>
      </c>
      <c r="I108" t="s">
        <v>18</v>
      </c>
      <c r="J108" t="s">
        <v>19</v>
      </c>
      <c r="K108">
        <v>3321</v>
      </c>
      <c r="L108">
        <v>0</v>
      </c>
      <c r="M108" t="s">
        <v>20</v>
      </c>
      <c r="N108">
        <f>L108/500</f>
        <v>0</v>
      </c>
      <c r="P108">
        <f>K108/800</f>
        <v>4.1512500000000001</v>
      </c>
    </row>
    <row r="109" spans="1:16" x14ac:dyDescent="0.35">
      <c r="A109">
        <v>1309</v>
      </c>
      <c r="B109">
        <v>583006809</v>
      </c>
      <c r="C109">
        <v>38155</v>
      </c>
      <c r="D109" t="s">
        <v>414</v>
      </c>
      <c r="E109" t="s">
        <v>434</v>
      </c>
      <c r="F109" t="s">
        <v>415</v>
      </c>
      <c r="G109" t="s">
        <v>416</v>
      </c>
      <c r="H109" t="s">
        <v>17</v>
      </c>
      <c r="I109" t="s">
        <v>18</v>
      </c>
      <c r="J109" t="s">
        <v>19</v>
      </c>
      <c r="K109">
        <v>360</v>
      </c>
      <c r="L109">
        <v>0</v>
      </c>
      <c r="M109" t="s">
        <v>20</v>
      </c>
      <c r="N109">
        <f>L109/500</f>
        <v>0</v>
      </c>
      <c r="P109">
        <f>K109/800</f>
        <v>0.45</v>
      </c>
    </row>
    <row r="110" spans="1:16" x14ac:dyDescent="0.35">
      <c r="A110">
        <v>1408</v>
      </c>
      <c r="B110">
        <v>583006850</v>
      </c>
      <c r="C110">
        <v>38217</v>
      </c>
      <c r="D110" t="s">
        <v>414</v>
      </c>
      <c r="E110" t="s">
        <v>444</v>
      </c>
      <c r="F110" t="s">
        <v>415</v>
      </c>
      <c r="G110" t="s">
        <v>416</v>
      </c>
      <c r="H110" t="s">
        <v>17</v>
      </c>
      <c r="I110" t="s">
        <v>18</v>
      </c>
      <c r="J110" t="s">
        <v>19</v>
      </c>
      <c r="K110">
        <v>12</v>
      </c>
      <c r="L110">
        <v>0</v>
      </c>
      <c r="M110" t="s">
        <v>20</v>
      </c>
      <c r="N110">
        <f>L110/500</f>
        <v>0</v>
      </c>
      <c r="P110">
        <f>K110/800</f>
        <v>1.4999999999999999E-2</v>
      </c>
    </row>
    <row r="111" spans="1:16" x14ac:dyDescent="0.35">
      <c r="A111">
        <v>220</v>
      </c>
      <c r="B111">
        <v>583005308</v>
      </c>
      <c r="C111">
        <v>36108</v>
      </c>
      <c r="D111" t="s">
        <v>223</v>
      </c>
      <c r="E111" t="s">
        <v>217</v>
      </c>
      <c r="F111" t="s">
        <v>224</v>
      </c>
      <c r="G111" t="s">
        <v>225</v>
      </c>
      <c r="H111" t="s">
        <v>17</v>
      </c>
      <c r="I111" t="s">
        <v>63</v>
      </c>
      <c r="J111" t="s">
        <v>64</v>
      </c>
      <c r="K111">
        <v>8</v>
      </c>
      <c r="L111">
        <v>14.16</v>
      </c>
      <c r="M111" t="s">
        <v>20</v>
      </c>
      <c r="N111">
        <f>L111/500</f>
        <v>2.8320000000000001E-2</v>
      </c>
    </row>
    <row r="112" spans="1:16" x14ac:dyDescent="0.35">
      <c r="A112">
        <v>353</v>
      </c>
      <c r="B112">
        <v>583005488</v>
      </c>
      <c r="C112">
        <v>36350</v>
      </c>
      <c r="D112" t="s">
        <v>223</v>
      </c>
      <c r="E112" t="s">
        <v>266</v>
      </c>
      <c r="F112" t="s">
        <v>224</v>
      </c>
      <c r="G112" t="s">
        <v>225</v>
      </c>
      <c r="H112" t="s">
        <v>17</v>
      </c>
      <c r="I112" t="s">
        <v>63</v>
      </c>
      <c r="J112" t="s">
        <v>64</v>
      </c>
      <c r="K112">
        <v>33</v>
      </c>
      <c r="L112">
        <v>54.45</v>
      </c>
      <c r="M112" t="s">
        <v>20</v>
      </c>
      <c r="N112">
        <f>L112/500</f>
        <v>0.10890000000000001</v>
      </c>
    </row>
    <row r="113" spans="1:16" x14ac:dyDescent="0.35">
      <c r="A113">
        <v>965</v>
      </c>
      <c r="B113">
        <v>583006315</v>
      </c>
      <c r="C113">
        <v>37489</v>
      </c>
      <c r="D113" t="s">
        <v>223</v>
      </c>
      <c r="E113" t="s">
        <v>386</v>
      </c>
      <c r="F113" t="s">
        <v>224</v>
      </c>
      <c r="G113" t="s">
        <v>225</v>
      </c>
      <c r="H113" t="s">
        <v>17</v>
      </c>
      <c r="I113" t="s">
        <v>63</v>
      </c>
      <c r="J113" t="s">
        <v>64</v>
      </c>
      <c r="K113">
        <v>41</v>
      </c>
      <c r="L113">
        <v>72.569999999999993</v>
      </c>
      <c r="M113" t="s">
        <v>20</v>
      </c>
      <c r="N113">
        <f>L113/500</f>
        <v>0.14513999999999999</v>
      </c>
    </row>
    <row r="114" spans="1:16" x14ac:dyDescent="0.35">
      <c r="A114">
        <v>423</v>
      </c>
      <c r="B114">
        <v>583005666</v>
      </c>
      <c r="C114">
        <v>36605</v>
      </c>
      <c r="D114" t="s">
        <v>223</v>
      </c>
      <c r="E114" t="s">
        <v>292</v>
      </c>
      <c r="F114" t="s">
        <v>224</v>
      </c>
      <c r="G114" t="s">
        <v>225</v>
      </c>
      <c r="H114" t="s">
        <v>17</v>
      </c>
      <c r="I114" t="s">
        <v>18</v>
      </c>
      <c r="J114" t="s">
        <v>19</v>
      </c>
      <c r="K114">
        <v>186</v>
      </c>
      <c r="L114">
        <v>0</v>
      </c>
      <c r="M114" t="s">
        <v>20</v>
      </c>
      <c r="N114">
        <f>L114/500</f>
        <v>0</v>
      </c>
      <c r="P114">
        <f>K114/800</f>
        <v>0.23250000000000001</v>
      </c>
    </row>
    <row r="115" spans="1:16" x14ac:dyDescent="0.35">
      <c r="A115">
        <v>425</v>
      </c>
      <c r="B115">
        <v>583005666</v>
      </c>
      <c r="C115">
        <v>36605</v>
      </c>
      <c r="D115" t="s">
        <v>223</v>
      </c>
      <c r="E115" t="s">
        <v>292</v>
      </c>
      <c r="F115" t="s">
        <v>224</v>
      </c>
      <c r="G115" t="s">
        <v>225</v>
      </c>
      <c r="H115" t="s">
        <v>17</v>
      </c>
      <c r="I115" t="s">
        <v>18</v>
      </c>
      <c r="J115" t="s">
        <v>19</v>
      </c>
      <c r="K115">
        <v>2688</v>
      </c>
      <c r="L115">
        <v>0</v>
      </c>
      <c r="M115" t="s">
        <v>20</v>
      </c>
      <c r="N115">
        <f>L115/500</f>
        <v>0</v>
      </c>
      <c r="P115">
        <f>K115/800</f>
        <v>3.36</v>
      </c>
    </row>
    <row r="116" spans="1:16" x14ac:dyDescent="0.35">
      <c r="A116">
        <v>426</v>
      </c>
      <c r="B116">
        <v>583005666</v>
      </c>
      <c r="C116">
        <v>36605</v>
      </c>
      <c r="D116" t="s">
        <v>223</v>
      </c>
      <c r="E116" t="s">
        <v>292</v>
      </c>
      <c r="F116" t="s">
        <v>224</v>
      </c>
      <c r="G116" t="s">
        <v>225</v>
      </c>
      <c r="H116" t="s">
        <v>17</v>
      </c>
      <c r="I116" t="s">
        <v>18</v>
      </c>
      <c r="J116" t="s">
        <v>19</v>
      </c>
      <c r="K116">
        <v>870</v>
      </c>
      <c r="L116">
        <v>0</v>
      </c>
      <c r="M116" t="s">
        <v>20</v>
      </c>
      <c r="N116">
        <f>L116/500</f>
        <v>0</v>
      </c>
      <c r="P116">
        <f>K116/800</f>
        <v>1.0874999999999999</v>
      </c>
    </row>
    <row r="117" spans="1:16" x14ac:dyDescent="0.35">
      <c r="A117">
        <v>727</v>
      </c>
      <c r="B117">
        <v>583006105</v>
      </c>
      <c r="C117">
        <v>37211</v>
      </c>
      <c r="D117" t="s">
        <v>223</v>
      </c>
      <c r="E117" t="s">
        <v>347</v>
      </c>
      <c r="F117" t="s">
        <v>224</v>
      </c>
      <c r="G117" t="s">
        <v>225</v>
      </c>
      <c r="H117" t="s">
        <v>17</v>
      </c>
      <c r="I117" t="s">
        <v>18</v>
      </c>
      <c r="J117" t="s">
        <v>19</v>
      </c>
      <c r="K117">
        <v>324</v>
      </c>
      <c r="L117">
        <v>0</v>
      </c>
      <c r="M117" t="s">
        <v>20</v>
      </c>
      <c r="N117">
        <f>L117/500</f>
        <v>0</v>
      </c>
      <c r="P117">
        <f>K117/800</f>
        <v>0.40500000000000003</v>
      </c>
    </row>
    <row r="118" spans="1:16" x14ac:dyDescent="0.35">
      <c r="A118">
        <v>728</v>
      </c>
      <c r="B118">
        <v>583006105</v>
      </c>
      <c r="C118">
        <v>37211</v>
      </c>
      <c r="D118" t="s">
        <v>223</v>
      </c>
      <c r="E118" t="s">
        <v>347</v>
      </c>
      <c r="F118" t="s">
        <v>224</v>
      </c>
      <c r="G118" t="s">
        <v>225</v>
      </c>
      <c r="H118" t="s">
        <v>17</v>
      </c>
      <c r="I118" t="s">
        <v>18</v>
      </c>
      <c r="J118" t="s">
        <v>19</v>
      </c>
      <c r="K118">
        <v>222</v>
      </c>
      <c r="L118">
        <v>0</v>
      </c>
      <c r="M118" t="s">
        <v>20</v>
      </c>
      <c r="N118">
        <f>L118/500</f>
        <v>0</v>
      </c>
      <c r="P118">
        <f>K118/800</f>
        <v>0.27750000000000002</v>
      </c>
    </row>
    <row r="119" spans="1:16" x14ac:dyDescent="0.35">
      <c r="A119">
        <v>741</v>
      </c>
      <c r="B119">
        <v>583006086</v>
      </c>
      <c r="C119">
        <v>37189</v>
      </c>
      <c r="D119" t="s">
        <v>223</v>
      </c>
      <c r="E119" t="s">
        <v>347</v>
      </c>
      <c r="F119" t="s">
        <v>224</v>
      </c>
      <c r="G119" t="s">
        <v>225</v>
      </c>
      <c r="H119" t="s">
        <v>17</v>
      </c>
      <c r="I119" t="s">
        <v>18</v>
      </c>
      <c r="J119" t="s">
        <v>19</v>
      </c>
      <c r="K119">
        <v>162</v>
      </c>
      <c r="L119">
        <v>0</v>
      </c>
      <c r="M119" t="s">
        <v>20</v>
      </c>
      <c r="N119">
        <f>L119/500</f>
        <v>0</v>
      </c>
      <c r="P119">
        <f>K119/800</f>
        <v>0.20250000000000001</v>
      </c>
    </row>
    <row r="120" spans="1:16" x14ac:dyDescent="0.35">
      <c r="A120">
        <v>742</v>
      </c>
      <c r="B120">
        <v>583006086</v>
      </c>
      <c r="C120">
        <v>37189</v>
      </c>
      <c r="D120" t="s">
        <v>223</v>
      </c>
      <c r="E120" t="s">
        <v>347</v>
      </c>
      <c r="F120" t="s">
        <v>224</v>
      </c>
      <c r="G120" t="s">
        <v>225</v>
      </c>
      <c r="H120" t="s">
        <v>17</v>
      </c>
      <c r="I120" t="s">
        <v>18</v>
      </c>
      <c r="J120" t="s">
        <v>19</v>
      </c>
      <c r="K120">
        <v>129</v>
      </c>
      <c r="L120">
        <v>0</v>
      </c>
      <c r="M120" t="s">
        <v>20</v>
      </c>
      <c r="N120">
        <f>L120/500</f>
        <v>0</v>
      </c>
      <c r="P120">
        <f>K120/800</f>
        <v>0.16125</v>
      </c>
    </row>
    <row r="121" spans="1:16" x14ac:dyDescent="0.35">
      <c r="A121">
        <v>772</v>
      </c>
      <c r="B121">
        <v>583006105</v>
      </c>
      <c r="C121">
        <v>37211</v>
      </c>
      <c r="D121" t="s">
        <v>223</v>
      </c>
      <c r="E121" t="s">
        <v>347</v>
      </c>
      <c r="F121" t="s">
        <v>224</v>
      </c>
      <c r="G121" t="s">
        <v>225</v>
      </c>
      <c r="H121" t="s">
        <v>17</v>
      </c>
      <c r="I121" t="s">
        <v>18</v>
      </c>
      <c r="J121" t="s">
        <v>19</v>
      </c>
      <c r="K121">
        <v>1167</v>
      </c>
      <c r="L121">
        <v>0</v>
      </c>
      <c r="M121" t="s">
        <v>20</v>
      </c>
      <c r="N121">
        <f>L121/500</f>
        <v>0</v>
      </c>
      <c r="P121">
        <f>K121/800</f>
        <v>1.45875</v>
      </c>
    </row>
    <row r="122" spans="1:16" x14ac:dyDescent="0.35">
      <c r="A122">
        <v>1159</v>
      </c>
      <c r="B122">
        <v>583006569</v>
      </c>
      <c r="C122">
        <v>37831</v>
      </c>
      <c r="D122" t="s">
        <v>223</v>
      </c>
      <c r="E122" t="s">
        <v>413</v>
      </c>
      <c r="F122" t="s">
        <v>224</v>
      </c>
      <c r="G122" t="s">
        <v>225</v>
      </c>
      <c r="H122" t="s">
        <v>17</v>
      </c>
      <c r="I122" t="s">
        <v>18</v>
      </c>
      <c r="J122" t="s">
        <v>19</v>
      </c>
      <c r="K122">
        <v>27</v>
      </c>
      <c r="L122">
        <v>0</v>
      </c>
      <c r="M122" t="s">
        <v>20</v>
      </c>
      <c r="N122">
        <f>L122/500</f>
        <v>0</v>
      </c>
      <c r="P122">
        <f>K122/800</f>
        <v>3.3750000000000002E-2</v>
      </c>
    </row>
    <row r="123" spans="1:16" x14ac:dyDescent="0.35">
      <c r="A123">
        <v>1198</v>
      </c>
      <c r="B123">
        <v>583006646</v>
      </c>
      <c r="C123">
        <v>37927</v>
      </c>
      <c r="D123" t="s">
        <v>223</v>
      </c>
      <c r="E123" t="s">
        <v>420</v>
      </c>
      <c r="F123" t="s">
        <v>224</v>
      </c>
      <c r="G123" t="s">
        <v>225</v>
      </c>
      <c r="H123" t="s">
        <v>17</v>
      </c>
      <c r="I123" t="s">
        <v>18</v>
      </c>
      <c r="J123" t="s">
        <v>19</v>
      </c>
      <c r="K123">
        <v>1269</v>
      </c>
      <c r="L123">
        <v>0</v>
      </c>
      <c r="M123" t="s">
        <v>20</v>
      </c>
      <c r="N123">
        <f>L123/500</f>
        <v>0</v>
      </c>
      <c r="P123">
        <f>K123/800</f>
        <v>1.5862499999999999</v>
      </c>
    </row>
    <row r="124" spans="1:16" x14ac:dyDescent="0.35">
      <c r="A124">
        <v>1199</v>
      </c>
      <c r="B124">
        <v>583006646</v>
      </c>
      <c r="C124">
        <v>37927</v>
      </c>
      <c r="D124" t="s">
        <v>223</v>
      </c>
      <c r="E124" t="s">
        <v>420</v>
      </c>
      <c r="F124" t="s">
        <v>224</v>
      </c>
      <c r="G124" t="s">
        <v>225</v>
      </c>
      <c r="H124" t="s">
        <v>17</v>
      </c>
      <c r="I124" t="s">
        <v>18</v>
      </c>
      <c r="J124" t="s">
        <v>19</v>
      </c>
      <c r="K124">
        <v>420</v>
      </c>
      <c r="L124">
        <v>0</v>
      </c>
      <c r="M124" t="s">
        <v>20</v>
      </c>
      <c r="N124">
        <f>L124/500</f>
        <v>0</v>
      </c>
      <c r="P124">
        <f>K124/800</f>
        <v>0.52500000000000002</v>
      </c>
    </row>
    <row r="125" spans="1:16" x14ac:dyDescent="0.35">
      <c r="A125">
        <v>233</v>
      </c>
      <c r="B125">
        <v>583005311</v>
      </c>
      <c r="C125">
        <v>36112</v>
      </c>
      <c r="D125" t="s">
        <v>181</v>
      </c>
      <c r="E125" t="s">
        <v>217</v>
      </c>
      <c r="F125" t="s">
        <v>182</v>
      </c>
      <c r="G125" t="s">
        <v>183</v>
      </c>
      <c r="H125" t="s">
        <v>17</v>
      </c>
      <c r="I125" t="s">
        <v>63</v>
      </c>
      <c r="J125" t="s">
        <v>64</v>
      </c>
      <c r="K125">
        <v>90</v>
      </c>
      <c r="L125">
        <v>159.30000000000001</v>
      </c>
      <c r="M125" t="s">
        <v>20</v>
      </c>
      <c r="N125">
        <f>L125/500</f>
        <v>0.31860000000000005</v>
      </c>
    </row>
    <row r="126" spans="1:16" x14ac:dyDescent="0.35">
      <c r="A126">
        <v>961</v>
      </c>
      <c r="B126">
        <v>583006376</v>
      </c>
      <c r="C126">
        <v>37568</v>
      </c>
      <c r="D126" t="s">
        <v>181</v>
      </c>
      <c r="E126" t="s">
        <v>386</v>
      </c>
      <c r="F126" t="s">
        <v>182</v>
      </c>
      <c r="G126" t="s">
        <v>183</v>
      </c>
      <c r="H126" t="s">
        <v>17</v>
      </c>
      <c r="I126" t="s">
        <v>63</v>
      </c>
      <c r="J126" t="s">
        <v>64</v>
      </c>
      <c r="K126">
        <v>2</v>
      </c>
      <c r="L126">
        <v>3.54</v>
      </c>
      <c r="M126" t="s">
        <v>20</v>
      </c>
      <c r="N126">
        <f>L126/500</f>
        <v>7.0800000000000004E-3</v>
      </c>
    </row>
    <row r="127" spans="1:16" x14ac:dyDescent="0.35">
      <c r="A127">
        <v>155</v>
      </c>
      <c r="B127">
        <v>583005234</v>
      </c>
      <c r="C127">
        <v>35995</v>
      </c>
      <c r="D127" t="s">
        <v>181</v>
      </c>
      <c r="E127" t="s">
        <v>177</v>
      </c>
      <c r="F127" t="s">
        <v>182</v>
      </c>
      <c r="G127" t="s">
        <v>183</v>
      </c>
      <c r="H127" t="s">
        <v>17</v>
      </c>
      <c r="I127" t="s">
        <v>18</v>
      </c>
      <c r="J127" t="s">
        <v>19</v>
      </c>
      <c r="K127">
        <v>1494</v>
      </c>
      <c r="L127">
        <v>0</v>
      </c>
      <c r="M127" t="s">
        <v>20</v>
      </c>
      <c r="N127">
        <f>L127/500</f>
        <v>0</v>
      </c>
      <c r="P127">
        <f>K127/800</f>
        <v>1.8674999999999999</v>
      </c>
    </row>
    <row r="128" spans="1:16" x14ac:dyDescent="0.35">
      <c r="A128">
        <v>1048</v>
      </c>
      <c r="B128">
        <v>583006399</v>
      </c>
      <c r="C128">
        <v>37605</v>
      </c>
      <c r="D128" t="s">
        <v>181</v>
      </c>
      <c r="E128" t="s">
        <v>393</v>
      </c>
      <c r="F128" t="s">
        <v>182</v>
      </c>
      <c r="G128" t="s">
        <v>183</v>
      </c>
      <c r="H128" t="s">
        <v>17</v>
      </c>
      <c r="I128" t="s">
        <v>18</v>
      </c>
      <c r="J128" t="s">
        <v>19</v>
      </c>
      <c r="K128">
        <v>138</v>
      </c>
      <c r="L128">
        <v>0</v>
      </c>
      <c r="M128" t="s">
        <v>20</v>
      </c>
      <c r="N128">
        <f>L128/500</f>
        <v>0</v>
      </c>
      <c r="P128">
        <f>K128/800</f>
        <v>0.17249999999999999</v>
      </c>
    </row>
    <row r="129" spans="1:16" x14ac:dyDescent="0.35">
      <c r="A129">
        <v>1369</v>
      </c>
      <c r="B129">
        <v>583006887</v>
      </c>
      <c r="C129">
        <v>38264</v>
      </c>
      <c r="D129" t="s">
        <v>181</v>
      </c>
      <c r="E129" t="s">
        <v>444</v>
      </c>
      <c r="F129" t="s">
        <v>182</v>
      </c>
      <c r="G129" t="s">
        <v>183</v>
      </c>
      <c r="H129" t="s">
        <v>17</v>
      </c>
      <c r="I129" t="s">
        <v>18</v>
      </c>
      <c r="J129" t="s">
        <v>19</v>
      </c>
      <c r="K129">
        <v>450</v>
      </c>
      <c r="L129">
        <v>0</v>
      </c>
      <c r="M129" t="s">
        <v>20</v>
      </c>
      <c r="N129">
        <f>L129/500</f>
        <v>0</v>
      </c>
      <c r="P129">
        <f>K129/800</f>
        <v>0.5625</v>
      </c>
    </row>
    <row r="130" spans="1:16" x14ac:dyDescent="0.35">
      <c r="A130">
        <v>361</v>
      </c>
      <c r="B130">
        <v>583005484</v>
      </c>
      <c r="C130">
        <v>36346</v>
      </c>
      <c r="D130" t="s">
        <v>190</v>
      </c>
      <c r="E130" t="s">
        <v>266</v>
      </c>
      <c r="F130" t="s">
        <v>191</v>
      </c>
      <c r="G130" t="s">
        <v>192</v>
      </c>
      <c r="H130" t="s">
        <v>17</v>
      </c>
      <c r="I130" t="s">
        <v>18</v>
      </c>
      <c r="J130" t="s">
        <v>19</v>
      </c>
      <c r="K130">
        <v>240</v>
      </c>
      <c r="L130">
        <v>0</v>
      </c>
      <c r="M130" t="s">
        <v>20</v>
      </c>
      <c r="N130">
        <f>L130/500</f>
        <v>0</v>
      </c>
      <c r="P130">
        <f>K130/800</f>
        <v>0.3</v>
      </c>
    </row>
    <row r="131" spans="1:16" x14ac:dyDescent="0.35">
      <c r="A131">
        <v>363</v>
      </c>
      <c r="B131">
        <v>583005482</v>
      </c>
      <c r="C131">
        <v>36344</v>
      </c>
      <c r="D131" t="s">
        <v>190</v>
      </c>
      <c r="E131" t="s">
        <v>266</v>
      </c>
      <c r="F131" t="s">
        <v>191</v>
      </c>
      <c r="G131" t="s">
        <v>192</v>
      </c>
      <c r="H131" t="s">
        <v>17</v>
      </c>
      <c r="I131" t="s">
        <v>18</v>
      </c>
      <c r="J131" t="s">
        <v>19</v>
      </c>
      <c r="K131">
        <v>240</v>
      </c>
      <c r="L131">
        <v>0</v>
      </c>
      <c r="M131" t="s">
        <v>20</v>
      </c>
      <c r="N131">
        <f>L131/500</f>
        <v>0</v>
      </c>
      <c r="P131">
        <f>K131/800</f>
        <v>0.3</v>
      </c>
    </row>
    <row r="132" spans="1:16" x14ac:dyDescent="0.35">
      <c r="A132">
        <v>366</v>
      </c>
      <c r="B132">
        <v>583005483</v>
      </c>
      <c r="C132">
        <v>36345</v>
      </c>
      <c r="D132" t="s">
        <v>190</v>
      </c>
      <c r="E132" t="s">
        <v>266</v>
      </c>
      <c r="F132" t="s">
        <v>191</v>
      </c>
      <c r="G132" t="s">
        <v>192</v>
      </c>
      <c r="H132" t="s">
        <v>17</v>
      </c>
      <c r="I132" t="s">
        <v>18</v>
      </c>
      <c r="J132" t="s">
        <v>19</v>
      </c>
      <c r="K132">
        <v>240</v>
      </c>
      <c r="L132">
        <v>0</v>
      </c>
      <c r="M132" t="s">
        <v>20</v>
      </c>
      <c r="N132">
        <f>L132/500</f>
        <v>0</v>
      </c>
      <c r="P132">
        <f>K132/800</f>
        <v>0.3</v>
      </c>
    </row>
    <row r="133" spans="1:16" x14ac:dyDescent="0.35">
      <c r="A133">
        <v>971</v>
      </c>
      <c r="B133">
        <v>583006312</v>
      </c>
      <c r="C133">
        <v>37485</v>
      </c>
      <c r="D133" t="s">
        <v>190</v>
      </c>
      <c r="E133" t="s">
        <v>386</v>
      </c>
      <c r="F133" t="s">
        <v>191</v>
      </c>
      <c r="G133" t="s">
        <v>192</v>
      </c>
      <c r="H133" t="s">
        <v>17</v>
      </c>
      <c r="I133" t="s">
        <v>18</v>
      </c>
      <c r="J133" t="s">
        <v>19</v>
      </c>
      <c r="K133">
        <v>279</v>
      </c>
      <c r="L133">
        <v>0</v>
      </c>
      <c r="M133" t="s">
        <v>20</v>
      </c>
      <c r="N133">
        <f>L133/500</f>
        <v>0</v>
      </c>
      <c r="P133">
        <f>K133/800</f>
        <v>0.34875</v>
      </c>
    </row>
    <row r="134" spans="1:16" x14ac:dyDescent="0.35">
      <c r="A134">
        <v>989</v>
      </c>
      <c r="B134">
        <v>583006311</v>
      </c>
      <c r="C134">
        <v>37484</v>
      </c>
      <c r="D134" t="s">
        <v>190</v>
      </c>
      <c r="E134" t="s">
        <v>386</v>
      </c>
      <c r="F134" t="s">
        <v>191</v>
      </c>
      <c r="G134" t="s">
        <v>192</v>
      </c>
      <c r="H134" t="s">
        <v>17</v>
      </c>
      <c r="I134" t="s">
        <v>18</v>
      </c>
      <c r="J134" t="s">
        <v>19</v>
      </c>
      <c r="K134">
        <v>276</v>
      </c>
      <c r="L134">
        <v>0</v>
      </c>
      <c r="M134" t="s">
        <v>20</v>
      </c>
      <c r="N134">
        <f>L134/500</f>
        <v>0</v>
      </c>
      <c r="P134">
        <f>K134/800</f>
        <v>0.34499999999999997</v>
      </c>
    </row>
    <row r="135" spans="1:16" x14ac:dyDescent="0.35">
      <c r="A135">
        <v>993</v>
      </c>
      <c r="B135">
        <v>583006310</v>
      </c>
      <c r="C135">
        <v>37483</v>
      </c>
      <c r="D135" t="s">
        <v>190</v>
      </c>
      <c r="E135" t="s">
        <v>386</v>
      </c>
      <c r="F135" t="s">
        <v>191</v>
      </c>
      <c r="G135" t="s">
        <v>192</v>
      </c>
      <c r="H135" t="s">
        <v>17</v>
      </c>
      <c r="I135" t="s">
        <v>18</v>
      </c>
      <c r="J135" t="s">
        <v>19</v>
      </c>
      <c r="K135">
        <v>282</v>
      </c>
      <c r="L135">
        <v>0</v>
      </c>
      <c r="M135" t="s">
        <v>20</v>
      </c>
      <c r="N135">
        <f>L135/500</f>
        <v>0</v>
      </c>
      <c r="P135">
        <f>K135/800</f>
        <v>0.35249999999999998</v>
      </c>
    </row>
    <row r="136" spans="1:16" x14ac:dyDescent="0.35">
      <c r="A136">
        <v>1131</v>
      </c>
      <c r="B136">
        <v>583006527</v>
      </c>
      <c r="C136">
        <v>37774</v>
      </c>
      <c r="D136" t="s">
        <v>190</v>
      </c>
      <c r="E136" t="s">
        <v>404</v>
      </c>
      <c r="F136" t="s">
        <v>191</v>
      </c>
      <c r="G136" t="s">
        <v>192</v>
      </c>
      <c r="H136" t="s">
        <v>17</v>
      </c>
      <c r="I136" t="s">
        <v>18</v>
      </c>
      <c r="J136" t="s">
        <v>19</v>
      </c>
      <c r="K136">
        <v>1440</v>
      </c>
      <c r="L136">
        <v>0</v>
      </c>
      <c r="M136" t="s">
        <v>20</v>
      </c>
      <c r="N136">
        <f>L136/500</f>
        <v>0</v>
      </c>
      <c r="P136">
        <f>K136/800</f>
        <v>1.8</v>
      </c>
    </row>
    <row r="137" spans="1:16" x14ac:dyDescent="0.35">
      <c r="A137">
        <v>1132</v>
      </c>
      <c r="B137">
        <v>583006527</v>
      </c>
      <c r="C137">
        <v>37774</v>
      </c>
      <c r="D137" t="s">
        <v>190</v>
      </c>
      <c r="E137" t="s">
        <v>404</v>
      </c>
      <c r="F137" t="s">
        <v>191</v>
      </c>
      <c r="G137" t="s">
        <v>192</v>
      </c>
      <c r="H137" t="s">
        <v>17</v>
      </c>
      <c r="I137" t="s">
        <v>18</v>
      </c>
      <c r="J137" t="s">
        <v>19</v>
      </c>
      <c r="K137">
        <v>546</v>
      </c>
      <c r="L137">
        <v>0</v>
      </c>
      <c r="M137" t="s">
        <v>20</v>
      </c>
      <c r="N137">
        <f>L137/500</f>
        <v>0</v>
      </c>
      <c r="P137">
        <f>K137/800</f>
        <v>0.6825</v>
      </c>
    </row>
    <row r="138" spans="1:16" x14ac:dyDescent="0.35">
      <c r="A138">
        <v>1255</v>
      </c>
      <c r="B138">
        <v>583006667</v>
      </c>
      <c r="C138">
        <v>37962</v>
      </c>
      <c r="D138" t="s">
        <v>190</v>
      </c>
      <c r="E138" t="s">
        <v>424</v>
      </c>
      <c r="F138" t="s">
        <v>191</v>
      </c>
      <c r="G138" t="s">
        <v>192</v>
      </c>
      <c r="H138" t="s">
        <v>17</v>
      </c>
      <c r="I138" t="s">
        <v>18</v>
      </c>
      <c r="J138" t="s">
        <v>19</v>
      </c>
      <c r="K138">
        <v>204</v>
      </c>
      <c r="L138">
        <v>0</v>
      </c>
      <c r="M138" t="s">
        <v>20</v>
      </c>
      <c r="N138">
        <f>L138/500</f>
        <v>0</v>
      </c>
      <c r="P138">
        <f>K138/800</f>
        <v>0.255</v>
      </c>
    </row>
    <row r="139" spans="1:16" x14ac:dyDescent="0.35">
      <c r="A139">
        <v>1256</v>
      </c>
      <c r="B139">
        <v>583006665</v>
      </c>
      <c r="C139">
        <v>37960</v>
      </c>
      <c r="D139" t="s">
        <v>190</v>
      </c>
      <c r="E139" t="s">
        <v>424</v>
      </c>
      <c r="F139" t="s">
        <v>191</v>
      </c>
      <c r="G139" t="s">
        <v>192</v>
      </c>
      <c r="H139" t="s">
        <v>17</v>
      </c>
      <c r="I139" t="s">
        <v>18</v>
      </c>
      <c r="J139" t="s">
        <v>19</v>
      </c>
      <c r="K139">
        <v>276</v>
      </c>
      <c r="L139">
        <v>0</v>
      </c>
      <c r="M139" t="s">
        <v>20</v>
      </c>
      <c r="N139">
        <f>L139/500</f>
        <v>0</v>
      </c>
      <c r="P139">
        <f>K139/800</f>
        <v>0.34499999999999997</v>
      </c>
    </row>
    <row r="140" spans="1:16" x14ac:dyDescent="0.35">
      <c r="A140">
        <v>1257</v>
      </c>
      <c r="B140">
        <v>583006664</v>
      </c>
      <c r="C140">
        <v>37959</v>
      </c>
      <c r="D140" t="s">
        <v>190</v>
      </c>
      <c r="E140" t="s">
        <v>424</v>
      </c>
      <c r="F140" t="s">
        <v>191</v>
      </c>
      <c r="G140" t="s">
        <v>192</v>
      </c>
      <c r="H140" t="s">
        <v>17</v>
      </c>
      <c r="I140" t="s">
        <v>18</v>
      </c>
      <c r="J140" t="s">
        <v>19</v>
      </c>
      <c r="K140">
        <v>282</v>
      </c>
      <c r="L140">
        <v>0</v>
      </c>
      <c r="M140" t="s">
        <v>20</v>
      </c>
      <c r="N140">
        <f>L140/500</f>
        <v>0</v>
      </c>
      <c r="P140">
        <f>K140/800</f>
        <v>0.35249999999999998</v>
      </c>
    </row>
    <row r="141" spans="1:16" x14ac:dyDescent="0.35">
      <c r="A141">
        <v>913</v>
      </c>
      <c r="B141">
        <v>583006215</v>
      </c>
      <c r="C141">
        <v>37354</v>
      </c>
      <c r="D141" t="s">
        <v>380</v>
      </c>
      <c r="E141" t="s">
        <v>367</v>
      </c>
      <c r="F141" t="s">
        <v>381</v>
      </c>
      <c r="G141" t="s">
        <v>382</v>
      </c>
      <c r="H141" t="s">
        <v>17</v>
      </c>
      <c r="I141" t="s">
        <v>18</v>
      </c>
      <c r="J141" t="s">
        <v>19</v>
      </c>
      <c r="K141">
        <v>90</v>
      </c>
      <c r="L141">
        <v>0</v>
      </c>
      <c r="M141" t="s">
        <v>20</v>
      </c>
      <c r="N141">
        <f>L141/500</f>
        <v>0</v>
      </c>
      <c r="P141">
        <f>K141/800</f>
        <v>0.1125</v>
      </c>
    </row>
    <row r="142" spans="1:16" x14ac:dyDescent="0.35">
      <c r="A142">
        <v>1030</v>
      </c>
      <c r="B142">
        <v>583006408</v>
      </c>
      <c r="C142">
        <v>37616</v>
      </c>
      <c r="D142" t="s">
        <v>380</v>
      </c>
      <c r="E142" t="s">
        <v>393</v>
      </c>
      <c r="F142" t="s">
        <v>381</v>
      </c>
      <c r="G142" t="s">
        <v>382</v>
      </c>
      <c r="H142" t="s">
        <v>17</v>
      </c>
      <c r="I142" t="s">
        <v>18</v>
      </c>
      <c r="J142" t="s">
        <v>19</v>
      </c>
      <c r="K142">
        <v>84</v>
      </c>
      <c r="L142">
        <v>0</v>
      </c>
      <c r="M142" t="s">
        <v>20</v>
      </c>
      <c r="N142">
        <f>L142/500</f>
        <v>0</v>
      </c>
      <c r="P142">
        <f>K142/800</f>
        <v>0.105</v>
      </c>
    </row>
    <row r="143" spans="1:16" x14ac:dyDescent="0.35">
      <c r="A143">
        <v>1050</v>
      </c>
      <c r="B143">
        <v>583006410</v>
      </c>
      <c r="C143">
        <v>37618</v>
      </c>
      <c r="D143" t="s">
        <v>380</v>
      </c>
      <c r="E143" t="s">
        <v>393</v>
      </c>
      <c r="F143" t="s">
        <v>381</v>
      </c>
      <c r="G143" t="s">
        <v>382</v>
      </c>
      <c r="H143" t="s">
        <v>17</v>
      </c>
      <c r="I143" t="s">
        <v>18</v>
      </c>
      <c r="J143" t="s">
        <v>19</v>
      </c>
      <c r="K143">
        <v>60</v>
      </c>
      <c r="L143">
        <v>0</v>
      </c>
      <c r="M143" t="s">
        <v>20</v>
      </c>
      <c r="N143">
        <f>L143/500</f>
        <v>0</v>
      </c>
      <c r="P143">
        <f>K143/800</f>
        <v>7.4999999999999997E-2</v>
      </c>
    </row>
    <row r="144" spans="1:16" x14ac:dyDescent="0.35">
      <c r="A144">
        <v>1057</v>
      </c>
      <c r="B144">
        <v>583006409</v>
      </c>
      <c r="C144">
        <v>37617</v>
      </c>
      <c r="D144" t="s">
        <v>380</v>
      </c>
      <c r="E144" t="s">
        <v>393</v>
      </c>
      <c r="F144" t="s">
        <v>381</v>
      </c>
      <c r="G144" t="s">
        <v>382</v>
      </c>
      <c r="H144" t="s">
        <v>17</v>
      </c>
      <c r="I144" t="s">
        <v>18</v>
      </c>
      <c r="J144" t="s">
        <v>19</v>
      </c>
      <c r="K144">
        <v>54</v>
      </c>
      <c r="L144">
        <v>0</v>
      </c>
      <c r="M144" t="s">
        <v>20</v>
      </c>
      <c r="N144">
        <f>L144/500</f>
        <v>0</v>
      </c>
      <c r="P144">
        <f>K144/800</f>
        <v>6.7500000000000004E-2</v>
      </c>
    </row>
    <row r="145" spans="1:16" x14ac:dyDescent="0.35">
      <c r="A145">
        <v>452</v>
      </c>
      <c r="B145">
        <v>583005653</v>
      </c>
      <c r="C145">
        <v>36588</v>
      </c>
      <c r="D145" t="s">
        <v>293</v>
      </c>
      <c r="E145" t="s">
        <v>292</v>
      </c>
      <c r="F145" t="s">
        <v>294</v>
      </c>
      <c r="G145" t="s">
        <v>295</v>
      </c>
      <c r="H145" t="s">
        <v>17</v>
      </c>
      <c r="I145" t="s">
        <v>18</v>
      </c>
      <c r="J145" t="s">
        <v>19</v>
      </c>
      <c r="K145">
        <v>45</v>
      </c>
      <c r="L145">
        <v>0</v>
      </c>
      <c r="M145" t="s">
        <v>20</v>
      </c>
      <c r="N145">
        <f>L145/500</f>
        <v>0</v>
      </c>
      <c r="P145">
        <f>K145/800</f>
        <v>5.6250000000000001E-2</v>
      </c>
    </row>
    <row r="146" spans="1:16" x14ac:dyDescent="0.35">
      <c r="A146">
        <v>453</v>
      </c>
      <c r="B146">
        <v>583005653</v>
      </c>
      <c r="C146">
        <v>36588</v>
      </c>
      <c r="D146" t="s">
        <v>293</v>
      </c>
      <c r="E146" t="s">
        <v>292</v>
      </c>
      <c r="F146" t="s">
        <v>294</v>
      </c>
      <c r="G146" t="s">
        <v>295</v>
      </c>
      <c r="H146" t="s">
        <v>17</v>
      </c>
      <c r="I146" t="s">
        <v>18</v>
      </c>
      <c r="J146" t="s">
        <v>19</v>
      </c>
      <c r="K146">
        <v>45</v>
      </c>
      <c r="L146">
        <v>0</v>
      </c>
      <c r="M146" t="s">
        <v>20</v>
      </c>
      <c r="N146">
        <f>L146/500</f>
        <v>0</v>
      </c>
      <c r="P146">
        <f>K146/800</f>
        <v>5.6250000000000001E-2</v>
      </c>
    </row>
    <row r="147" spans="1:16" x14ac:dyDescent="0.35">
      <c r="A147">
        <v>691</v>
      </c>
      <c r="B147">
        <v>583006013</v>
      </c>
      <c r="C147">
        <v>37093</v>
      </c>
      <c r="D147" t="s">
        <v>293</v>
      </c>
      <c r="E147" t="s">
        <v>343</v>
      </c>
      <c r="F147" t="s">
        <v>294</v>
      </c>
      <c r="G147" t="s">
        <v>295</v>
      </c>
      <c r="H147" t="s">
        <v>17</v>
      </c>
      <c r="I147" t="s">
        <v>18</v>
      </c>
      <c r="J147" t="s">
        <v>19</v>
      </c>
      <c r="K147">
        <v>12</v>
      </c>
      <c r="L147">
        <v>0</v>
      </c>
      <c r="M147" t="s">
        <v>20</v>
      </c>
      <c r="N147">
        <f>L147/500</f>
        <v>0</v>
      </c>
      <c r="P147">
        <f>K147/800</f>
        <v>1.4999999999999999E-2</v>
      </c>
    </row>
    <row r="148" spans="1:16" x14ac:dyDescent="0.35">
      <c r="A148">
        <v>947</v>
      </c>
      <c r="B148">
        <v>583006386</v>
      </c>
      <c r="C148">
        <v>37581</v>
      </c>
      <c r="D148" t="s">
        <v>387</v>
      </c>
      <c r="E148" t="s">
        <v>386</v>
      </c>
      <c r="F148" t="s">
        <v>388</v>
      </c>
      <c r="G148" t="s">
        <v>389</v>
      </c>
      <c r="H148" t="s">
        <v>17</v>
      </c>
      <c r="I148" t="s">
        <v>18</v>
      </c>
      <c r="J148" t="s">
        <v>19</v>
      </c>
      <c r="K148">
        <v>270</v>
      </c>
      <c r="L148">
        <v>0</v>
      </c>
      <c r="M148" t="s">
        <v>20</v>
      </c>
      <c r="N148">
        <f>L148/500</f>
        <v>0</v>
      </c>
      <c r="P148">
        <f>K148/800</f>
        <v>0.33750000000000002</v>
      </c>
    </row>
    <row r="149" spans="1:16" x14ac:dyDescent="0.35">
      <c r="A149">
        <v>948</v>
      </c>
      <c r="B149">
        <v>583006386</v>
      </c>
      <c r="C149">
        <v>37581</v>
      </c>
      <c r="D149" t="s">
        <v>387</v>
      </c>
      <c r="E149" t="s">
        <v>386</v>
      </c>
      <c r="F149" t="s">
        <v>388</v>
      </c>
      <c r="G149" t="s">
        <v>389</v>
      </c>
      <c r="H149" t="s">
        <v>17</v>
      </c>
      <c r="I149" t="s">
        <v>18</v>
      </c>
      <c r="J149" t="s">
        <v>19</v>
      </c>
      <c r="K149">
        <v>126</v>
      </c>
      <c r="L149">
        <v>0</v>
      </c>
      <c r="M149" t="s">
        <v>20</v>
      </c>
      <c r="N149">
        <f>L149/500</f>
        <v>0</v>
      </c>
      <c r="P149">
        <f>K149/800</f>
        <v>0.1575</v>
      </c>
    </row>
    <row r="150" spans="1:16" x14ac:dyDescent="0.35">
      <c r="A150">
        <v>949</v>
      </c>
      <c r="B150">
        <v>583006386</v>
      </c>
      <c r="C150">
        <v>37581</v>
      </c>
      <c r="D150" t="s">
        <v>387</v>
      </c>
      <c r="E150" t="s">
        <v>386</v>
      </c>
      <c r="F150" t="s">
        <v>388</v>
      </c>
      <c r="G150" t="s">
        <v>389</v>
      </c>
      <c r="H150" t="s">
        <v>17</v>
      </c>
      <c r="I150" t="s">
        <v>18</v>
      </c>
      <c r="J150" t="s">
        <v>19</v>
      </c>
      <c r="K150">
        <v>1260</v>
      </c>
      <c r="L150">
        <v>0</v>
      </c>
      <c r="M150" t="s">
        <v>20</v>
      </c>
      <c r="N150">
        <f>L150/500</f>
        <v>0</v>
      </c>
      <c r="P150">
        <f>K150/800</f>
        <v>1.575</v>
      </c>
    </row>
    <row r="151" spans="1:16" x14ac:dyDescent="0.35">
      <c r="A151">
        <v>1411</v>
      </c>
      <c r="B151">
        <v>583006851</v>
      </c>
      <c r="C151">
        <v>38218</v>
      </c>
      <c r="D151" t="s">
        <v>387</v>
      </c>
      <c r="E151" t="s">
        <v>444</v>
      </c>
      <c r="F151" t="s">
        <v>388</v>
      </c>
      <c r="G151" t="s">
        <v>389</v>
      </c>
      <c r="H151" t="s">
        <v>17</v>
      </c>
      <c r="I151" t="s">
        <v>18</v>
      </c>
      <c r="J151" t="s">
        <v>19</v>
      </c>
      <c r="K151">
        <v>30</v>
      </c>
      <c r="L151">
        <v>0</v>
      </c>
      <c r="M151" t="s">
        <v>20</v>
      </c>
      <c r="N151">
        <f>L151/500</f>
        <v>0</v>
      </c>
      <c r="P151">
        <f>K151/800</f>
        <v>3.7499999999999999E-2</v>
      </c>
    </row>
    <row r="152" spans="1:16" x14ac:dyDescent="0.35">
      <c r="A152">
        <v>159</v>
      </c>
      <c r="B152">
        <v>583005207</v>
      </c>
      <c r="C152">
        <v>35964</v>
      </c>
      <c r="D152" t="s">
        <v>193</v>
      </c>
      <c r="E152" t="s">
        <v>177</v>
      </c>
      <c r="F152" t="s">
        <v>194</v>
      </c>
      <c r="G152" t="s">
        <v>195</v>
      </c>
      <c r="H152" t="s">
        <v>17</v>
      </c>
      <c r="I152" t="s">
        <v>18</v>
      </c>
      <c r="J152" t="s">
        <v>19</v>
      </c>
      <c r="K152">
        <v>9</v>
      </c>
      <c r="L152">
        <v>0</v>
      </c>
      <c r="M152" t="s">
        <v>20</v>
      </c>
      <c r="N152">
        <f>L152/500</f>
        <v>0</v>
      </c>
      <c r="P152">
        <f>K152/800</f>
        <v>1.125E-2</v>
      </c>
    </row>
    <row r="153" spans="1:16" x14ac:dyDescent="0.35">
      <c r="A153">
        <v>234</v>
      </c>
      <c r="B153">
        <v>583005376</v>
      </c>
      <c r="C153">
        <v>36197</v>
      </c>
      <c r="D153" t="s">
        <v>193</v>
      </c>
      <c r="E153" t="s">
        <v>237</v>
      </c>
      <c r="F153" t="s">
        <v>194</v>
      </c>
      <c r="G153" t="s">
        <v>195</v>
      </c>
      <c r="H153" t="s">
        <v>17</v>
      </c>
      <c r="I153" t="s">
        <v>18</v>
      </c>
      <c r="J153" t="s">
        <v>19</v>
      </c>
      <c r="K153">
        <v>1290</v>
      </c>
      <c r="L153">
        <v>0</v>
      </c>
      <c r="M153" t="s">
        <v>20</v>
      </c>
      <c r="N153">
        <f>L153/500</f>
        <v>0</v>
      </c>
      <c r="P153">
        <f>K153/800</f>
        <v>1.6125</v>
      </c>
    </row>
    <row r="154" spans="1:16" x14ac:dyDescent="0.35">
      <c r="A154">
        <v>235</v>
      </c>
      <c r="B154">
        <v>583005376</v>
      </c>
      <c r="C154">
        <v>36197</v>
      </c>
      <c r="D154" t="s">
        <v>193</v>
      </c>
      <c r="E154" t="s">
        <v>237</v>
      </c>
      <c r="F154" t="s">
        <v>194</v>
      </c>
      <c r="G154" t="s">
        <v>195</v>
      </c>
      <c r="H154" t="s">
        <v>17</v>
      </c>
      <c r="I154" t="s">
        <v>18</v>
      </c>
      <c r="J154" t="s">
        <v>19</v>
      </c>
      <c r="K154">
        <v>72</v>
      </c>
      <c r="L154">
        <v>0</v>
      </c>
      <c r="M154" t="s">
        <v>20</v>
      </c>
      <c r="N154">
        <f>L154/500</f>
        <v>0</v>
      </c>
      <c r="P154">
        <f>K154/800</f>
        <v>0.09</v>
      </c>
    </row>
    <row r="155" spans="1:16" x14ac:dyDescent="0.35">
      <c r="A155">
        <v>236</v>
      </c>
      <c r="B155">
        <v>583005376</v>
      </c>
      <c r="C155">
        <v>36197</v>
      </c>
      <c r="D155" t="s">
        <v>193</v>
      </c>
      <c r="E155" t="s">
        <v>237</v>
      </c>
      <c r="F155" t="s">
        <v>194</v>
      </c>
      <c r="G155" t="s">
        <v>195</v>
      </c>
      <c r="H155" t="s">
        <v>17</v>
      </c>
      <c r="I155" t="s">
        <v>18</v>
      </c>
      <c r="J155" t="s">
        <v>19</v>
      </c>
      <c r="K155">
        <v>72</v>
      </c>
      <c r="L155">
        <v>0</v>
      </c>
      <c r="M155" t="s">
        <v>20</v>
      </c>
      <c r="N155">
        <f>L155/500</f>
        <v>0</v>
      </c>
      <c r="P155">
        <f>K155/800</f>
        <v>0.09</v>
      </c>
    </row>
    <row r="156" spans="1:16" x14ac:dyDescent="0.35">
      <c r="A156">
        <v>1184</v>
      </c>
      <c r="B156">
        <v>583006582</v>
      </c>
      <c r="C156">
        <v>37844</v>
      </c>
      <c r="D156" t="s">
        <v>193</v>
      </c>
      <c r="E156" t="s">
        <v>413</v>
      </c>
      <c r="F156" t="s">
        <v>194</v>
      </c>
      <c r="G156" t="s">
        <v>195</v>
      </c>
      <c r="H156" t="s">
        <v>17</v>
      </c>
      <c r="I156" t="s">
        <v>18</v>
      </c>
      <c r="J156" t="s">
        <v>19</v>
      </c>
      <c r="K156">
        <v>63</v>
      </c>
      <c r="L156">
        <v>0</v>
      </c>
      <c r="M156" t="s">
        <v>20</v>
      </c>
      <c r="N156">
        <f>L156/500</f>
        <v>0</v>
      </c>
      <c r="P156">
        <f>K156/800</f>
        <v>7.8750000000000001E-2</v>
      </c>
    </row>
    <row r="157" spans="1:16" x14ac:dyDescent="0.35">
      <c r="A157">
        <v>83</v>
      </c>
      <c r="B157">
        <v>583005158</v>
      </c>
      <c r="C157">
        <v>35896</v>
      </c>
      <c r="D157" t="s">
        <v>132</v>
      </c>
      <c r="E157" t="s">
        <v>126</v>
      </c>
      <c r="F157" t="s">
        <v>133</v>
      </c>
      <c r="G157" t="s">
        <v>134</v>
      </c>
      <c r="H157" t="s">
        <v>17</v>
      </c>
      <c r="I157" t="s">
        <v>18</v>
      </c>
      <c r="J157" t="s">
        <v>19</v>
      </c>
      <c r="K157">
        <v>81</v>
      </c>
      <c r="L157">
        <v>0</v>
      </c>
      <c r="M157" t="s">
        <v>20</v>
      </c>
      <c r="N157">
        <f>L157/500</f>
        <v>0</v>
      </c>
      <c r="P157">
        <f>K157/800</f>
        <v>0.10125000000000001</v>
      </c>
    </row>
    <row r="158" spans="1:16" x14ac:dyDescent="0.35">
      <c r="A158">
        <v>1340</v>
      </c>
      <c r="B158">
        <v>583006824</v>
      </c>
      <c r="C158">
        <v>38174</v>
      </c>
      <c r="D158" t="s">
        <v>132</v>
      </c>
      <c r="E158" t="s">
        <v>434</v>
      </c>
      <c r="F158" t="s">
        <v>133</v>
      </c>
      <c r="G158" t="s">
        <v>134</v>
      </c>
      <c r="H158" t="s">
        <v>17</v>
      </c>
      <c r="I158" t="s">
        <v>18</v>
      </c>
      <c r="J158" t="s">
        <v>19</v>
      </c>
      <c r="K158">
        <v>612</v>
      </c>
      <c r="L158">
        <v>0</v>
      </c>
      <c r="M158" t="s">
        <v>20</v>
      </c>
      <c r="N158">
        <f>L158/500</f>
        <v>0</v>
      </c>
      <c r="P158">
        <f>K158/800</f>
        <v>0.76500000000000001</v>
      </c>
    </row>
    <row r="159" spans="1:16" x14ac:dyDescent="0.35">
      <c r="A159">
        <v>1341</v>
      </c>
      <c r="B159">
        <v>583006824</v>
      </c>
      <c r="C159">
        <v>38174</v>
      </c>
      <c r="D159" t="s">
        <v>132</v>
      </c>
      <c r="E159" t="s">
        <v>434</v>
      </c>
      <c r="F159" t="s">
        <v>133</v>
      </c>
      <c r="G159" t="s">
        <v>134</v>
      </c>
      <c r="H159" t="s">
        <v>17</v>
      </c>
      <c r="I159" t="s">
        <v>18</v>
      </c>
      <c r="J159" t="s">
        <v>19</v>
      </c>
      <c r="K159">
        <v>1209</v>
      </c>
      <c r="L159">
        <v>0</v>
      </c>
      <c r="M159" t="s">
        <v>20</v>
      </c>
      <c r="N159">
        <f>L159/500</f>
        <v>0</v>
      </c>
      <c r="P159">
        <f>K159/800</f>
        <v>1.51125</v>
      </c>
    </row>
    <row r="160" spans="1:16" x14ac:dyDescent="0.35">
      <c r="A160">
        <v>280</v>
      </c>
      <c r="B160">
        <v>583005446</v>
      </c>
      <c r="C160">
        <v>36293</v>
      </c>
      <c r="D160" t="s">
        <v>253</v>
      </c>
      <c r="E160" t="s">
        <v>254</v>
      </c>
      <c r="F160" t="s">
        <v>255</v>
      </c>
      <c r="G160" t="s">
        <v>256</v>
      </c>
      <c r="H160" t="s">
        <v>17</v>
      </c>
      <c r="I160" t="s">
        <v>18</v>
      </c>
      <c r="J160" t="s">
        <v>19</v>
      </c>
      <c r="K160">
        <v>111</v>
      </c>
      <c r="L160">
        <v>0</v>
      </c>
      <c r="M160" t="s">
        <v>20</v>
      </c>
      <c r="N160">
        <f>L160/500</f>
        <v>0</v>
      </c>
      <c r="P160">
        <f>K160/800</f>
        <v>0.13875000000000001</v>
      </c>
    </row>
    <row r="161" spans="1:16" x14ac:dyDescent="0.35">
      <c r="A161">
        <v>312</v>
      </c>
      <c r="B161">
        <v>583005446</v>
      </c>
      <c r="C161">
        <v>36293</v>
      </c>
      <c r="D161" t="s">
        <v>253</v>
      </c>
      <c r="E161" t="s">
        <v>254</v>
      </c>
      <c r="F161" t="s">
        <v>255</v>
      </c>
      <c r="G161" t="s">
        <v>256</v>
      </c>
      <c r="H161" t="s">
        <v>17</v>
      </c>
      <c r="I161" t="s">
        <v>18</v>
      </c>
      <c r="J161" t="s">
        <v>19</v>
      </c>
      <c r="K161">
        <v>9</v>
      </c>
      <c r="L161">
        <v>0</v>
      </c>
      <c r="M161" t="s">
        <v>20</v>
      </c>
      <c r="N161">
        <f>L161/500</f>
        <v>0</v>
      </c>
      <c r="P161">
        <f>K161/800</f>
        <v>1.125E-2</v>
      </c>
    </row>
    <row r="162" spans="1:16" x14ac:dyDescent="0.35">
      <c r="A162">
        <v>313</v>
      </c>
      <c r="B162">
        <v>583005446</v>
      </c>
      <c r="C162">
        <v>36293</v>
      </c>
      <c r="D162" t="s">
        <v>253</v>
      </c>
      <c r="E162" t="s">
        <v>254</v>
      </c>
      <c r="F162" t="s">
        <v>255</v>
      </c>
      <c r="G162" t="s">
        <v>256</v>
      </c>
      <c r="H162" t="s">
        <v>17</v>
      </c>
      <c r="I162" t="s">
        <v>18</v>
      </c>
      <c r="J162" t="s">
        <v>19</v>
      </c>
      <c r="K162">
        <v>324</v>
      </c>
      <c r="L162">
        <v>0</v>
      </c>
      <c r="M162" t="s">
        <v>20</v>
      </c>
      <c r="N162">
        <f>L162/500</f>
        <v>0</v>
      </c>
      <c r="P162">
        <f>K162/800</f>
        <v>0.40500000000000003</v>
      </c>
    </row>
    <row r="163" spans="1:16" x14ac:dyDescent="0.35">
      <c r="A163">
        <v>314</v>
      </c>
      <c r="B163">
        <v>583005446</v>
      </c>
      <c r="C163">
        <v>36293</v>
      </c>
      <c r="D163" t="s">
        <v>253</v>
      </c>
      <c r="E163" t="s">
        <v>254</v>
      </c>
      <c r="F163" t="s">
        <v>255</v>
      </c>
      <c r="G163" t="s">
        <v>256</v>
      </c>
      <c r="H163" t="s">
        <v>17</v>
      </c>
      <c r="I163" t="s">
        <v>18</v>
      </c>
      <c r="J163" t="s">
        <v>19</v>
      </c>
      <c r="K163">
        <v>63</v>
      </c>
      <c r="L163">
        <v>0</v>
      </c>
      <c r="M163" t="s">
        <v>20</v>
      </c>
      <c r="N163">
        <f>L163/500</f>
        <v>0</v>
      </c>
      <c r="P163">
        <f>K163/800</f>
        <v>7.8750000000000001E-2</v>
      </c>
    </row>
    <row r="164" spans="1:16" x14ac:dyDescent="0.35">
      <c r="A164">
        <v>406</v>
      </c>
      <c r="B164">
        <v>583005573</v>
      </c>
      <c r="C164">
        <v>36474</v>
      </c>
      <c r="D164" t="s">
        <v>253</v>
      </c>
      <c r="E164" t="s">
        <v>270</v>
      </c>
      <c r="F164" t="s">
        <v>255</v>
      </c>
      <c r="G164" t="s">
        <v>256</v>
      </c>
      <c r="H164" t="s">
        <v>17</v>
      </c>
      <c r="I164" t="s">
        <v>18</v>
      </c>
      <c r="J164" t="s">
        <v>19</v>
      </c>
      <c r="K164">
        <v>225</v>
      </c>
      <c r="L164">
        <v>0</v>
      </c>
      <c r="M164" t="s">
        <v>20</v>
      </c>
      <c r="N164">
        <f>L164/500</f>
        <v>0</v>
      </c>
      <c r="P164">
        <f>K164/800</f>
        <v>0.28125</v>
      </c>
    </row>
    <row r="165" spans="1:16" x14ac:dyDescent="0.35">
      <c r="A165">
        <v>414</v>
      </c>
      <c r="B165">
        <v>583005575</v>
      </c>
      <c r="C165">
        <v>36476</v>
      </c>
      <c r="D165" t="s">
        <v>253</v>
      </c>
      <c r="E165" t="s">
        <v>270</v>
      </c>
      <c r="F165" t="s">
        <v>255</v>
      </c>
      <c r="G165" t="s">
        <v>256</v>
      </c>
      <c r="H165" t="s">
        <v>17</v>
      </c>
      <c r="I165" t="s">
        <v>18</v>
      </c>
      <c r="J165" t="s">
        <v>19</v>
      </c>
      <c r="K165">
        <v>225</v>
      </c>
      <c r="L165">
        <v>0</v>
      </c>
      <c r="M165" t="s">
        <v>20</v>
      </c>
      <c r="N165">
        <f>L165/500</f>
        <v>0</v>
      </c>
      <c r="P165">
        <f>K165/800</f>
        <v>0.28125</v>
      </c>
    </row>
    <row r="166" spans="1:16" x14ac:dyDescent="0.35">
      <c r="A166">
        <v>790</v>
      </c>
      <c r="B166">
        <v>583006133</v>
      </c>
      <c r="C166">
        <v>37260</v>
      </c>
      <c r="D166" t="s">
        <v>253</v>
      </c>
      <c r="E166" t="s">
        <v>360</v>
      </c>
      <c r="F166" t="s">
        <v>255</v>
      </c>
      <c r="G166" t="s">
        <v>256</v>
      </c>
      <c r="H166" t="s">
        <v>17</v>
      </c>
      <c r="I166" t="s">
        <v>18</v>
      </c>
      <c r="J166" t="s">
        <v>19</v>
      </c>
      <c r="K166">
        <v>171</v>
      </c>
      <c r="L166">
        <v>0</v>
      </c>
      <c r="M166" t="s">
        <v>20</v>
      </c>
      <c r="N166">
        <f>L166/500</f>
        <v>0</v>
      </c>
      <c r="P166">
        <f>K166/800</f>
        <v>0.21375</v>
      </c>
    </row>
    <row r="167" spans="1:16" x14ac:dyDescent="0.35">
      <c r="A167">
        <v>827</v>
      </c>
      <c r="B167">
        <v>583006133</v>
      </c>
      <c r="C167">
        <v>37260</v>
      </c>
      <c r="D167" t="s">
        <v>253</v>
      </c>
      <c r="E167" t="s">
        <v>360</v>
      </c>
      <c r="F167" t="s">
        <v>255</v>
      </c>
      <c r="G167" t="s">
        <v>256</v>
      </c>
      <c r="H167" t="s">
        <v>17</v>
      </c>
      <c r="I167" t="s">
        <v>18</v>
      </c>
      <c r="J167" t="s">
        <v>19</v>
      </c>
      <c r="K167">
        <v>1233</v>
      </c>
      <c r="L167">
        <v>0</v>
      </c>
      <c r="M167" t="s">
        <v>20</v>
      </c>
      <c r="N167">
        <f>L167/500</f>
        <v>0</v>
      </c>
      <c r="P167">
        <f>K167/800</f>
        <v>1.54125</v>
      </c>
    </row>
    <row r="168" spans="1:16" x14ac:dyDescent="0.35">
      <c r="A168">
        <v>830</v>
      </c>
      <c r="B168">
        <v>583006133</v>
      </c>
      <c r="C168">
        <v>37260</v>
      </c>
      <c r="D168" t="s">
        <v>253</v>
      </c>
      <c r="E168" t="s">
        <v>360</v>
      </c>
      <c r="F168" t="s">
        <v>255</v>
      </c>
      <c r="G168" t="s">
        <v>256</v>
      </c>
      <c r="H168" t="s">
        <v>17</v>
      </c>
      <c r="I168" t="s">
        <v>18</v>
      </c>
      <c r="J168" t="s">
        <v>19</v>
      </c>
      <c r="K168">
        <v>207</v>
      </c>
      <c r="L168">
        <v>0</v>
      </c>
      <c r="M168" t="s">
        <v>20</v>
      </c>
      <c r="N168">
        <f>L168/500</f>
        <v>0</v>
      </c>
      <c r="P168">
        <f>K168/800</f>
        <v>0.25874999999999998</v>
      </c>
    </row>
    <row r="169" spans="1:16" x14ac:dyDescent="0.35">
      <c r="A169">
        <v>980</v>
      </c>
      <c r="B169">
        <v>583006356</v>
      </c>
      <c r="C169">
        <v>37547</v>
      </c>
      <c r="D169" t="s">
        <v>253</v>
      </c>
      <c r="E169" t="s">
        <v>386</v>
      </c>
      <c r="F169" t="s">
        <v>255</v>
      </c>
      <c r="G169" t="s">
        <v>256</v>
      </c>
      <c r="H169" t="s">
        <v>17</v>
      </c>
      <c r="I169" t="s">
        <v>18</v>
      </c>
      <c r="J169" t="s">
        <v>19</v>
      </c>
      <c r="K169">
        <v>261</v>
      </c>
      <c r="L169">
        <v>0</v>
      </c>
      <c r="M169" t="s">
        <v>20</v>
      </c>
      <c r="N169">
        <f>L169/500</f>
        <v>0</v>
      </c>
      <c r="P169">
        <f>K169/800</f>
        <v>0.32624999999999998</v>
      </c>
    </row>
    <row r="170" spans="1:16" x14ac:dyDescent="0.35">
      <c r="A170">
        <v>986</v>
      </c>
      <c r="B170">
        <v>583006356</v>
      </c>
      <c r="C170">
        <v>37547</v>
      </c>
      <c r="D170" t="s">
        <v>253</v>
      </c>
      <c r="E170" t="s">
        <v>386</v>
      </c>
      <c r="F170" t="s">
        <v>255</v>
      </c>
      <c r="G170" t="s">
        <v>256</v>
      </c>
      <c r="H170" t="s">
        <v>17</v>
      </c>
      <c r="I170" t="s">
        <v>18</v>
      </c>
      <c r="J170" t="s">
        <v>19</v>
      </c>
      <c r="K170">
        <v>234</v>
      </c>
      <c r="L170">
        <v>0</v>
      </c>
      <c r="M170" t="s">
        <v>20</v>
      </c>
      <c r="N170">
        <f>L170/500</f>
        <v>0</v>
      </c>
      <c r="P170">
        <f>K170/800</f>
        <v>0.29249999999999998</v>
      </c>
    </row>
    <row r="171" spans="1:16" x14ac:dyDescent="0.35">
      <c r="A171">
        <v>555</v>
      </c>
      <c r="B171">
        <v>583005842</v>
      </c>
      <c r="C171">
        <v>36851</v>
      </c>
      <c r="D171" t="s">
        <v>317</v>
      </c>
      <c r="E171" t="s">
        <v>318</v>
      </c>
      <c r="F171" t="s">
        <v>319</v>
      </c>
      <c r="G171" t="s">
        <v>320</v>
      </c>
      <c r="H171" t="s">
        <v>17</v>
      </c>
      <c r="I171" t="s">
        <v>18</v>
      </c>
      <c r="J171" t="s">
        <v>19</v>
      </c>
      <c r="K171">
        <v>90</v>
      </c>
      <c r="L171">
        <v>0</v>
      </c>
      <c r="M171" t="s">
        <v>20</v>
      </c>
      <c r="N171">
        <f>L171/500</f>
        <v>0</v>
      </c>
      <c r="P171">
        <f>K171/800</f>
        <v>0.1125</v>
      </c>
    </row>
    <row r="172" spans="1:16" x14ac:dyDescent="0.35">
      <c r="A172">
        <v>520</v>
      </c>
      <c r="B172">
        <v>583005822</v>
      </c>
      <c r="C172">
        <v>36817</v>
      </c>
      <c r="D172" t="s">
        <v>311</v>
      </c>
      <c r="E172" t="s">
        <v>310</v>
      </c>
      <c r="F172" t="s">
        <v>312</v>
      </c>
      <c r="G172" t="s">
        <v>313</v>
      </c>
      <c r="H172" t="s">
        <v>17</v>
      </c>
      <c r="I172" t="s">
        <v>18</v>
      </c>
      <c r="J172" t="s">
        <v>19</v>
      </c>
      <c r="K172">
        <v>3186</v>
      </c>
      <c r="L172">
        <v>0</v>
      </c>
      <c r="M172" t="s">
        <v>20</v>
      </c>
      <c r="N172">
        <f>L172/500</f>
        <v>0</v>
      </c>
      <c r="P172">
        <f>K172/800</f>
        <v>3.9824999999999999</v>
      </c>
    </row>
    <row r="173" spans="1:16" x14ac:dyDescent="0.35">
      <c r="A173">
        <v>521</v>
      </c>
      <c r="B173">
        <v>583005822</v>
      </c>
      <c r="C173">
        <v>36817</v>
      </c>
      <c r="D173" t="s">
        <v>311</v>
      </c>
      <c r="E173" t="s">
        <v>310</v>
      </c>
      <c r="F173" t="s">
        <v>312</v>
      </c>
      <c r="G173" t="s">
        <v>313</v>
      </c>
      <c r="H173" t="s">
        <v>17</v>
      </c>
      <c r="I173" t="s">
        <v>18</v>
      </c>
      <c r="J173" t="s">
        <v>19</v>
      </c>
      <c r="K173">
        <v>684</v>
      </c>
      <c r="L173">
        <v>0</v>
      </c>
      <c r="M173" t="s">
        <v>20</v>
      </c>
      <c r="N173">
        <f>L173/500</f>
        <v>0</v>
      </c>
      <c r="P173">
        <f>K173/800</f>
        <v>0.85499999999999998</v>
      </c>
    </row>
    <row r="174" spans="1:16" x14ac:dyDescent="0.35">
      <c r="A174">
        <v>526</v>
      </c>
      <c r="B174">
        <v>583005822</v>
      </c>
      <c r="C174">
        <v>36817</v>
      </c>
      <c r="D174" t="s">
        <v>311</v>
      </c>
      <c r="E174" t="s">
        <v>310</v>
      </c>
      <c r="F174" t="s">
        <v>312</v>
      </c>
      <c r="G174" t="s">
        <v>313</v>
      </c>
      <c r="H174" t="s">
        <v>17</v>
      </c>
      <c r="I174" t="s">
        <v>18</v>
      </c>
      <c r="J174" t="s">
        <v>19</v>
      </c>
      <c r="K174">
        <v>147</v>
      </c>
      <c r="L174">
        <v>0</v>
      </c>
      <c r="M174" t="s">
        <v>20</v>
      </c>
      <c r="N174">
        <f>L174/500</f>
        <v>0</v>
      </c>
      <c r="P174">
        <f>K174/800</f>
        <v>0.18375</v>
      </c>
    </row>
    <row r="175" spans="1:16" x14ac:dyDescent="0.35">
      <c r="A175">
        <v>692</v>
      </c>
      <c r="B175">
        <v>583005997</v>
      </c>
      <c r="C175">
        <v>37077</v>
      </c>
      <c r="D175" t="s">
        <v>311</v>
      </c>
      <c r="E175" t="s">
        <v>343</v>
      </c>
      <c r="F175" t="s">
        <v>312</v>
      </c>
      <c r="G175" t="s">
        <v>313</v>
      </c>
      <c r="H175" t="s">
        <v>17</v>
      </c>
      <c r="I175" t="s">
        <v>18</v>
      </c>
      <c r="J175" t="s">
        <v>19</v>
      </c>
      <c r="K175">
        <v>288</v>
      </c>
      <c r="L175">
        <v>0</v>
      </c>
      <c r="M175" t="s">
        <v>20</v>
      </c>
      <c r="N175">
        <f>L175/500</f>
        <v>0</v>
      </c>
      <c r="P175">
        <f>K175/800</f>
        <v>0.36</v>
      </c>
    </row>
    <row r="176" spans="1:16" x14ac:dyDescent="0.35">
      <c r="A176">
        <v>919</v>
      </c>
      <c r="B176">
        <v>583006212</v>
      </c>
      <c r="C176">
        <v>37351</v>
      </c>
      <c r="D176" t="s">
        <v>311</v>
      </c>
      <c r="E176" t="s">
        <v>367</v>
      </c>
      <c r="F176" t="s">
        <v>312</v>
      </c>
      <c r="G176" t="s">
        <v>313</v>
      </c>
      <c r="H176" t="s">
        <v>17</v>
      </c>
      <c r="I176" t="s">
        <v>18</v>
      </c>
      <c r="J176" t="s">
        <v>19</v>
      </c>
      <c r="K176">
        <v>162</v>
      </c>
      <c r="L176">
        <v>0</v>
      </c>
      <c r="M176" t="s">
        <v>20</v>
      </c>
      <c r="N176">
        <f>L176/500</f>
        <v>0</v>
      </c>
      <c r="P176">
        <f>K176/800</f>
        <v>0.20250000000000001</v>
      </c>
    </row>
    <row r="177" spans="1:16" x14ac:dyDescent="0.35">
      <c r="A177">
        <v>921</v>
      </c>
      <c r="B177">
        <v>583006213</v>
      </c>
      <c r="C177">
        <v>37352</v>
      </c>
      <c r="D177" t="s">
        <v>311</v>
      </c>
      <c r="E177" t="s">
        <v>367</v>
      </c>
      <c r="F177" t="s">
        <v>312</v>
      </c>
      <c r="G177" t="s">
        <v>313</v>
      </c>
      <c r="H177" t="s">
        <v>17</v>
      </c>
      <c r="I177" t="s">
        <v>18</v>
      </c>
      <c r="J177" t="s">
        <v>19</v>
      </c>
      <c r="K177">
        <v>225</v>
      </c>
      <c r="L177">
        <v>0</v>
      </c>
      <c r="M177" t="s">
        <v>20</v>
      </c>
      <c r="N177">
        <f>L177/500</f>
        <v>0</v>
      </c>
      <c r="P177">
        <f>K177/800</f>
        <v>0.28125</v>
      </c>
    </row>
    <row r="178" spans="1:16" x14ac:dyDescent="0.35">
      <c r="A178">
        <v>1119</v>
      </c>
      <c r="B178">
        <v>583006488</v>
      </c>
      <c r="C178">
        <v>37719</v>
      </c>
      <c r="D178" t="s">
        <v>407</v>
      </c>
      <c r="E178" t="s">
        <v>404</v>
      </c>
      <c r="F178" t="s">
        <v>408</v>
      </c>
      <c r="G178" t="s">
        <v>409</v>
      </c>
      <c r="H178" t="s">
        <v>17</v>
      </c>
      <c r="I178" t="s">
        <v>18</v>
      </c>
      <c r="J178" t="s">
        <v>19</v>
      </c>
      <c r="K178">
        <v>900</v>
      </c>
      <c r="L178">
        <v>0</v>
      </c>
      <c r="M178" t="s">
        <v>20</v>
      </c>
      <c r="N178">
        <f>L178/500</f>
        <v>0</v>
      </c>
      <c r="P178">
        <f>K178/800</f>
        <v>1.125</v>
      </c>
    </row>
    <row r="179" spans="1:16" x14ac:dyDescent="0.35">
      <c r="A179">
        <v>1120</v>
      </c>
      <c r="B179">
        <v>583006488</v>
      </c>
      <c r="C179">
        <v>37719</v>
      </c>
      <c r="D179" t="s">
        <v>407</v>
      </c>
      <c r="E179" t="s">
        <v>404</v>
      </c>
      <c r="F179" t="s">
        <v>408</v>
      </c>
      <c r="G179" t="s">
        <v>409</v>
      </c>
      <c r="H179" t="s">
        <v>17</v>
      </c>
      <c r="I179" t="s">
        <v>18</v>
      </c>
      <c r="J179" t="s">
        <v>19</v>
      </c>
      <c r="K179">
        <v>324</v>
      </c>
      <c r="L179">
        <v>0</v>
      </c>
      <c r="M179" t="s">
        <v>20</v>
      </c>
      <c r="N179">
        <f>L179/500</f>
        <v>0</v>
      </c>
      <c r="P179">
        <f>K179/800</f>
        <v>0.40500000000000003</v>
      </c>
    </row>
    <row r="180" spans="1:16" x14ac:dyDescent="0.35">
      <c r="A180">
        <v>1121</v>
      </c>
      <c r="B180">
        <v>583006488</v>
      </c>
      <c r="C180">
        <v>37719</v>
      </c>
      <c r="D180" t="s">
        <v>407</v>
      </c>
      <c r="E180" t="s">
        <v>404</v>
      </c>
      <c r="F180" t="s">
        <v>408</v>
      </c>
      <c r="G180" t="s">
        <v>409</v>
      </c>
      <c r="H180" t="s">
        <v>17</v>
      </c>
      <c r="I180" t="s">
        <v>18</v>
      </c>
      <c r="J180" t="s">
        <v>19</v>
      </c>
      <c r="K180">
        <v>135</v>
      </c>
      <c r="L180">
        <v>0</v>
      </c>
      <c r="M180" t="s">
        <v>20</v>
      </c>
      <c r="N180">
        <f>L180/500</f>
        <v>0</v>
      </c>
      <c r="P180">
        <f>K180/800</f>
        <v>0.16875000000000001</v>
      </c>
    </row>
    <row r="181" spans="1:16" x14ac:dyDescent="0.35">
      <c r="A181">
        <v>29</v>
      </c>
      <c r="B181">
        <v>583005044</v>
      </c>
      <c r="C181">
        <v>35738</v>
      </c>
      <c r="D181" t="s">
        <v>68</v>
      </c>
      <c r="E181" t="s">
        <v>14</v>
      </c>
      <c r="F181" t="s">
        <v>69</v>
      </c>
      <c r="G181" t="s">
        <v>70</v>
      </c>
      <c r="H181" t="s">
        <v>17</v>
      </c>
      <c r="I181" t="s">
        <v>18</v>
      </c>
      <c r="J181" t="s">
        <v>19</v>
      </c>
      <c r="K181">
        <v>12</v>
      </c>
      <c r="L181">
        <v>0</v>
      </c>
      <c r="M181" t="s">
        <v>20</v>
      </c>
      <c r="N181">
        <f>L181/500</f>
        <v>0</v>
      </c>
      <c r="P181">
        <f>K181/800</f>
        <v>1.4999999999999999E-2</v>
      </c>
    </row>
    <row r="182" spans="1:16" x14ac:dyDescent="0.35">
      <c r="A182">
        <v>279</v>
      </c>
      <c r="B182">
        <v>583005387</v>
      </c>
      <c r="C182">
        <v>36208</v>
      </c>
      <c r="D182" t="s">
        <v>68</v>
      </c>
      <c r="E182" t="s">
        <v>237</v>
      </c>
      <c r="F182" t="s">
        <v>69</v>
      </c>
      <c r="G182" t="s">
        <v>70</v>
      </c>
      <c r="H182" t="s">
        <v>17</v>
      </c>
      <c r="I182" t="s">
        <v>18</v>
      </c>
      <c r="J182" t="s">
        <v>19</v>
      </c>
      <c r="K182">
        <v>18</v>
      </c>
      <c r="L182">
        <v>0</v>
      </c>
      <c r="M182" t="s">
        <v>20</v>
      </c>
      <c r="N182">
        <f>L182/500</f>
        <v>0</v>
      </c>
      <c r="P182">
        <f>K182/800</f>
        <v>2.2499999999999999E-2</v>
      </c>
    </row>
    <row r="183" spans="1:16" x14ac:dyDescent="0.35">
      <c r="A183">
        <v>342</v>
      </c>
      <c r="B183">
        <v>583005469</v>
      </c>
      <c r="C183">
        <v>36327</v>
      </c>
      <c r="D183" t="s">
        <v>68</v>
      </c>
      <c r="E183" t="s">
        <v>266</v>
      </c>
      <c r="F183" t="s">
        <v>69</v>
      </c>
      <c r="G183" t="s">
        <v>70</v>
      </c>
      <c r="H183" t="s">
        <v>17</v>
      </c>
      <c r="I183" t="s">
        <v>18</v>
      </c>
      <c r="J183" t="s">
        <v>19</v>
      </c>
      <c r="K183">
        <v>12</v>
      </c>
      <c r="L183">
        <v>0</v>
      </c>
      <c r="M183" t="s">
        <v>20</v>
      </c>
      <c r="N183">
        <f>L183/500</f>
        <v>0</v>
      </c>
      <c r="P183">
        <f>K183/800</f>
        <v>1.4999999999999999E-2</v>
      </c>
    </row>
    <row r="184" spans="1:16" x14ac:dyDescent="0.35">
      <c r="A184">
        <v>383</v>
      </c>
      <c r="B184">
        <v>583005617</v>
      </c>
      <c r="C184">
        <v>36534</v>
      </c>
      <c r="D184" t="s">
        <v>68</v>
      </c>
      <c r="E184" t="s">
        <v>270</v>
      </c>
      <c r="F184" t="s">
        <v>69</v>
      </c>
      <c r="G184" t="s">
        <v>70</v>
      </c>
      <c r="H184" t="s">
        <v>17</v>
      </c>
      <c r="I184" t="s">
        <v>18</v>
      </c>
      <c r="J184" t="s">
        <v>19</v>
      </c>
      <c r="K184">
        <v>27</v>
      </c>
      <c r="L184">
        <v>0</v>
      </c>
      <c r="M184" t="s">
        <v>20</v>
      </c>
      <c r="N184">
        <f>L184/500</f>
        <v>0</v>
      </c>
      <c r="P184">
        <f>K184/800</f>
        <v>3.3750000000000002E-2</v>
      </c>
    </row>
    <row r="185" spans="1:16" x14ac:dyDescent="0.35">
      <c r="A185">
        <v>654</v>
      </c>
      <c r="B185">
        <v>583005919</v>
      </c>
      <c r="C185">
        <v>36971</v>
      </c>
      <c r="D185" t="s">
        <v>68</v>
      </c>
      <c r="E185" t="s">
        <v>324</v>
      </c>
      <c r="F185" t="s">
        <v>69</v>
      </c>
      <c r="G185" t="s">
        <v>70</v>
      </c>
      <c r="H185" t="s">
        <v>17</v>
      </c>
      <c r="I185" t="s">
        <v>18</v>
      </c>
      <c r="J185" t="s">
        <v>19</v>
      </c>
      <c r="K185">
        <v>15</v>
      </c>
      <c r="L185">
        <v>0</v>
      </c>
      <c r="M185" t="s">
        <v>20</v>
      </c>
      <c r="N185">
        <f>L185/500</f>
        <v>0</v>
      </c>
      <c r="P185">
        <f>K185/800</f>
        <v>1.8749999999999999E-2</v>
      </c>
    </row>
    <row r="186" spans="1:16" x14ac:dyDescent="0.35">
      <c r="A186">
        <v>957</v>
      </c>
      <c r="B186">
        <v>583006301</v>
      </c>
      <c r="C186">
        <v>37472</v>
      </c>
      <c r="D186" t="s">
        <v>68</v>
      </c>
      <c r="E186" t="s">
        <v>386</v>
      </c>
      <c r="F186" t="s">
        <v>69</v>
      </c>
      <c r="G186" t="s">
        <v>70</v>
      </c>
      <c r="H186" t="s">
        <v>17</v>
      </c>
      <c r="I186" t="s">
        <v>18</v>
      </c>
      <c r="J186" t="s">
        <v>19</v>
      </c>
      <c r="K186">
        <v>9</v>
      </c>
      <c r="L186">
        <v>0</v>
      </c>
      <c r="M186" t="s">
        <v>20</v>
      </c>
      <c r="N186">
        <f>L186/500</f>
        <v>0</v>
      </c>
      <c r="P186">
        <f>K186/800</f>
        <v>1.125E-2</v>
      </c>
    </row>
    <row r="187" spans="1:16" x14ac:dyDescent="0.35">
      <c r="A187">
        <v>1267</v>
      </c>
      <c r="B187">
        <v>583006680</v>
      </c>
      <c r="C187">
        <v>37983</v>
      </c>
      <c r="D187" t="s">
        <v>68</v>
      </c>
      <c r="E187" t="s">
        <v>424</v>
      </c>
      <c r="F187" t="s">
        <v>69</v>
      </c>
      <c r="G187" t="s">
        <v>70</v>
      </c>
      <c r="H187" t="s">
        <v>17</v>
      </c>
      <c r="I187" t="s">
        <v>18</v>
      </c>
      <c r="J187" t="s">
        <v>19</v>
      </c>
      <c r="K187">
        <v>18</v>
      </c>
      <c r="L187">
        <v>0</v>
      </c>
      <c r="M187" t="s">
        <v>20</v>
      </c>
      <c r="N187">
        <f>L187/500</f>
        <v>0</v>
      </c>
      <c r="P187">
        <f>K187/800</f>
        <v>2.2499999999999999E-2</v>
      </c>
    </row>
    <row r="188" spans="1:16" x14ac:dyDescent="0.35">
      <c r="A188">
        <v>1413</v>
      </c>
      <c r="B188">
        <v>583006852</v>
      </c>
      <c r="C188">
        <v>38219</v>
      </c>
      <c r="D188" t="s">
        <v>68</v>
      </c>
      <c r="E188" t="s">
        <v>444</v>
      </c>
      <c r="F188" t="s">
        <v>69</v>
      </c>
      <c r="G188" t="s">
        <v>70</v>
      </c>
      <c r="H188" t="s">
        <v>17</v>
      </c>
      <c r="I188" t="s">
        <v>18</v>
      </c>
      <c r="J188" t="s">
        <v>19</v>
      </c>
      <c r="K188">
        <v>6</v>
      </c>
      <c r="L188">
        <v>0</v>
      </c>
      <c r="M188" t="s">
        <v>20</v>
      </c>
      <c r="N188">
        <f>L188/500</f>
        <v>0</v>
      </c>
      <c r="P188">
        <f>K188/800</f>
        <v>7.4999999999999997E-3</v>
      </c>
    </row>
    <row r="189" spans="1:16" x14ac:dyDescent="0.35">
      <c r="A189">
        <v>1414</v>
      </c>
      <c r="B189">
        <v>583006852</v>
      </c>
      <c r="C189">
        <v>38219</v>
      </c>
      <c r="D189" t="s">
        <v>68</v>
      </c>
      <c r="E189" t="s">
        <v>444</v>
      </c>
      <c r="F189" t="s">
        <v>69</v>
      </c>
      <c r="G189" t="s">
        <v>70</v>
      </c>
      <c r="H189" t="s">
        <v>17</v>
      </c>
      <c r="I189" t="s">
        <v>18</v>
      </c>
      <c r="J189" t="s">
        <v>19</v>
      </c>
      <c r="K189">
        <v>9</v>
      </c>
      <c r="L189">
        <v>0</v>
      </c>
      <c r="M189" t="s">
        <v>20</v>
      </c>
      <c r="N189">
        <f>L189/500</f>
        <v>0</v>
      </c>
      <c r="P189">
        <f>K189/800</f>
        <v>1.125E-2</v>
      </c>
    </row>
    <row r="190" spans="1:16" x14ac:dyDescent="0.35">
      <c r="A190">
        <v>11</v>
      </c>
      <c r="B190">
        <v>583005031</v>
      </c>
      <c r="C190">
        <v>35722</v>
      </c>
      <c r="D190" t="s">
        <v>45</v>
      </c>
      <c r="E190" t="s">
        <v>14</v>
      </c>
      <c r="F190" t="s">
        <v>46</v>
      </c>
      <c r="G190" t="s">
        <v>47</v>
      </c>
      <c r="H190" t="s">
        <v>17</v>
      </c>
      <c r="I190" t="s">
        <v>18</v>
      </c>
      <c r="J190" t="s">
        <v>19</v>
      </c>
      <c r="K190">
        <v>48</v>
      </c>
      <c r="L190">
        <v>0</v>
      </c>
      <c r="M190" t="s">
        <v>20</v>
      </c>
      <c r="N190">
        <f>L190/500</f>
        <v>0</v>
      </c>
      <c r="P190">
        <f>K190/800</f>
        <v>0.06</v>
      </c>
    </row>
    <row r="191" spans="1:16" x14ac:dyDescent="0.35">
      <c r="A191">
        <v>19</v>
      </c>
      <c r="B191">
        <v>583005032</v>
      </c>
      <c r="C191">
        <v>35723</v>
      </c>
      <c r="D191" t="s">
        <v>45</v>
      </c>
      <c r="E191" t="s">
        <v>14</v>
      </c>
      <c r="F191" t="s">
        <v>46</v>
      </c>
      <c r="G191" t="s">
        <v>47</v>
      </c>
      <c r="H191" t="s">
        <v>17</v>
      </c>
      <c r="I191" t="s">
        <v>18</v>
      </c>
      <c r="J191" t="s">
        <v>19</v>
      </c>
      <c r="K191">
        <v>135</v>
      </c>
      <c r="L191">
        <v>0</v>
      </c>
      <c r="M191" t="s">
        <v>20</v>
      </c>
      <c r="N191">
        <f>L191/500</f>
        <v>0</v>
      </c>
      <c r="P191">
        <f>K191/800</f>
        <v>0.16875000000000001</v>
      </c>
    </row>
    <row r="192" spans="1:16" x14ac:dyDescent="0.35">
      <c r="A192">
        <v>25</v>
      </c>
      <c r="B192">
        <v>583005033</v>
      </c>
      <c r="C192">
        <v>35724</v>
      </c>
      <c r="D192" t="s">
        <v>45</v>
      </c>
      <c r="E192" t="s">
        <v>14</v>
      </c>
      <c r="F192" t="s">
        <v>46</v>
      </c>
      <c r="G192" t="s">
        <v>47</v>
      </c>
      <c r="H192" t="s">
        <v>17</v>
      </c>
      <c r="I192" t="s">
        <v>18</v>
      </c>
      <c r="J192" t="s">
        <v>19</v>
      </c>
      <c r="K192">
        <v>135</v>
      </c>
      <c r="L192">
        <v>0</v>
      </c>
      <c r="M192" t="s">
        <v>20</v>
      </c>
      <c r="N192">
        <f>L192/500</f>
        <v>0</v>
      </c>
      <c r="P192">
        <f>K192/800</f>
        <v>0.16875000000000001</v>
      </c>
    </row>
    <row r="193" spans="1:16" x14ac:dyDescent="0.35">
      <c r="A193">
        <v>32</v>
      </c>
      <c r="B193">
        <v>583005030</v>
      </c>
      <c r="C193">
        <v>35721</v>
      </c>
      <c r="D193" t="s">
        <v>45</v>
      </c>
      <c r="E193" t="s">
        <v>14</v>
      </c>
      <c r="F193" t="s">
        <v>46</v>
      </c>
      <c r="G193" t="s">
        <v>47</v>
      </c>
      <c r="H193" t="s">
        <v>17</v>
      </c>
      <c r="I193" t="s">
        <v>18</v>
      </c>
      <c r="J193" t="s">
        <v>19</v>
      </c>
      <c r="K193">
        <v>39</v>
      </c>
      <c r="L193">
        <v>0</v>
      </c>
      <c r="M193" t="s">
        <v>20</v>
      </c>
      <c r="N193">
        <f>L193/500</f>
        <v>0</v>
      </c>
      <c r="P193">
        <f>K193/800</f>
        <v>4.8750000000000002E-2</v>
      </c>
    </row>
    <row r="194" spans="1:16" x14ac:dyDescent="0.35">
      <c r="A194">
        <v>373</v>
      </c>
      <c r="B194">
        <v>583005606</v>
      </c>
      <c r="C194">
        <v>36520</v>
      </c>
      <c r="D194" t="s">
        <v>45</v>
      </c>
      <c r="E194" t="s">
        <v>270</v>
      </c>
      <c r="F194" t="s">
        <v>46</v>
      </c>
      <c r="G194" t="s">
        <v>47</v>
      </c>
      <c r="H194" t="s">
        <v>17</v>
      </c>
      <c r="I194" t="s">
        <v>18</v>
      </c>
      <c r="J194" t="s">
        <v>19</v>
      </c>
      <c r="K194">
        <v>135</v>
      </c>
      <c r="L194">
        <v>0</v>
      </c>
      <c r="M194" t="s">
        <v>20</v>
      </c>
      <c r="N194">
        <f>L194/500</f>
        <v>0</v>
      </c>
      <c r="P194">
        <f>K194/800</f>
        <v>0.16875000000000001</v>
      </c>
    </row>
    <row r="195" spans="1:16" x14ac:dyDescent="0.35">
      <c r="A195">
        <v>374</v>
      </c>
      <c r="B195">
        <v>583005607</v>
      </c>
      <c r="C195">
        <v>36521</v>
      </c>
      <c r="D195" t="s">
        <v>45</v>
      </c>
      <c r="E195" t="s">
        <v>270</v>
      </c>
      <c r="F195" t="s">
        <v>46</v>
      </c>
      <c r="G195" t="s">
        <v>47</v>
      </c>
      <c r="H195" t="s">
        <v>17</v>
      </c>
      <c r="I195" t="s">
        <v>18</v>
      </c>
      <c r="J195" t="s">
        <v>19</v>
      </c>
      <c r="K195">
        <v>90</v>
      </c>
      <c r="L195">
        <v>0</v>
      </c>
      <c r="M195" t="s">
        <v>20</v>
      </c>
      <c r="N195">
        <f>L195/500</f>
        <v>0</v>
      </c>
      <c r="P195">
        <f>K195/800</f>
        <v>0.1125</v>
      </c>
    </row>
    <row r="196" spans="1:16" x14ac:dyDescent="0.35">
      <c r="A196">
        <v>376</v>
      </c>
      <c r="B196">
        <v>583005608</v>
      </c>
      <c r="C196">
        <v>36522</v>
      </c>
      <c r="D196" t="s">
        <v>45</v>
      </c>
      <c r="E196" t="s">
        <v>270</v>
      </c>
      <c r="F196" t="s">
        <v>46</v>
      </c>
      <c r="G196" t="s">
        <v>47</v>
      </c>
      <c r="H196" t="s">
        <v>17</v>
      </c>
      <c r="I196" t="s">
        <v>18</v>
      </c>
      <c r="J196" t="s">
        <v>19</v>
      </c>
      <c r="K196">
        <v>135</v>
      </c>
      <c r="L196">
        <v>0</v>
      </c>
      <c r="M196" t="s">
        <v>20</v>
      </c>
      <c r="N196">
        <f>L196/500</f>
        <v>0</v>
      </c>
      <c r="P196">
        <f>K196/800</f>
        <v>0.16875000000000001</v>
      </c>
    </row>
    <row r="197" spans="1:16" x14ac:dyDescent="0.35">
      <c r="A197">
        <v>503</v>
      </c>
      <c r="B197">
        <v>583005736</v>
      </c>
      <c r="C197">
        <v>36694</v>
      </c>
      <c r="D197" t="s">
        <v>45</v>
      </c>
      <c r="E197" t="s">
        <v>300</v>
      </c>
      <c r="F197" t="s">
        <v>46</v>
      </c>
      <c r="G197" t="s">
        <v>47</v>
      </c>
      <c r="H197" t="s">
        <v>17</v>
      </c>
      <c r="I197" t="s">
        <v>18</v>
      </c>
      <c r="J197" t="s">
        <v>19</v>
      </c>
      <c r="K197">
        <v>3759</v>
      </c>
      <c r="L197">
        <v>0</v>
      </c>
      <c r="M197" t="s">
        <v>20</v>
      </c>
      <c r="N197">
        <f>L197/500</f>
        <v>0</v>
      </c>
      <c r="P197">
        <f>K197/800</f>
        <v>4.6987500000000004</v>
      </c>
    </row>
    <row r="198" spans="1:16" x14ac:dyDescent="0.35">
      <c r="A198">
        <v>504</v>
      </c>
      <c r="B198">
        <v>583005736</v>
      </c>
      <c r="C198">
        <v>36694</v>
      </c>
      <c r="D198" t="s">
        <v>45</v>
      </c>
      <c r="E198" t="s">
        <v>300</v>
      </c>
      <c r="F198" t="s">
        <v>46</v>
      </c>
      <c r="G198" t="s">
        <v>47</v>
      </c>
      <c r="H198" t="s">
        <v>17</v>
      </c>
      <c r="I198" t="s">
        <v>18</v>
      </c>
      <c r="J198" t="s">
        <v>19</v>
      </c>
      <c r="K198">
        <v>75</v>
      </c>
      <c r="L198">
        <v>0</v>
      </c>
      <c r="M198" t="s">
        <v>20</v>
      </c>
      <c r="N198">
        <f>L198/500</f>
        <v>0</v>
      </c>
      <c r="P198">
        <f>K198/800</f>
        <v>9.375E-2</v>
      </c>
    </row>
    <row r="199" spans="1:16" x14ac:dyDescent="0.35">
      <c r="A199">
        <v>505</v>
      </c>
      <c r="B199">
        <v>583005736</v>
      </c>
      <c r="C199">
        <v>36694</v>
      </c>
      <c r="D199" t="s">
        <v>45</v>
      </c>
      <c r="E199" t="s">
        <v>300</v>
      </c>
      <c r="F199" t="s">
        <v>46</v>
      </c>
      <c r="G199" t="s">
        <v>47</v>
      </c>
      <c r="H199" t="s">
        <v>17</v>
      </c>
      <c r="I199" t="s">
        <v>18</v>
      </c>
      <c r="J199" t="s">
        <v>19</v>
      </c>
      <c r="K199">
        <v>180</v>
      </c>
      <c r="L199">
        <v>0</v>
      </c>
      <c r="M199" t="s">
        <v>20</v>
      </c>
      <c r="N199">
        <f>L199/500</f>
        <v>0</v>
      </c>
      <c r="P199">
        <f>K199/800</f>
        <v>0.22500000000000001</v>
      </c>
    </row>
    <row r="200" spans="1:16" x14ac:dyDescent="0.35">
      <c r="A200">
        <v>845</v>
      </c>
      <c r="B200">
        <v>583006140</v>
      </c>
      <c r="C200">
        <v>37267</v>
      </c>
      <c r="D200" t="s">
        <v>45</v>
      </c>
      <c r="E200" t="s">
        <v>360</v>
      </c>
      <c r="F200" t="s">
        <v>46</v>
      </c>
      <c r="G200" t="s">
        <v>47</v>
      </c>
      <c r="H200" t="s">
        <v>17</v>
      </c>
      <c r="I200" t="s">
        <v>18</v>
      </c>
      <c r="J200" t="s">
        <v>19</v>
      </c>
      <c r="K200">
        <v>108</v>
      </c>
      <c r="L200">
        <v>0</v>
      </c>
      <c r="M200" t="s">
        <v>20</v>
      </c>
      <c r="N200">
        <f>L200/500</f>
        <v>0</v>
      </c>
      <c r="P200">
        <f>K200/800</f>
        <v>0.13500000000000001</v>
      </c>
    </row>
    <row r="201" spans="1:16" x14ac:dyDescent="0.35">
      <c r="A201">
        <v>849</v>
      </c>
      <c r="B201">
        <v>583006139</v>
      </c>
      <c r="C201">
        <v>37266</v>
      </c>
      <c r="D201" t="s">
        <v>45</v>
      </c>
      <c r="E201" t="s">
        <v>360</v>
      </c>
      <c r="F201" t="s">
        <v>46</v>
      </c>
      <c r="G201" t="s">
        <v>47</v>
      </c>
      <c r="H201" t="s">
        <v>17</v>
      </c>
      <c r="I201" t="s">
        <v>18</v>
      </c>
      <c r="J201" t="s">
        <v>19</v>
      </c>
      <c r="K201">
        <v>108</v>
      </c>
      <c r="L201">
        <v>0</v>
      </c>
      <c r="M201" t="s">
        <v>20</v>
      </c>
      <c r="N201">
        <f>L201/500</f>
        <v>0</v>
      </c>
      <c r="P201">
        <f>K201/800</f>
        <v>0.13500000000000001</v>
      </c>
    </row>
    <row r="202" spans="1:16" x14ac:dyDescent="0.35">
      <c r="A202">
        <v>850</v>
      </c>
      <c r="B202">
        <v>583006138</v>
      </c>
      <c r="C202">
        <v>37265</v>
      </c>
      <c r="D202" t="s">
        <v>45</v>
      </c>
      <c r="E202" t="s">
        <v>360</v>
      </c>
      <c r="F202" t="s">
        <v>46</v>
      </c>
      <c r="G202" t="s">
        <v>47</v>
      </c>
      <c r="H202" t="s">
        <v>17</v>
      </c>
      <c r="I202" t="s">
        <v>18</v>
      </c>
      <c r="J202" t="s">
        <v>19</v>
      </c>
      <c r="K202">
        <v>48</v>
      </c>
      <c r="L202">
        <v>0</v>
      </c>
      <c r="M202" t="s">
        <v>20</v>
      </c>
      <c r="N202">
        <f>L202/500</f>
        <v>0</v>
      </c>
      <c r="P202">
        <f>K202/800</f>
        <v>0.06</v>
      </c>
    </row>
    <row r="203" spans="1:16" x14ac:dyDescent="0.35">
      <c r="A203">
        <v>851</v>
      </c>
      <c r="B203">
        <v>583006137</v>
      </c>
      <c r="C203">
        <v>37264</v>
      </c>
      <c r="D203" t="s">
        <v>45</v>
      </c>
      <c r="E203" t="s">
        <v>360</v>
      </c>
      <c r="F203" t="s">
        <v>46</v>
      </c>
      <c r="G203" t="s">
        <v>47</v>
      </c>
      <c r="H203" t="s">
        <v>17</v>
      </c>
      <c r="I203" t="s">
        <v>18</v>
      </c>
      <c r="J203" t="s">
        <v>19</v>
      </c>
      <c r="K203">
        <v>36</v>
      </c>
      <c r="L203">
        <v>0</v>
      </c>
      <c r="M203" t="s">
        <v>20</v>
      </c>
      <c r="N203">
        <f>L203/500</f>
        <v>0</v>
      </c>
      <c r="P203">
        <f>K203/800</f>
        <v>4.4999999999999998E-2</v>
      </c>
    </row>
    <row r="204" spans="1:16" x14ac:dyDescent="0.35">
      <c r="A204">
        <v>852</v>
      </c>
      <c r="B204">
        <v>583006141</v>
      </c>
      <c r="C204">
        <v>37268</v>
      </c>
      <c r="D204" t="s">
        <v>45</v>
      </c>
      <c r="E204" t="s">
        <v>360</v>
      </c>
      <c r="F204" t="s">
        <v>46</v>
      </c>
      <c r="G204" t="s">
        <v>47</v>
      </c>
      <c r="H204" t="s">
        <v>17</v>
      </c>
      <c r="I204" t="s">
        <v>18</v>
      </c>
      <c r="J204" t="s">
        <v>19</v>
      </c>
      <c r="K204">
        <v>108</v>
      </c>
      <c r="L204">
        <v>0</v>
      </c>
      <c r="M204" t="s">
        <v>20</v>
      </c>
      <c r="N204">
        <f>L204/500</f>
        <v>0</v>
      </c>
      <c r="P204">
        <f>K204/800</f>
        <v>0.13500000000000001</v>
      </c>
    </row>
    <row r="205" spans="1:16" x14ac:dyDescent="0.35">
      <c r="A205">
        <v>853</v>
      </c>
      <c r="B205">
        <v>583006135</v>
      </c>
      <c r="C205">
        <v>37262</v>
      </c>
      <c r="D205" t="s">
        <v>45</v>
      </c>
      <c r="E205" t="s">
        <v>360</v>
      </c>
      <c r="F205" t="s">
        <v>46</v>
      </c>
      <c r="G205" t="s">
        <v>47</v>
      </c>
      <c r="H205" t="s">
        <v>17</v>
      </c>
      <c r="I205" t="s">
        <v>18</v>
      </c>
      <c r="J205" t="s">
        <v>19</v>
      </c>
      <c r="K205">
        <v>108</v>
      </c>
      <c r="L205">
        <v>0</v>
      </c>
      <c r="M205" t="s">
        <v>20</v>
      </c>
      <c r="N205">
        <f>L205/500</f>
        <v>0</v>
      </c>
      <c r="P205">
        <f>K205/800</f>
        <v>0.13500000000000001</v>
      </c>
    </row>
    <row r="206" spans="1:16" x14ac:dyDescent="0.35">
      <c r="A206">
        <v>972</v>
      </c>
      <c r="B206">
        <v>583006340</v>
      </c>
      <c r="C206">
        <v>37525</v>
      </c>
      <c r="D206" t="s">
        <v>45</v>
      </c>
      <c r="E206" t="s">
        <v>386</v>
      </c>
      <c r="F206" t="s">
        <v>46</v>
      </c>
      <c r="G206" t="s">
        <v>47</v>
      </c>
      <c r="H206" t="s">
        <v>17</v>
      </c>
      <c r="I206" t="s">
        <v>18</v>
      </c>
      <c r="J206" t="s">
        <v>19</v>
      </c>
      <c r="K206">
        <v>108</v>
      </c>
      <c r="L206">
        <v>0</v>
      </c>
      <c r="M206" t="s">
        <v>20</v>
      </c>
      <c r="N206">
        <f>L206/500</f>
        <v>0</v>
      </c>
      <c r="P206">
        <f>K206/800</f>
        <v>0.13500000000000001</v>
      </c>
    </row>
    <row r="207" spans="1:16" x14ac:dyDescent="0.35">
      <c r="A207">
        <v>973</v>
      </c>
      <c r="B207">
        <v>583006342</v>
      </c>
      <c r="C207">
        <v>37527</v>
      </c>
      <c r="D207" t="s">
        <v>45</v>
      </c>
      <c r="E207" t="s">
        <v>386</v>
      </c>
      <c r="F207" t="s">
        <v>46</v>
      </c>
      <c r="G207" t="s">
        <v>47</v>
      </c>
      <c r="H207" t="s">
        <v>17</v>
      </c>
      <c r="I207" t="s">
        <v>18</v>
      </c>
      <c r="J207" t="s">
        <v>19</v>
      </c>
      <c r="K207">
        <v>180</v>
      </c>
      <c r="L207">
        <v>0</v>
      </c>
      <c r="M207" t="s">
        <v>20</v>
      </c>
      <c r="N207">
        <f>L207/500</f>
        <v>0</v>
      </c>
      <c r="P207">
        <f>K207/800</f>
        <v>0.22500000000000001</v>
      </c>
    </row>
    <row r="208" spans="1:16" x14ac:dyDescent="0.35">
      <c r="A208">
        <v>974</v>
      </c>
      <c r="B208">
        <v>583006345</v>
      </c>
      <c r="C208">
        <v>37531</v>
      </c>
      <c r="D208" t="s">
        <v>45</v>
      </c>
      <c r="E208" t="s">
        <v>386</v>
      </c>
      <c r="F208" t="s">
        <v>46</v>
      </c>
      <c r="G208" t="s">
        <v>47</v>
      </c>
      <c r="H208" t="s">
        <v>17</v>
      </c>
      <c r="I208" t="s">
        <v>18</v>
      </c>
      <c r="J208" t="s">
        <v>19</v>
      </c>
      <c r="K208">
        <v>108</v>
      </c>
      <c r="L208">
        <v>0</v>
      </c>
      <c r="M208" t="s">
        <v>20</v>
      </c>
      <c r="N208">
        <f>L208/500</f>
        <v>0</v>
      </c>
      <c r="P208">
        <f>K208/800</f>
        <v>0.13500000000000001</v>
      </c>
    </row>
    <row r="209" spans="1:16" x14ac:dyDescent="0.35">
      <c r="A209">
        <v>975</v>
      </c>
      <c r="B209">
        <v>583006347</v>
      </c>
      <c r="C209">
        <v>37533</v>
      </c>
      <c r="D209" t="s">
        <v>45</v>
      </c>
      <c r="E209" t="s">
        <v>386</v>
      </c>
      <c r="F209" t="s">
        <v>46</v>
      </c>
      <c r="G209" t="s">
        <v>47</v>
      </c>
      <c r="H209" t="s">
        <v>17</v>
      </c>
      <c r="I209" t="s">
        <v>18</v>
      </c>
      <c r="J209" t="s">
        <v>19</v>
      </c>
      <c r="K209">
        <v>135</v>
      </c>
      <c r="L209">
        <v>0</v>
      </c>
      <c r="M209" t="s">
        <v>20</v>
      </c>
      <c r="N209">
        <f>L209/500</f>
        <v>0</v>
      </c>
      <c r="P209">
        <f>K209/800</f>
        <v>0.16875000000000001</v>
      </c>
    </row>
    <row r="210" spans="1:16" x14ac:dyDescent="0.35">
      <c r="A210">
        <v>1000</v>
      </c>
      <c r="B210">
        <v>583006447</v>
      </c>
      <c r="C210">
        <v>37660</v>
      </c>
      <c r="D210" t="s">
        <v>45</v>
      </c>
      <c r="E210" t="s">
        <v>393</v>
      </c>
      <c r="F210" t="s">
        <v>46</v>
      </c>
      <c r="G210" t="s">
        <v>47</v>
      </c>
      <c r="H210" t="s">
        <v>17</v>
      </c>
      <c r="I210" t="s">
        <v>18</v>
      </c>
      <c r="J210" t="s">
        <v>19</v>
      </c>
      <c r="K210">
        <v>72</v>
      </c>
      <c r="L210">
        <v>0</v>
      </c>
      <c r="M210" t="s">
        <v>20</v>
      </c>
      <c r="N210">
        <f>L210/500</f>
        <v>0</v>
      </c>
      <c r="P210">
        <f>K210/800</f>
        <v>0.09</v>
      </c>
    </row>
    <row r="211" spans="1:16" x14ac:dyDescent="0.35">
      <c r="A211">
        <v>1001</v>
      </c>
      <c r="B211">
        <v>583006448</v>
      </c>
      <c r="C211">
        <v>37661</v>
      </c>
      <c r="D211" t="s">
        <v>45</v>
      </c>
      <c r="E211" t="s">
        <v>393</v>
      </c>
      <c r="F211" t="s">
        <v>46</v>
      </c>
      <c r="G211" t="s">
        <v>47</v>
      </c>
      <c r="H211" t="s">
        <v>17</v>
      </c>
      <c r="I211" t="s">
        <v>18</v>
      </c>
      <c r="J211" t="s">
        <v>19</v>
      </c>
      <c r="K211">
        <v>225</v>
      </c>
      <c r="L211">
        <v>0</v>
      </c>
      <c r="M211" t="s">
        <v>20</v>
      </c>
      <c r="N211">
        <f>L211/500</f>
        <v>0</v>
      </c>
      <c r="P211">
        <f>K211/800</f>
        <v>0.28125</v>
      </c>
    </row>
    <row r="212" spans="1:16" x14ac:dyDescent="0.35">
      <c r="A212">
        <v>1103</v>
      </c>
      <c r="B212">
        <v>583006502</v>
      </c>
      <c r="C212">
        <v>37741</v>
      </c>
      <c r="D212" t="s">
        <v>45</v>
      </c>
      <c r="E212" t="s">
        <v>404</v>
      </c>
      <c r="F212" t="s">
        <v>46</v>
      </c>
      <c r="G212" t="s">
        <v>47</v>
      </c>
      <c r="H212" t="s">
        <v>17</v>
      </c>
      <c r="I212" t="s">
        <v>18</v>
      </c>
      <c r="J212" t="s">
        <v>19</v>
      </c>
      <c r="K212">
        <v>297</v>
      </c>
      <c r="L212">
        <v>0</v>
      </c>
      <c r="M212" t="s">
        <v>20</v>
      </c>
      <c r="N212">
        <f>L212/500</f>
        <v>0</v>
      </c>
      <c r="P212">
        <f>K212/800</f>
        <v>0.37125000000000002</v>
      </c>
    </row>
    <row r="213" spans="1:16" x14ac:dyDescent="0.35">
      <c r="A213">
        <v>1104</v>
      </c>
      <c r="B213">
        <v>583006502</v>
      </c>
      <c r="C213">
        <v>37741</v>
      </c>
      <c r="D213" t="s">
        <v>45</v>
      </c>
      <c r="E213" t="s">
        <v>404</v>
      </c>
      <c r="F213" t="s">
        <v>46</v>
      </c>
      <c r="G213" t="s">
        <v>47</v>
      </c>
      <c r="H213" t="s">
        <v>17</v>
      </c>
      <c r="I213" t="s">
        <v>18</v>
      </c>
      <c r="J213" t="s">
        <v>19</v>
      </c>
      <c r="K213">
        <v>465</v>
      </c>
      <c r="L213">
        <v>0</v>
      </c>
      <c r="M213" t="s">
        <v>20</v>
      </c>
      <c r="N213">
        <f>L213/500</f>
        <v>0</v>
      </c>
      <c r="P213">
        <f>K213/800</f>
        <v>0.58125000000000004</v>
      </c>
    </row>
    <row r="214" spans="1:16" x14ac:dyDescent="0.35">
      <c r="A214">
        <v>1105</v>
      </c>
      <c r="B214">
        <v>583006502</v>
      </c>
      <c r="C214">
        <v>37741</v>
      </c>
      <c r="D214" t="s">
        <v>45</v>
      </c>
      <c r="E214" t="s">
        <v>404</v>
      </c>
      <c r="F214" t="s">
        <v>46</v>
      </c>
      <c r="G214" t="s">
        <v>47</v>
      </c>
      <c r="H214" t="s">
        <v>17</v>
      </c>
      <c r="I214" t="s">
        <v>18</v>
      </c>
      <c r="J214" t="s">
        <v>19</v>
      </c>
      <c r="K214">
        <v>405</v>
      </c>
      <c r="L214">
        <v>0</v>
      </c>
      <c r="M214" t="s">
        <v>20</v>
      </c>
      <c r="N214">
        <f>L214/500</f>
        <v>0</v>
      </c>
      <c r="P214">
        <f>K214/800</f>
        <v>0.50624999999999998</v>
      </c>
    </row>
    <row r="215" spans="1:16" x14ac:dyDescent="0.35">
      <c r="A215">
        <v>1106</v>
      </c>
      <c r="B215">
        <v>583006502</v>
      </c>
      <c r="C215">
        <v>37741</v>
      </c>
      <c r="D215" t="s">
        <v>45</v>
      </c>
      <c r="E215" t="s">
        <v>404</v>
      </c>
      <c r="F215" t="s">
        <v>46</v>
      </c>
      <c r="G215" t="s">
        <v>47</v>
      </c>
      <c r="H215" t="s">
        <v>17</v>
      </c>
      <c r="I215" t="s">
        <v>18</v>
      </c>
      <c r="J215" t="s">
        <v>19</v>
      </c>
      <c r="K215">
        <v>2691</v>
      </c>
      <c r="L215">
        <v>0</v>
      </c>
      <c r="M215" t="s">
        <v>20</v>
      </c>
      <c r="N215">
        <f>L215/500</f>
        <v>0</v>
      </c>
      <c r="P215">
        <f>K215/800</f>
        <v>3.36375</v>
      </c>
    </row>
    <row r="216" spans="1:16" x14ac:dyDescent="0.35">
      <c r="A216">
        <v>1224</v>
      </c>
      <c r="B216">
        <v>583006727</v>
      </c>
      <c r="C216">
        <v>38041</v>
      </c>
      <c r="D216" t="s">
        <v>45</v>
      </c>
      <c r="E216" t="s">
        <v>424</v>
      </c>
      <c r="F216" t="s">
        <v>46</v>
      </c>
      <c r="G216" t="s">
        <v>47</v>
      </c>
      <c r="H216" t="s">
        <v>17</v>
      </c>
      <c r="I216" t="s">
        <v>18</v>
      </c>
      <c r="J216" t="s">
        <v>19</v>
      </c>
      <c r="K216">
        <v>30</v>
      </c>
      <c r="L216">
        <v>0</v>
      </c>
      <c r="M216" t="s">
        <v>20</v>
      </c>
      <c r="N216">
        <f>L216/500</f>
        <v>0</v>
      </c>
      <c r="P216">
        <f>K216/800</f>
        <v>3.7499999999999999E-2</v>
      </c>
    </row>
    <row r="217" spans="1:16" x14ac:dyDescent="0.35">
      <c r="A217">
        <v>1226</v>
      </c>
      <c r="B217">
        <v>583006726</v>
      </c>
      <c r="C217">
        <v>38040</v>
      </c>
      <c r="D217" t="s">
        <v>45</v>
      </c>
      <c r="E217" t="s">
        <v>424</v>
      </c>
      <c r="F217" t="s">
        <v>46</v>
      </c>
      <c r="G217" t="s">
        <v>47</v>
      </c>
      <c r="H217" t="s">
        <v>17</v>
      </c>
      <c r="I217" t="s">
        <v>18</v>
      </c>
      <c r="J217" t="s">
        <v>19</v>
      </c>
      <c r="K217">
        <v>180</v>
      </c>
      <c r="L217">
        <v>0</v>
      </c>
      <c r="M217" t="s">
        <v>20</v>
      </c>
      <c r="N217">
        <f>L217/500</f>
        <v>0</v>
      </c>
      <c r="P217">
        <f>K217/800</f>
        <v>0.22500000000000001</v>
      </c>
    </row>
    <row r="218" spans="1:16" x14ac:dyDescent="0.35">
      <c r="A218">
        <v>1230</v>
      </c>
      <c r="B218">
        <v>583006725</v>
      </c>
      <c r="C218">
        <v>38039</v>
      </c>
      <c r="D218" t="s">
        <v>45</v>
      </c>
      <c r="E218" t="s">
        <v>424</v>
      </c>
      <c r="F218" t="s">
        <v>46</v>
      </c>
      <c r="G218" t="s">
        <v>47</v>
      </c>
      <c r="H218" t="s">
        <v>17</v>
      </c>
      <c r="I218" t="s">
        <v>18</v>
      </c>
      <c r="J218" t="s">
        <v>19</v>
      </c>
      <c r="K218">
        <v>36</v>
      </c>
      <c r="L218">
        <v>0</v>
      </c>
      <c r="M218" t="s">
        <v>20</v>
      </c>
      <c r="N218">
        <f>L218/500</f>
        <v>0</v>
      </c>
      <c r="P218">
        <f>K218/800</f>
        <v>4.4999999999999998E-2</v>
      </c>
    </row>
    <row r="219" spans="1:16" x14ac:dyDescent="0.35">
      <c r="A219">
        <v>1231</v>
      </c>
      <c r="B219">
        <v>583006724</v>
      </c>
      <c r="C219">
        <v>38038</v>
      </c>
      <c r="D219" t="s">
        <v>45</v>
      </c>
      <c r="E219" t="s">
        <v>424</v>
      </c>
      <c r="F219" t="s">
        <v>46</v>
      </c>
      <c r="G219" t="s">
        <v>47</v>
      </c>
      <c r="H219" t="s">
        <v>17</v>
      </c>
      <c r="I219" t="s">
        <v>18</v>
      </c>
      <c r="J219" t="s">
        <v>19</v>
      </c>
      <c r="K219">
        <v>48</v>
      </c>
      <c r="L219">
        <v>0</v>
      </c>
      <c r="M219" t="s">
        <v>20</v>
      </c>
      <c r="N219">
        <f>L219/500</f>
        <v>0</v>
      </c>
      <c r="P219">
        <f>K219/800</f>
        <v>0.06</v>
      </c>
    </row>
    <row r="220" spans="1:16" x14ac:dyDescent="0.35">
      <c r="A220">
        <v>1294</v>
      </c>
      <c r="B220">
        <v>583006729</v>
      </c>
      <c r="C220">
        <v>38044</v>
      </c>
      <c r="D220" t="s">
        <v>45</v>
      </c>
      <c r="E220" t="s">
        <v>424</v>
      </c>
      <c r="F220" t="s">
        <v>46</v>
      </c>
      <c r="G220" t="s">
        <v>47</v>
      </c>
      <c r="H220" t="s">
        <v>17</v>
      </c>
      <c r="I220" t="s">
        <v>18</v>
      </c>
      <c r="J220" t="s">
        <v>19</v>
      </c>
      <c r="K220">
        <v>144</v>
      </c>
      <c r="L220">
        <v>0</v>
      </c>
      <c r="M220" t="s">
        <v>20</v>
      </c>
      <c r="N220">
        <f>L220/500</f>
        <v>0</v>
      </c>
      <c r="P220">
        <f>K220/800</f>
        <v>0.18</v>
      </c>
    </row>
    <row r="221" spans="1:16" x14ac:dyDescent="0.35">
      <c r="A221">
        <v>1330</v>
      </c>
      <c r="B221">
        <v>583006794</v>
      </c>
      <c r="C221">
        <v>38135</v>
      </c>
      <c r="D221" t="s">
        <v>45</v>
      </c>
      <c r="E221" t="s">
        <v>434</v>
      </c>
      <c r="F221" t="s">
        <v>46</v>
      </c>
      <c r="G221" t="s">
        <v>47</v>
      </c>
      <c r="H221" t="s">
        <v>17</v>
      </c>
      <c r="I221" t="s">
        <v>18</v>
      </c>
      <c r="J221" t="s">
        <v>19</v>
      </c>
      <c r="K221">
        <v>90</v>
      </c>
      <c r="L221">
        <v>0</v>
      </c>
      <c r="M221" t="s">
        <v>20</v>
      </c>
      <c r="N221">
        <f>L221/500</f>
        <v>0</v>
      </c>
      <c r="P221">
        <f>K221/800</f>
        <v>0.1125</v>
      </c>
    </row>
    <row r="222" spans="1:16" x14ac:dyDescent="0.35">
      <c r="A222">
        <v>1333</v>
      </c>
      <c r="B222">
        <v>583006793</v>
      </c>
      <c r="C222">
        <v>38134</v>
      </c>
      <c r="D222" t="s">
        <v>45</v>
      </c>
      <c r="E222" t="s">
        <v>434</v>
      </c>
      <c r="F222" t="s">
        <v>46</v>
      </c>
      <c r="G222" t="s">
        <v>47</v>
      </c>
      <c r="H222" t="s">
        <v>17</v>
      </c>
      <c r="I222" t="s">
        <v>18</v>
      </c>
      <c r="J222" t="s">
        <v>19</v>
      </c>
      <c r="K222">
        <v>144</v>
      </c>
      <c r="L222">
        <v>0</v>
      </c>
      <c r="M222" t="s">
        <v>20</v>
      </c>
      <c r="N222">
        <f>L222/500</f>
        <v>0</v>
      </c>
      <c r="P222">
        <f>K222/800</f>
        <v>0.18</v>
      </c>
    </row>
    <row r="223" spans="1:16" x14ac:dyDescent="0.35">
      <c r="A223">
        <v>1335</v>
      </c>
      <c r="B223">
        <v>583006792</v>
      </c>
      <c r="C223">
        <v>38133</v>
      </c>
      <c r="D223" t="s">
        <v>45</v>
      </c>
      <c r="E223" t="s">
        <v>434</v>
      </c>
      <c r="F223" t="s">
        <v>46</v>
      </c>
      <c r="G223" t="s">
        <v>47</v>
      </c>
      <c r="H223" t="s">
        <v>17</v>
      </c>
      <c r="I223" t="s">
        <v>18</v>
      </c>
      <c r="J223" t="s">
        <v>19</v>
      </c>
      <c r="K223">
        <v>144</v>
      </c>
      <c r="L223">
        <v>0</v>
      </c>
      <c r="M223" t="s">
        <v>20</v>
      </c>
      <c r="N223">
        <f>L223/500</f>
        <v>0</v>
      </c>
      <c r="P223">
        <f>K223/800</f>
        <v>0.18</v>
      </c>
    </row>
    <row r="224" spans="1:16" x14ac:dyDescent="0.35">
      <c r="A224">
        <v>95</v>
      </c>
      <c r="B224">
        <v>583005166</v>
      </c>
      <c r="C224">
        <v>35904</v>
      </c>
      <c r="D224" t="s">
        <v>144</v>
      </c>
      <c r="E224" t="s">
        <v>126</v>
      </c>
      <c r="F224" t="s">
        <v>145</v>
      </c>
      <c r="G224" t="s">
        <v>146</v>
      </c>
      <c r="H224" t="s">
        <v>17</v>
      </c>
      <c r="I224" t="s">
        <v>18</v>
      </c>
      <c r="J224" t="s">
        <v>19</v>
      </c>
      <c r="K224">
        <v>90</v>
      </c>
      <c r="L224">
        <v>0</v>
      </c>
      <c r="M224" t="s">
        <v>20</v>
      </c>
      <c r="N224">
        <f>L224/500</f>
        <v>0</v>
      </c>
      <c r="P224">
        <f>K224/800</f>
        <v>0.1125</v>
      </c>
    </row>
    <row r="225" spans="1:16" x14ac:dyDescent="0.35">
      <c r="A225">
        <v>165</v>
      </c>
      <c r="B225">
        <v>583005211</v>
      </c>
      <c r="C225">
        <v>35968</v>
      </c>
      <c r="D225" t="s">
        <v>144</v>
      </c>
      <c r="E225" t="s">
        <v>177</v>
      </c>
      <c r="F225" t="s">
        <v>145</v>
      </c>
      <c r="G225" t="s">
        <v>146</v>
      </c>
      <c r="H225" t="s">
        <v>17</v>
      </c>
      <c r="I225" t="s">
        <v>18</v>
      </c>
      <c r="J225" t="s">
        <v>19</v>
      </c>
      <c r="K225">
        <v>66</v>
      </c>
      <c r="L225">
        <v>0</v>
      </c>
      <c r="M225" t="s">
        <v>20</v>
      </c>
      <c r="N225">
        <f>L225/500</f>
        <v>0</v>
      </c>
      <c r="P225">
        <f>K225/800</f>
        <v>8.2500000000000004E-2</v>
      </c>
    </row>
    <row r="226" spans="1:16" x14ac:dyDescent="0.35">
      <c r="A226">
        <v>166</v>
      </c>
      <c r="B226">
        <v>583005210</v>
      </c>
      <c r="C226">
        <v>35967</v>
      </c>
      <c r="D226" t="s">
        <v>144</v>
      </c>
      <c r="E226" t="s">
        <v>177</v>
      </c>
      <c r="F226" t="s">
        <v>145</v>
      </c>
      <c r="G226" t="s">
        <v>146</v>
      </c>
      <c r="H226" t="s">
        <v>17</v>
      </c>
      <c r="I226" t="s">
        <v>18</v>
      </c>
      <c r="J226" t="s">
        <v>19</v>
      </c>
      <c r="K226">
        <v>42</v>
      </c>
      <c r="L226">
        <v>0</v>
      </c>
      <c r="M226" t="s">
        <v>20</v>
      </c>
      <c r="N226">
        <f>L226/500</f>
        <v>0</v>
      </c>
      <c r="P226">
        <f>K226/800</f>
        <v>5.2499999999999998E-2</v>
      </c>
    </row>
    <row r="227" spans="1:16" x14ac:dyDescent="0.35">
      <c r="A227">
        <v>260</v>
      </c>
      <c r="B227">
        <v>583005382</v>
      </c>
      <c r="C227">
        <v>36203</v>
      </c>
      <c r="D227" t="s">
        <v>144</v>
      </c>
      <c r="E227" t="s">
        <v>237</v>
      </c>
      <c r="F227" t="s">
        <v>145</v>
      </c>
      <c r="G227" t="s">
        <v>146</v>
      </c>
      <c r="H227" t="s">
        <v>17</v>
      </c>
      <c r="I227" t="s">
        <v>18</v>
      </c>
      <c r="J227" t="s">
        <v>19</v>
      </c>
      <c r="K227">
        <v>69</v>
      </c>
      <c r="L227">
        <v>0</v>
      </c>
      <c r="M227" t="s">
        <v>20</v>
      </c>
      <c r="N227">
        <f>L227/500</f>
        <v>0</v>
      </c>
      <c r="P227">
        <f>K227/800</f>
        <v>8.6249999999999993E-2</v>
      </c>
    </row>
    <row r="228" spans="1:16" x14ac:dyDescent="0.35">
      <c r="A228">
        <v>273</v>
      </c>
      <c r="B228">
        <v>583005352</v>
      </c>
      <c r="C228">
        <v>36165</v>
      </c>
      <c r="D228" t="s">
        <v>144</v>
      </c>
      <c r="E228" t="s">
        <v>237</v>
      </c>
      <c r="F228" t="s">
        <v>145</v>
      </c>
      <c r="G228" t="s">
        <v>146</v>
      </c>
      <c r="H228" t="s">
        <v>17</v>
      </c>
      <c r="I228" t="s">
        <v>18</v>
      </c>
      <c r="J228" t="s">
        <v>19</v>
      </c>
      <c r="K228">
        <v>180</v>
      </c>
      <c r="L228">
        <v>0</v>
      </c>
      <c r="M228" t="s">
        <v>20</v>
      </c>
      <c r="N228">
        <f>L228/500</f>
        <v>0</v>
      </c>
      <c r="P228">
        <f>K228/800</f>
        <v>0.22500000000000001</v>
      </c>
    </row>
    <row r="229" spans="1:16" x14ac:dyDescent="0.35">
      <c r="A229">
        <v>540</v>
      </c>
      <c r="B229">
        <v>583005787</v>
      </c>
      <c r="C229">
        <v>36773</v>
      </c>
      <c r="D229" t="s">
        <v>144</v>
      </c>
      <c r="E229" t="s">
        <v>310</v>
      </c>
      <c r="F229" t="s">
        <v>145</v>
      </c>
      <c r="G229" t="s">
        <v>146</v>
      </c>
      <c r="H229" t="s">
        <v>17</v>
      </c>
      <c r="I229" t="s">
        <v>18</v>
      </c>
      <c r="J229" t="s">
        <v>19</v>
      </c>
      <c r="K229">
        <v>33</v>
      </c>
      <c r="L229">
        <v>0</v>
      </c>
      <c r="M229" t="s">
        <v>20</v>
      </c>
      <c r="N229">
        <f>L229/500</f>
        <v>0</v>
      </c>
      <c r="P229">
        <f>K229/800</f>
        <v>4.1250000000000002E-2</v>
      </c>
    </row>
    <row r="230" spans="1:16" x14ac:dyDescent="0.35">
      <c r="A230">
        <v>597</v>
      </c>
      <c r="B230">
        <v>583005849</v>
      </c>
      <c r="C230">
        <v>36860</v>
      </c>
      <c r="D230" t="s">
        <v>144</v>
      </c>
      <c r="E230" t="s">
        <v>318</v>
      </c>
      <c r="F230" t="s">
        <v>145</v>
      </c>
      <c r="G230" t="s">
        <v>146</v>
      </c>
      <c r="H230" t="s">
        <v>17</v>
      </c>
      <c r="I230" t="s">
        <v>18</v>
      </c>
      <c r="J230" t="s">
        <v>19</v>
      </c>
      <c r="K230">
        <v>105</v>
      </c>
      <c r="L230">
        <v>0</v>
      </c>
      <c r="M230" t="s">
        <v>20</v>
      </c>
      <c r="N230">
        <f>L230/500</f>
        <v>0</v>
      </c>
      <c r="P230">
        <f>K230/800</f>
        <v>0.13125000000000001</v>
      </c>
    </row>
    <row r="231" spans="1:16" x14ac:dyDescent="0.35">
      <c r="A231">
        <v>920</v>
      </c>
      <c r="B231">
        <v>583006262</v>
      </c>
      <c r="C231">
        <v>37421</v>
      </c>
      <c r="D231" t="s">
        <v>144</v>
      </c>
      <c r="E231" t="s">
        <v>367</v>
      </c>
      <c r="F231" t="s">
        <v>145</v>
      </c>
      <c r="G231" t="s">
        <v>146</v>
      </c>
      <c r="H231" t="s">
        <v>17</v>
      </c>
      <c r="I231" t="s">
        <v>18</v>
      </c>
      <c r="J231" t="s">
        <v>19</v>
      </c>
      <c r="K231">
        <v>57</v>
      </c>
      <c r="L231">
        <v>0</v>
      </c>
      <c r="M231" t="s">
        <v>20</v>
      </c>
      <c r="N231">
        <f>L231/500</f>
        <v>0</v>
      </c>
      <c r="P231">
        <f>K231/800</f>
        <v>7.1249999999999994E-2</v>
      </c>
    </row>
    <row r="232" spans="1:16" x14ac:dyDescent="0.35">
      <c r="A232">
        <v>923</v>
      </c>
      <c r="B232">
        <v>583006210</v>
      </c>
      <c r="C232">
        <v>37349</v>
      </c>
      <c r="D232" t="s">
        <v>144</v>
      </c>
      <c r="E232" t="s">
        <v>367</v>
      </c>
      <c r="F232" t="s">
        <v>145</v>
      </c>
      <c r="G232" t="s">
        <v>146</v>
      </c>
      <c r="H232" t="s">
        <v>17</v>
      </c>
      <c r="I232" t="s">
        <v>18</v>
      </c>
      <c r="J232" t="s">
        <v>19</v>
      </c>
      <c r="K232">
        <v>15</v>
      </c>
      <c r="L232">
        <v>0</v>
      </c>
      <c r="M232" t="s">
        <v>20</v>
      </c>
      <c r="N232">
        <f>L232/500</f>
        <v>0</v>
      </c>
      <c r="P232">
        <f>K232/800</f>
        <v>1.8749999999999999E-2</v>
      </c>
    </row>
    <row r="233" spans="1:16" x14ac:dyDescent="0.35">
      <c r="A233">
        <v>997</v>
      </c>
      <c r="B233">
        <v>583006298</v>
      </c>
      <c r="C233">
        <v>37467</v>
      </c>
      <c r="D233" t="s">
        <v>144</v>
      </c>
      <c r="E233" t="s">
        <v>386</v>
      </c>
      <c r="F233" t="s">
        <v>145</v>
      </c>
      <c r="G233" t="s">
        <v>146</v>
      </c>
      <c r="H233" t="s">
        <v>17</v>
      </c>
      <c r="I233" t="s">
        <v>18</v>
      </c>
      <c r="J233" t="s">
        <v>19</v>
      </c>
      <c r="K233">
        <v>45</v>
      </c>
      <c r="L233">
        <v>0</v>
      </c>
      <c r="M233" t="s">
        <v>20</v>
      </c>
      <c r="N233">
        <f>L233/500</f>
        <v>0</v>
      </c>
      <c r="P233">
        <f>K233/800</f>
        <v>5.6250000000000001E-2</v>
      </c>
    </row>
    <row r="234" spans="1:16" x14ac:dyDescent="0.35">
      <c r="A234">
        <v>186</v>
      </c>
      <c r="B234">
        <v>583005244</v>
      </c>
      <c r="C234">
        <v>36014</v>
      </c>
      <c r="D234" t="s">
        <v>104</v>
      </c>
      <c r="E234" t="s">
        <v>200</v>
      </c>
      <c r="F234" t="s">
        <v>105</v>
      </c>
      <c r="G234" t="s">
        <v>106</v>
      </c>
      <c r="H234" t="s">
        <v>17</v>
      </c>
      <c r="I234" t="s">
        <v>63</v>
      </c>
      <c r="J234" t="s">
        <v>64</v>
      </c>
      <c r="K234">
        <v>16</v>
      </c>
      <c r="L234">
        <v>28.32</v>
      </c>
      <c r="M234" t="s">
        <v>20</v>
      </c>
      <c r="N234">
        <f>L234/500</f>
        <v>5.6640000000000003E-2</v>
      </c>
    </row>
    <row r="235" spans="1:16" x14ac:dyDescent="0.35">
      <c r="A235">
        <v>982</v>
      </c>
      <c r="B235">
        <v>583006383</v>
      </c>
      <c r="C235">
        <v>37576</v>
      </c>
      <c r="D235" t="s">
        <v>104</v>
      </c>
      <c r="E235" t="s">
        <v>386</v>
      </c>
      <c r="F235" t="s">
        <v>105</v>
      </c>
      <c r="G235" t="s">
        <v>106</v>
      </c>
      <c r="H235" t="s">
        <v>17</v>
      </c>
      <c r="I235" t="s">
        <v>63</v>
      </c>
      <c r="J235" t="s">
        <v>64</v>
      </c>
      <c r="K235">
        <v>40</v>
      </c>
      <c r="L235">
        <v>66</v>
      </c>
      <c r="M235" t="s">
        <v>20</v>
      </c>
      <c r="N235">
        <f>L235/500</f>
        <v>0.13200000000000001</v>
      </c>
    </row>
    <row r="236" spans="1:16" x14ac:dyDescent="0.35">
      <c r="A236">
        <v>1014</v>
      </c>
      <c r="B236">
        <v>583006470</v>
      </c>
      <c r="C236">
        <v>37684</v>
      </c>
      <c r="D236" t="s">
        <v>104</v>
      </c>
      <c r="E236" t="s">
        <v>393</v>
      </c>
      <c r="F236" t="s">
        <v>105</v>
      </c>
      <c r="G236" t="s">
        <v>106</v>
      </c>
      <c r="H236" t="s">
        <v>17</v>
      </c>
      <c r="I236" t="s">
        <v>63</v>
      </c>
      <c r="J236" t="s">
        <v>64</v>
      </c>
      <c r="K236">
        <v>220</v>
      </c>
      <c r="L236">
        <v>389.4</v>
      </c>
      <c r="M236" t="s">
        <v>20</v>
      </c>
      <c r="N236">
        <f>L236/500</f>
        <v>0.77879999999999994</v>
      </c>
    </row>
    <row r="237" spans="1:16" x14ac:dyDescent="0.35">
      <c r="A237">
        <v>64</v>
      </c>
      <c r="B237">
        <v>583005108</v>
      </c>
      <c r="C237">
        <v>35828</v>
      </c>
      <c r="D237" t="s">
        <v>104</v>
      </c>
      <c r="E237" t="s">
        <v>81</v>
      </c>
      <c r="F237" t="s">
        <v>105</v>
      </c>
      <c r="G237" t="s">
        <v>106</v>
      </c>
      <c r="H237" t="s">
        <v>17</v>
      </c>
      <c r="I237" t="s">
        <v>18</v>
      </c>
      <c r="J237" t="s">
        <v>19</v>
      </c>
      <c r="K237">
        <v>108</v>
      </c>
      <c r="L237">
        <v>0</v>
      </c>
      <c r="M237" t="s">
        <v>20</v>
      </c>
      <c r="N237">
        <f>L237/500</f>
        <v>0</v>
      </c>
      <c r="P237">
        <f>K237/800</f>
        <v>0.13500000000000001</v>
      </c>
    </row>
    <row r="238" spans="1:16" x14ac:dyDescent="0.35">
      <c r="A238">
        <v>84</v>
      </c>
      <c r="B238">
        <v>583005160</v>
      </c>
      <c r="C238">
        <v>35898</v>
      </c>
      <c r="D238" t="s">
        <v>104</v>
      </c>
      <c r="E238" t="s">
        <v>126</v>
      </c>
      <c r="F238" t="s">
        <v>105</v>
      </c>
      <c r="G238" t="s">
        <v>106</v>
      </c>
      <c r="H238" t="s">
        <v>17</v>
      </c>
      <c r="I238" t="s">
        <v>18</v>
      </c>
      <c r="J238" t="s">
        <v>19</v>
      </c>
      <c r="K238">
        <v>45</v>
      </c>
      <c r="L238">
        <v>0</v>
      </c>
      <c r="M238" t="s">
        <v>20</v>
      </c>
      <c r="N238">
        <f>L238/500</f>
        <v>0</v>
      </c>
      <c r="P238">
        <f>K238/800</f>
        <v>5.6250000000000001E-2</v>
      </c>
    </row>
    <row r="239" spans="1:16" x14ac:dyDescent="0.35">
      <c r="A239">
        <v>1049</v>
      </c>
      <c r="B239">
        <v>583006414</v>
      </c>
      <c r="C239">
        <v>37622</v>
      </c>
      <c r="D239" t="s">
        <v>104</v>
      </c>
      <c r="E239" t="s">
        <v>393</v>
      </c>
      <c r="F239" t="s">
        <v>105</v>
      </c>
      <c r="G239" t="s">
        <v>106</v>
      </c>
      <c r="H239" t="s">
        <v>17</v>
      </c>
      <c r="I239" t="s">
        <v>18</v>
      </c>
      <c r="J239" t="s">
        <v>19</v>
      </c>
      <c r="K239">
        <v>12</v>
      </c>
      <c r="L239">
        <v>0</v>
      </c>
      <c r="M239" t="s">
        <v>20</v>
      </c>
      <c r="N239">
        <f>L239/500</f>
        <v>0</v>
      </c>
      <c r="P239">
        <f>K239/800</f>
        <v>1.4999999999999999E-2</v>
      </c>
    </row>
    <row r="240" spans="1:16" x14ac:dyDescent="0.35">
      <c r="A240">
        <v>39</v>
      </c>
      <c r="B240">
        <v>583005043</v>
      </c>
      <c r="C240">
        <v>35737</v>
      </c>
      <c r="D240" t="s">
        <v>75</v>
      </c>
      <c r="E240" t="s">
        <v>14</v>
      </c>
      <c r="F240" t="s">
        <v>76</v>
      </c>
      <c r="G240" t="s">
        <v>77</v>
      </c>
      <c r="H240" t="s">
        <v>17</v>
      </c>
      <c r="I240" t="s">
        <v>18</v>
      </c>
      <c r="J240" t="s">
        <v>19</v>
      </c>
      <c r="K240">
        <v>21</v>
      </c>
      <c r="L240">
        <v>0</v>
      </c>
      <c r="M240" t="s">
        <v>20</v>
      </c>
      <c r="N240">
        <f>L240/500</f>
        <v>0</v>
      </c>
      <c r="P240">
        <f>K240/800</f>
        <v>2.6249999999999999E-2</v>
      </c>
    </row>
    <row r="241" spans="1:16" x14ac:dyDescent="0.35">
      <c r="A241">
        <v>339</v>
      </c>
      <c r="B241">
        <v>583005468</v>
      </c>
      <c r="C241">
        <v>36326</v>
      </c>
      <c r="D241" t="s">
        <v>75</v>
      </c>
      <c r="E241" t="s">
        <v>266</v>
      </c>
      <c r="F241" t="s">
        <v>76</v>
      </c>
      <c r="G241" t="s">
        <v>77</v>
      </c>
      <c r="H241" t="s">
        <v>17</v>
      </c>
      <c r="I241" t="s">
        <v>18</v>
      </c>
      <c r="J241" t="s">
        <v>19</v>
      </c>
      <c r="K241">
        <v>12</v>
      </c>
      <c r="L241">
        <v>0</v>
      </c>
      <c r="M241" t="s">
        <v>20</v>
      </c>
      <c r="N241">
        <f>L241/500</f>
        <v>0</v>
      </c>
      <c r="P241">
        <f>K241/800</f>
        <v>1.4999999999999999E-2</v>
      </c>
    </row>
    <row r="242" spans="1:16" x14ac:dyDescent="0.35">
      <c r="A242">
        <v>656</v>
      </c>
      <c r="B242">
        <v>583005918</v>
      </c>
      <c r="C242">
        <v>36970</v>
      </c>
      <c r="D242" t="s">
        <v>75</v>
      </c>
      <c r="E242" t="s">
        <v>324</v>
      </c>
      <c r="F242" t="s">
        <v>76</v>
      </c>
      <c r="G242" t="s">
        <v>77</v>
      </c>
      <c r="H242" t="s">
        <v>17</v>
      </c>
      <c r="I242" t="s">
        <v>18</v>
      </c>
      <c r="J242" t="s">
        <v>19</v>
      </c>
      <c r="K242">
        <v>12</v>
      </c>
      <c r="L242">
        <v>0</v>
      </c>
      <c r="M242" t="s">
        <v>20</v>
      </c>
      <c r="N242">
        <f>L242/500</f>
        <v>0</v>
      </c>
      <c r="P242">
        <f>K242/800</f>
        <v>1.4999999999999999E-2</v>
      </c>
    </row>
    <row r="243" spans="1:16" x14ac:dyDescent="0.35">
      <c r="A243">
        <v>752</v>
      </c>
      <c r="B243">
        <v>583006083</v>
      </c>
      <c r="C243">
        <v>37185</v>
      </c>
      <c r="D243" t="s">
        <v>75</v>
      </c>
      <c r="E243" t="s">
        <v>347</v>
      </c>
      <c r="F243" t="s">
        <v>76</v>
      </c>
      <c r="G243" t="s">
        <v>77</v>
      </c>
      <c r="H243" t="s">
        <v>17</v>
      </c>
      <c r="I243" t="s">
        <v>18</v>
      </c>
      <c r="J243" t="s">
        <v>19</v>
      </c>
      <c r="K243">
        <v>135</v>
      </c>
      <c r="L243">
        <v>0</v>
      </c>
      <c r="M243" t="s">
        <v>20</v>
      </c>
      <c r="N243">
        <f>L243/500</f>
        <v>0</v>
      </c>
      <c r="P243">
        <f>K243/800</f>
        <v>0.16875000000000001</v>
      </c>
    </row>
    <row r="244" spans="1:16" x14ac:dyDescent="0.35">
      <c r="A244">
        <v>1032</v>
      </c>
      <c r="B244">
        <v>583006412</v>
      </c>
      <c r="C244">
        <v>37620</v>
      </c>
      <c r="D244" t="s">
        <v>75</v>
      </c>
      <c r="E244" t="s">
        <v>393</v>
      </c>
      <c r="F244" t="s">
        <v>76</v>
      </c>
      <c r="G244" t="s">
        <v>77</v>
      </c>
      <c r="H244" t="s">
        <v>17</v>
      </c>
      <c r="I244" t="s">
        <v>18</v>
      </c>
      <c r="J244" t="s">
        <v>19</v>
      </c>
      <c r="K244">
        <v>9</v>
      </c>
      <c r="L244">
        <v>0</v>
      </c>
      <c r="M244" t="s">
        <v>20</v>
      </c>
      <c r="N244">
        <f>L244/500</f>
        <v>0</v>
      </c>
      <c r="P244">
        <f>K244/800</f>
        <v>1.125E-2</v>
      </c>
    </row>
    <row r="245" spans="1:16" x14ac:dyDescent="0.35">
      <c r="A245">
        <v>266</v>
      </c>
      <c r="B245">
        <v>583005366</v>
      </c>
      <c r="C245">
        <v>36186</v>
      </c>
      <c r="D245" t="s">
        <v>250</v>
      </c>
      <c r="E245" t="s">
        <v>237</v>
      </c>
      <c r="F245" t="s">
        <v>251</v>
      </c>
      <c r="G245" t="s">
        <v>252</v>
      </c>
      <c r="H245" t="s">
        <v>17</v>
      </c>
      <c r="I245" t="s">
        <v>18</v>
      </c>
      <c r="J245" t="s">
        <v>19</v>
      </c>
      <c r="K245">
        <v>45</v>
      </c>
      <c r="L245">
        <v>0</v>
      </c>
      <c r="M245" t="s">
        <v>20</v>
      </c>
      <c r="N245">
        <f>L245/500</f>
        <v>0</v>
      </c>
      <c r="P245">
        <f>K245/800</f>
        <v>5.6250000000000001E-2</v>
      </c>
    </row>
    <row r="246" spans="1:16" x14ac:dyDescent="0.35">
      <c r="A246">
        <v>392</v>
      </c>
      <c r="B246">
        <v>583005552</v>
      </c>
      <c r="C246">
        <v>36442</v>
      </c>
      <c r="D246" t="s">
        <v>250</v>
      </c>
      <c r="E246" t="s">
        <v>270</v>
      </c>
      <c r="F246" t="s">
        <v>251</v>
      </c>
      <c r="G246" t="s">
        <v>252</v>
      </c>
      <c r="H246" t="s">
        <v>17</v>
      </c>
      <c r="I246" t="s">
        <v>18</v>
      </c>
      <c r="J246" t="s">
        <v>19</v>
      </c>
      <c r="K246">
        <v>12</v>
      </c>
      <c r="L246">
        <v>0</v>
      </c>
      <c r="M246" t="s">
        <v>20</v>
      </c>
      <c r="N246">
        <f>L246/500</f>
        <v>0</v>
      </c>
      <c r="P246">
        <f>K246/800</f>
        <v>1.4999999999999999E-2</v>
      </c>
    </row>
    <row r="247" spans="1:16" x14ac:dyDescent="0.35">
      <c r="A247">
        <v>393</v>
      </c>
      <c r="B247">
        <v>583005551</v>
      </c>
      <c r="C247">
        <v>36441</v>
      </c>
      <c r="D247" t="s">
        <v>250</v>
      </c>
      <c r="E247" t="s">
        <v>270</v>
      </c>
      <c r="F247" t="s">
        <v>251</v>
      </c>
      <c r="G247" t="s">
        <v>252</v>
      </c>
      <c r="H247" t="s">
        <v>17</v>
      </c>
      <c r="I247" t="s">
        <v>18</v>
      </c>
      <c r="J247" t="s">
        <v>19</v>
      </c>
      <c r="K247">
        <v>24</v>
      </c>
      <c r="L247">
        <v>0</v>
      </c>
      <c r="M247" t="s">
        <v>20</v>
      </c>
      <c r="N247">
        <f>L247/500</f>
        <v>0</v>
      </c>
      <c r="P247">
        <f>K247/800</f>
        <v>0.03</v>
      </c>
    </row>
    <row r="248" spans="1:16" x14ac:dyDescent="0.35">
      <c r="A248">
        <v>465</v>
      </c>
      <c r="B248">
        <v>583005735</v>
      </c>
      <c r="C248">
        <v>36693</v>
      </c>
      <c r="D248" t="s">
        <v>250</v>
      </c>
      <c r="E248" t="s">
        <v>300</v>
      </c>
      <c r="F248" t="s">
        <v>251</v>
      </c>
      <c r="G248" t="s">
        <v>252</v>
      </c>
      <c r="H248" t="s">
        <v>17</v>
      </c>
      <c r="I248" t="s">
        <v>18</v>
      </c>
      <c r="J248" t="s">
        <v>19</v>
      </c>
      <c r="K248">
        <v>15</v>
      </c>
      <c r="L248">
        <v>0</v>
      </c>
      <c r="M248" t="s">
        <v>20</v>
      </c>
      <c r="N248">
        <f>L248/500</f>
        <v>0</v>
      </c>
      <c r="P248">
        <f>K248/800</f>
        <v>1.8749999999999999E-2</v>
      </c>
    </row>
    <row r="249" spans="1:16" x14ac:dyDescent="0.35">
      <c r="A249">
        <v>594</v>
      </c>
      <c r="B249">
        <v>583005839</v>
      </c>
      <c r="C249">
        <v>36847</v>
      </c>
      <c r="D249" t="s">
        <v>250</v>
      </c>
      <c r="E249" t="s">
        <v>318</v>
      </c>
      <c r="F249" t="s">
        <v>251</v>
      </c>
      <c r="G249" t="s">
        <v>252</v>
      </c>
      <c r="H249" t="s">
        <v>17</v>
      </c>
      <c r="I249" t="s">
        <v>18</v>
      </c>
      <c r="J249" t="s">
        <v>19</v>
      </c>
      <c r="K249">
        <v>63</v>
      </c>
      <c r="L249">
        <v>0</v>
      </c>
      <c r="M249" t="s">
        <v>20</v>
      </c>
      <c r="N249">
        <f>L249/500</f>
        <v>0</v>
      </c>
      <c r="P249">
        <f>K249/800</f>
        <v>7.8750000000000001E-2</v>
      </c>
    </row>
    <row r="250" spans="1:16" x14ac:dyDescent="0.35">
      <c r="A250">
        <v>653</v>
      </c>
      <c r="B250">
        <v>583005916</v>
      </c>
      <c r="C250">
        <v>36968</v>
      </c>
      <c r="D250" t="s">
        <v>250</v>
      </c>
      <c r="E250" t="s">
        <v>324</v>
      </c>
      <c r="F250" t="s">
        <v>251</v>
      </c>
      <c r="G250" t="s">
        <v>252</v>
      </c>
      <c r="H250" t="s">
        <v>17</v>
      </c>
      <c r="I250" t="s">
        <v>18</v>
      </c>
      <c r="J250" t="s">
        <v>19</v>
      </c>
      <c r="K250">
        <v>33</v>
      </c>
      <c r="L250">
        <v>0</v>
      </c>
      <c r="M250" t="s">
        <v>20</v>
      </c>
      <c r="N250">
        <f>L250/500</f>
        <v>0</v>
      </c>
      <c r="P250">
        <f>K250/800</f>
        <v>4.1250000000000002E-2</v>
      </c>
    </row>
    <row r="251" spans="1:16" x14ac:dyDescent="0.35">
      <c r="A251">
        <v>466</v>
      </c>
      <c r="B251">
        <v>583005711</v>
      </c>
      <c r="C251">
        <v>36667</v>
      </c>
      <c r="D251" t="s">
        <v>304</v>
      </c>
      <c r="E251" t="s">
        <v>300</v>
      </c>
      <c r="F251" t="s">
        <v>305</v>
      </c>
      <c r="G251" t="s">
        <v>306</v>
      </c>
      <c r="H251" t="s">
        <v>17</v>
      </c>
      <c r="I251" t="s">
        <v>18</v>
      </c>
      <c r="J251" t="s">
        <v>19</v>
      </c>
      <c r="K251">
        <v>99</v>
      </c>
      <c r="L251">
        <v>0</v>
      </c>
      <c r="M251" t="s">
        <v>20</v>
      </c>
      <c r="N251">
        <f>L251/500</f>
        <v>0</v>
      </c>
      <c r="P251">
        <f>K251/800</f>
        <v>0.12375</v>
      </c>
    </row>
    <row r="252" spans="1:16" x14ac:dyDescent="0.35">
      <c r="A252">
        <v>872</v>
      </c>
      <c r="B252">
        <v>583006214</v>
      </c>
      <c r="C252">
        <v>37353</v>
      </c>
      <c r="D252" t="s">
        <v>368</v>
      </c>
      <c r="E252" t="s">
        <v>367</v>
      </c>
      <c r="F252" t="s">
        <v>369</v>
      </c>
      <c r="G252" t="s">
        <v>370</v>
      </c>
      <c r="H252" t="s">
        <v>17</v>
      </c>
      <c r="I252" t="s">
        <v>18</v>
      </c>
      <c r="J252" t="s">
        <v>19</v>
      </c>
      <c r="K252">
        <v>45</v>
      </c>
      <c r="L252">
        <v>0</v>
      </c>
      <c r="M252" t="s">
        <v>20</v>
      </c>
      <c r="N252">
        <f>L252/500</f>
        <v>0</v>
      </c>
      <c r="P252">
        <f>K252/800</f>
        <v>5.6250000000000001E-2</v>
      </c>
    </row>
    <row r="253" spans="1:16" x14ac:dyDescent="0.35">
      <c r="A253">
        <v>365</v>
      </c>
      <c r="B253">
        <v>583005487</v>
      </c>
      <c r="C253">
        <v>36349</v>
      </c>
      <c r="D253" t="s">
        <v>65</v>
      </c>
      <c r="E253" t="s">
        <v>266</v>
      </c>
      <c r="F253" t="s">
        <v>66</v>
      </c>
      <c r="G253" t="s">
        <v>67</v>
      </c>
      <c r="H253" t="s">
        <v>17</v>
      </c>
      <c r="I253" t="s">
        <v>63</v>
      </c>
      <c r="J253" t="s">
        <v>64</v>
      </c>
      <c r="K253">
        <v>29</v>
      </c>
      <c r="L253">
        <v>51.33</v>
      </c>
      <c r="M253" t="s">
        <v>20</v>
      </c>
      <c r="N253">
        <f>L253/500</f>
        <v>0.10266</v>
      </c>
    </row>
    <row r="254" spans="1:16" x14ac:dyDescent="0.35">
      <c r="A254">
        <v>981</v>
      </c>
      <c r="B254">
        <v>583006373</v>
      </c>
      <c r="C254">
        <v>37564</v>
      </c>
      <c r="D254" t="s">
        <v>65</v>
      </c>
      <c r="E254" t="s">
        <v>386</v>
      </c>
      <c r="F254" t="s">
        <v>66</v>
      </c>
      <c r="G254" t="s">
        <v>67</v>
      </c>
      <c r="H254" t="s">
        <v>17</v>
      </c>
      <c r="I254" t="s">
        <v>63</v>
      </c>
      <c r="J254" t="s">
        <v>64</v>
      </c>
      <c r="K254">
        <v>42</v>
      </c>
      <c r="L254">
        <v>74.34</v>
      </c>
      <c r="M254" t="s">
        <v>20</v>
      </c>
      <c r="N254">
        <f>L254/500</f>
        <v>0.14868000000000001</v>
      </c>
    </row>
    <row r="255" spans="1:16" x14ac:dyDescent="0.35">
      <c r="A255">
        <v>28</v>
      </c>
      <c r="B255">
        <v>583005040</v>
      </c>
      <c r="C255">
        <v>35734</v>
      </c>
      <c r="D255" t="s">
        <v>65</v>
      </c>
      <c r="E255" t="s">
        <v>14</v>
      </c>
      <c r="F255" t="s">
        <v>66</v>
      </c>
      <c r="G255" t="s">
        <v>67</v>
      </c>
      <c r="H255" t="s">
        <v>17</v>
      </c>
      <c r="I255" t="s">
        <v>18</v>
      </c>
      <c r="J255" t="s">
        <v>19</v>
      </c>
      <c r="K255">
        <v>30</v>
      </c>
      <c r="L255">
        <v>0</v>
      </c>
      <c r="M255" t="s">
        <v>20</v>
      </c>
      <c r="N255">
        <f>L255/500</f>
        <v>0</v>
      </c>
      <c r="P255">
        <f>K255/800</f>
        <v>3.7499999999999999E-2</v>
      </c>
    </row>
    <row r="256" spans="1:16" x14ac:dyDescent="0.35">
      <c r="A256">
        <v>69</v>
      </c>
      <c r="B256">
        <v>583005100</v>
      </c>
      <c r="C256">
        <v>35820</v>
      </c>
      <c r="D256" t="s">
        <v>65</v>
      </c>
      <c r="E256" t="s">
        <v>81</v>
      </c>
      <c r="F256" t="s">
        <v>66</v>
      </c>
      <c r="G256" t="s">
        <v>67</v>
      </c>
      <c r="H256" t="s">
        <v>17</v>
      </c>
      <c r="I256" t="s">
        <v>18</v>
      </c>
      <c r="J256" t="s">
        <v>19</v>
      </c>
      <c r="K256">
        <v>12</v>
      </c>
      <c r="L256">
        <v>0</v>
      </c>
      <c r="M256" t="s">
        <v>20</v>
      </c>
      <c r="N256">
        <f>L256/500</f>
        <v>0</v>
      </c>
      <c r="P256">
        <f>K256/800</f>
        <v>1.4999999999999999E-2</v>
      </c>
    </row>
    <row r="257" spans="1:16" x14ac:dyDescent="0.35">
      <c r="A257">
        <v>93</v>
      </c>
      <c r="B257">
        <v>583005157</v>
      </c>
      <c r="C257">
        <v>35895</v>
      </c>
      <c r="D257" t="s">
        <v>65</v>
      </c>
      <c r="E257" t="s">
        <v>126</v>
      </c>
      <c r="F257" t="s">
        <v>66</v>
      </c>
      <c r="G257" t="s">
        <v>67</v>
      </c>
      <c r="H257" t="s">
        <v>17</v>
      </c>
      <c r="I257" t="s">
        <v>18</v>
      </c>
      <c r="J257" t="s">
        <v>19</v>
      </c>
      <c r="K257">
        <v>24</v>
      </c>
      <c r="L257">
        <v>0</v>
      </c>
      <c r="M257" t="s">
        <v>20</v>
      </c>
      <c r="N257">
        <f>L257/500</f>
        <v>0</v>
      </c>
      <c r="P257">
        <f>K257/800</f>
        <v>0.03</v>
      </c>
    </row>
    <row r="258" spans="1:16" x14ac:dyDescent="0.35">
      <c r="A258">
        <v>192</v>
      </c>
      <c r="B258">
        <v>583005247</v>
      </c>
      <c r="C258">
        <v>36018</v>
      </c>
      <c r="D258" t="s">
        <v>65</v>
      </c>
      <c r="E258" t="s">
        <v>200</v>
      </c>
      <c r="F258" t="s">
        <v>66</v>
      </c>
      <c r="G258" t="s">
        <v>67</v>
      </c>
      <c r="H258" t="s">
        <v>17</v>
      </c>
      <c r="I258" t="s">
        <v>18</v>
      </c>
      <c r="J258" t="s">
        <v>19</v>
      </c>
      <c r="K258">
        <v>18</v>
      </c>
      <c r="L258">
        <v>0</v>
      </c>
      <c r="M258" t="s">
        <v>20</v>
      </c>
      <c r="N258">
        <f>L258/500</f>
        <v>0</v>
      </c>
      <c r="P258">
        <f>K258/800</f>
        <v>2.2499999999999999E-2</v>
      </c>
    </row>
    <row r="259" spans="1:16" x14ac:dyDescent="0.35">
      <c r="A259">
        <v>344</v>
      </c>
      <c r="B259">
        <v>583005476</v>
      </c>
      <c r="C259">
        <v>36334</v>
      </c>
      <c r="D259" t="s">
        <v>65</v>
      </c>
      <c r="E259" t="s">
        <v>266</v>
      </c>
      <c r="F259" t="s">
        <v>66</v>
      </c>
      <c r="G259" t="s">
        <v>67</v>
      </c>
      <c r="H259" t="s">
        <v>17</v>
      </c>
      <c r="I259" t="s">
        <v>18</v>
      </c>
      <c r="J259" t="s">
        <v>19</v>
      </c>
      <c r="K259">
        <v>24</v>
      </c>
      <c r="L259">
        <v>0</v>
      </c>
      <c r="M259" t="s">
        <v>20</v>
      </c>
      <c r="N259">
        <f>L259/500</f>
        <v>0</v>
      </c>
      <c r="P259">
        <f>K259/800</f>
        <v>0.03</v>
      </c>
    </row>
    <row r="260" spans="1:16" x14ac:dyDescent="0.35">
      <c r="A260">
        <v>413</v>
      </c>
      <c r="B260">
        <v>583005623</v>
      </c>
      <c r="C260">
        <v>36540</v>
      </c>
      <c r="D260" t="s">
        <v>65</v>
      </c>
      <c r="E260" t="s">
        <v>270</v>
      </c>
      <c r="F260" t="s">
        <v>66</v>
      </c>
      <c r="G260" t="s">
        <v>67</v>
      </c>
      <c r="H260" t="s">
        <v>17</v>
      </c>
      <c r="I260" t="s">
        <v>18</v>
      </c>
      <c r="J260" t="s">
        <v>19</v>
      </c>
      <c r="K260">
        <v>6</v>
      </c>
      <c r="L260">
        <v>0</v>
      </c>
      <c r="M260" t="s">
        <v>20</v>
      </c>
      <c r="N260">
        <f>L260/500</f>
        <v>0</v>
      </c>
      <c r="P260">
        <f>K260/800</f>
        <v>7.4999999999999997E-3</v>
      </c>
    </row>
    <row r="261" spans="1:16" x14ac:dyDescent="0.35">
      <c r="A261">
        <v>488</v>
      </c>
      <c r="B261">
        <v>583005718</v>
      </c>
      <c r="C261">
        <v>36674</v>
      </c>
      <c r="D261" t="s">
        <v>65</v>
      </c>
      <c r="E261" t="s">
        <v>300</v>
      </c>
      <c r="F261" t="s">
        <v>66</v>
      </c>
      <c r="G261" t="s">
        <v>67</v>
      </c>
      <c r="H261" t="s">
        <v>17</v>
      </c>
      <c r="I261" t="s">
        <v>18</v>
      </c>
      <c r="J261" t="s">
        <v>19</v>
      </c>
      <c r="K261">
        <v>12</v>
      </c>
      <c r="L261">
        <v>0</v>
      </c>
      <c r="M261" t="s">
        <v>20</v>
      </c>
      <c r="N261">
        <f>L261/500</f>
        <v>0</v>
      </c>
      <c r="P261">
        <f>K261/800</f>
        <v>1.4999999999999999E-2</v>
      </c>
    </row>
    <row r="262" spans="1:16" x14ac:dyDescent="0.35">
      <c r="A262">
        <v>584</v>
      </c>
      <c r="B262">
        <v>583005833</v>
      </c>
      <c r="C262">
        <v>36840</v>
      </c>
      <c r="D262" t="s">
        <v>65</v>
      </c>
      <c r="E262" t="s">
        <v>318</v>
      </c>
      <c r="F262" t="s">
        <v>66</v>
      </c>
      <c r="G262" t="s">
        <v>67</v>
      </c>
      <c r="H262" t="s">
        <v>17</v>
      </c>
      <c r="I262" t="s">
        <v>18</v>
      </c>
      <c r="J262" t="s">
        <v>19</v>
      </c>
      <c r="K262">
        <v>12</v>
      </c>
      <c r="L262">
        <v>0</v>
      </c>
      <c r="M262" t="s">
        <v>20</v>
      </c>
      <c r="N262">
        <f>L262/500</f>
        <v>0</v>
      </c>
      <c r="P262">
        <f>K262/800</f>
        <v>1.4999999999999999E-2</v>
      </c>
    </row>
    <row r="263" spans="1:16" x14ac:dyDescent="0.35">
      <c r="A263">
        <v>699</v>
      </c>
      <c r="B263">
        <v>583006004</v>
      </c>
      <c r="C263">
        <v>37084</v>
      </c>
      <c r="D263" t="s">
        <v>65</v>
      </c>
      <c r="E263" t="s">
        <v>343</v>
      </c>
      <c r="F263" t="s">
        <v>66</v>
      </c>
      <c r="G263" t="s">
        <v>67</v>
      </c>
      <c r="H263" t="s">
        <v>17</v>
      </c>
      <c r="I263" t="s">
        <v>18</v>
      </c>
      <c r="J263" t="s">
        <v>19</v>
      </c>
      <c r="K263">
        <v>12</v>
      </c>
      <c r="L263">
        <v>0</v>
      </c>
      <c r="M263" t="s">
        <v>20</v>
      </c>
      <c r="N263">
        <f>L263/500</f>
        <v>0</v>
      </c>
      <c r="P263">
        <f>K263/800</f>
        <v>1.4999999999999999E-2</v>
      </c>
    </row>
    <row r="264" spans="1:16" x14ac:dyDescent="0.35">
      <c r="A264">
        <v>700</v>
      </c>
      <c r="B264">
        <v>583006001</v>
      </c>
      <c r="C264">
        <v>37081</v>
      </c>
      <c r="D264" t="s">
        <v>65</v>
      </c>
      <c r="E264" t="s">
        <v>343</v>
      </c>
      <c r="F264" t="s">
        <v>66</v>
      </c>
      <c r="G264" t="s">
        <v>67</v>
      </c>
      <c r="H264" t="s">
        <v>17</v>
      </c>
      <c r="I264" t="s">
        <v>18</v>
      </c>
      <c r="J264" t="s">
        <v>19</v>
      </c>
      <c r="K264">
        <v>12</v>
      </c>
      <c r="L264">
        <v>0</v>
      </c>
      <c r="M264" t="s">
        <v>20</v>
      </c>
      <c r="N264">
        <f>L264/500</f>
        <v>0</v>
      </c>
      <c r="P264">
        <f>K264/800</f>
        <v>1.4999999999999999E-2</v>
      </c>
    </row>
    <row r="265" spans="1:16" x14ac:dyDescent="0.35">
      <c r="A265">
        <v>994</v>
      </c>
      <c r="B265">
        <v>583006316</v>
      </c>
      <c r="C265">
        <v>37490</v>
      </c>
      <c r="D265" t="s">
        <v>65</v>
      </c>
      <c r="E265" t="s">
        <v>386</v>
      </c>
      <c r="F265" t="s">
        <v>66</v>
      </c>
      <c r="G265" t="s">
        <v>67</v>
      </c>
      <c r="H265" t="s">
        <v>17</v>
      </c>
      <c r="I265" t="s">
        <v>18</v>
      </c>
      <c r="J265" t="s">
        <v>19</v>
      </c>
      <c r="K265">
        <v>21</v>
      </c>
      <c r="L265">
        <v>0</v>
      </c>
      <c r="M265" t="s">
        <v>20</v>
      </c>
      <c r="N265">
        <f>L265/500</f>
        <v>0</v>
      </c>
      <c r="P265">
        <f>K265/800</f>
        <v>2.6249999999999999E-2</v>
      </c>
    </row>
    <row r="266" spans="1:16" x14ac:dyDescent="0.35">
      <c r="A266">
        <v>1008</v>
      </c>
      <c r="B266">
        <v>583006456</v>
      </c>
      <c r="C266">
        <v>37669</v>
      </c>
      <c r="D266" t="s">
        <v>65</v>
      </c>
      <c r="E266" t="s">
        <v>393</v>
      </c>
      <c r="F266" t="s">
        <v>66</v>
      </c>
      <c r="G266" t="s">
        <v>67</v>
      </c>
      <c r="H266" t="s">
        <v>17</v>
      </c>
      <c r="I266" t="s">
        <v>18</v>
      </c>
      <c r="J266" t="s">
        <v>19</v>
      </c>
      <c r="K266">
        <v>90</v>
      </c>
      <c r="L266">
        <v>0</v>
      </c>
      <c r="M266" t="s">
        <v>20</v>
      </c>
      <c r="N266">
        <f>L266/500</f>
        <v>0</v>
      </c>
      <c r="P266">
        <f>K266/800</f>
        <v>0.1125</v>
      </c>
    </row>
    <row r="267" spans="1:16" x14ac:dyDescent="0.35">
      <c r="A267">
        <v>1332</v>
      </c>
      <c r="B267">
        <v>583006769</v>
      </c>
      <c r="C267">
        <v>38103</v>
      </c>
      <c r="D267" t="s">
        <v>65</v>
      </c>
      <c r="E267" t="s">
        <v>434</v>
      </c>
      <c r="F267" t="s">
        <v>66</v>
      </c>
      <c r="G267" t="s">
        <v>67</v>
      </c>
      <c r="H267" t="s">
        <v>17</v>
      </c>
      <c r="I267" t="s">
        <v>18</v>
      </c>
      <c r="J267" t="s">
        <v>19</v>
      </c>
      <c r="K267">
        <v>63</v>
      </c>
      <c r="L267">
        <v>0</v>
      </c>
      <c r="M267" t="s">
        <v>20</v>
      </c>
      <c r="N267">
        <f>L267/500</f>
        <v>0</v>
      </c>
      <c r="P267">
        <f>K267/800</f>
        <v>7.8750000000000001E-2</v>
      </c>
    </row>
    <row r="268" spans="1:16" x14ac:dyDescent="0.35">
      <c r="A268">
        <v>1355</v>
      </c>
      <c r="B268">
        <v>583006768</v>
      </c>
      <c r="C268">
        <v>38102</v>
      </c>
      <c r="D268" t="s">
        <v>65</v>
      </c>
      <c r="E268" t="s">
        <v>434</v>
      </c>
      <c r="F268" t="s">
        <v>66</v>
      </c>
      <c r="G268" t="s">
        <v>67</v>
      </c>
      <c r="H268" t="s">
        <v>17</v>
      </c>
      <c r="I268" t="s">
        <v>18</v>
      </c>
      <c r="J268" t="s">
        <v>19</v>
      </c>
      <c r="K268">
        <v>90</v>
      </c>
      <c r="L268">
        <v>0</v>
      </c>
      <c r="M268" t="s">
        <v>20</v>
      </c>
      <c r="N268">
        <f>L268/500</f>
        <v>0</v>
      </c>
      <c r="P268">
        <f>K268/800</f>
        <v>0.1125</v>
      </c>
    </row>
    <row r="269" spans="1:16" x14ac:dyDescent="0.35">
      <c r="A269">
        <v>687</v>
      </c>
      <c r="B269">
        <v>583005990</v>
      </c>
      <c r="C269">
        <v>37070</v>
      </c>
      <c r="D269" t="s">
        <v>206</v>
      </c>
      <c r="E269" t="s">
        <v>343</v>
      </c>
      <c r="F269" t="s">
        <v>207</v>
      </c>
      <c r="G269" t="s">
        <v>208</v>
      </c>
      <c r="H269" t="s">
        <v>17</v>
      </c>
      <c r="I269" t="s">
        <v>63</v>
      </c>
      <c r="J269" t="s">
        <v>64</v>
      </c>
      <c r="K269">
        <v>35</v>
      </c>
      <c r="L269">
        <v>61.95</v>
      </c>
      <c r="M269" t="s">
        <v>20</v>
      </c>
      <c r="N269">
        <f>L269/500</f>
        <v>0.12390000000000001</v>
      </c>
    </row>
    <row r="270" spans="1:16" x14ac:dyDescent="0.35">
      <c r="A270">
        <v>187</v>
      </c>
      <c r="B270">
        <v>583005279</v>
      </c>
      <c r="C270">
        <v>36058</v>
      </c>
      <c r="D270" t="s">
        <v>206</v>
      </c>
      <c r="E270" t="s">
        <v>200</v>
      </c>
      <c r="F270" t="s">
        <v>207</v>
      </c>
      <c r="G270" t="s">
        <v>208</v>
      </c>
      <c r="H270" t="s">
        <v>17</v>
      </c>
      <c r="I270" t="s">
        <v>18</v>
      </c>
      <c r="J270" t="s">
        <v>19</v>
      </c>
      <c r="K270">
        <v>90</v>
      </c>
      <c r="L270">
        <v>0</v>
      </c>
      <c r="M270" t="s">
        <v>20</v>
      </c>
      <c r="N270">
        <f>L270/500</f>
        <v>0</v>
      </c>
      <c r="P270">
        <f>K270/800</f>
        <v>0.1125</v>
      </c>
    </row>
    <row r="271" spans="1:16" x14ac:dyDescent="0.35">
      <c r="A271">
        <v>904</v>
      </c>
      <c r="B271">
        <v>583006211</v>
      </c>
      <c r="C271">
        <v>37350</v>
      </c>
      <c r="D271" t="s">
        <v>206</v>
      </c>
      <c r="E271" t="s">
        <v>367</v>
      </c>
      <c r="F271" t="s">
        <v>207</v>
      </c>
      <c r="G271" t="s">
        <v>208</v>
      </c>
      <c r="H271" t="s">
        <v>17</v>
      </c>
      <c r="I271" t="s">
        <v>18</v>
      </c>
      <c r="J271" t="s">
        <v>19</v>
      </c>
      <c r="K271">
        <v>12</v>
      </c>
      <c r="L271">
        <v>0</v>
      </c>
      <c r="M271" t="s">
        <v>20</v>
      </c>
      <c r="N271">
        <f>L271/500</f>
        <v>0</v>
      </c>
      <c r="P271">
        <f>K271/800</f>
        <v>1.4999999999999999E-2</v>
      </c>
    </row>
    <row r="272" spans="1:16" x14ac:dyDescent="0.35">
      <c r="A272">
        <v>1047</v>
      </c>
      <c r="B272">
        <v>583006413</v>
      </c>
      <c r="C272">
        <v>37621</v>
      </c>
      <c r="D272" t="s">
        <v>206</v>
      </c>
      <c r="E272" t="s">
        <v>393</v>
      </c>
      <c r="F272" t="s">
        <v>207</v>
      </c>
      <c r="G272" t="s">
        <v>208</v>
      </c>
      <c r="H272" t="s">
        <v>17</v>
      </c>
      <c r="I272" t="s">
        <v>18</v>
      </c>
      <c r="J272" t="s">
        <v>19</v>
      </c>
      <c r="K272">
        <v>12</v>
      </c>
      <c r="L272">
        <v>0</v>
      </c>
      <c r="M272" t="s">
        <v>20</v>
      </c>
      <c r="N272">
        <f>L272/500</f>
        <v>0</v>
      </c>
      <c r="P272">
        <f>K272/800</f>
        <v>1.4999999999999999E-2</v>
      </c>
    </row>
    <row r="273" spans="1:16" x14ac:dyDescent="0.35">
      <c r="A273">
        <v>1337</v>
      </c>
      <c r="B273">
        <v>583006758</v>
      </c>
      <c r="C273">
        <v>38091</v>
      </c>
      <c r="D273" t="s">
        <v>206</v>
      </c>
      <c r="E273" t="s">
        <v>434</v>
      </c>
      <c r="F273" t="s">
        <v>207</v>
      </c>
      <c r="G273" t="s">
        <v>208</v>
      </c>
      <c r="H273" t="s">
        <v>17</v>
      </c>
      <c r="I273" t="s">
        <v>18</v>
      </c>
      <c r="J273" t="s">
        <v>19</v>
      </c>
      <c r="K273">
        <v>6</v>
      </c>
      <c r="L273">
        <v>0</v>
      </c>
      <c r="M273" t="s">
        <v>20</v>
      </c>
      <c r="N273">
        <f>L273/500</f>
        <v>0</v>
      </c>
      <c r="P273">
        <f>K273/800</f>
        <v>7.4999999999999997E-3</v>
      </c>
    </row>
    <row r="274" spans="1:16" x14ac:dyDescent="0.35">
      <c r="A274">
        <v>227</v>
      </c>
      <c r="B274">
        <v>583005305</v>
      </c>
      <c r="C274">
        <v>36104</v>
      </c>
      <c r="D274" t="s">
        <v>82</v>
      </c>
      <c r="E274" t="s">
        <v>217</v>
      </c>
      <c r="F274" t="s">
        <v>83</v>
      </c>
      <c r="G274" t="s">
        <v>84</v>
      </c>
      <c r="H274" t="s">
        <v>17</v>
      </c>
      <c r="I274" t="s">
        <v>63</v>
      </c>
      <c r="J274" t="s">
        <v>64</v>
      </c>
      <c r="K274">
        <v>56</v>
      </c>
      <c r="L274">
        <v>99.12</v>
      </c>
      <c r="M274" t="s">
        <v>20</v>
      </c>
      <c r="N274">
        <f>L274/500</f>
        <v>0.19824</v>
      </c>
    </row>
    <row r="275" spans="1:16" x14ac:dyDescent="0.35">
      <c r="A275">
        <v>473</v>
      </c>
      <c r="B275">
        <v>583005680</v>
      </c>
      <c r="C275">
        <v>36631</v>
      </c>
      <c r="D275" t="s">
        <v>82</v>
      </c>
      <c r="E275" t="s">
        <v>300</v>
      </c>
      <c r="F275" t="s">
        <v>83</v>
      </c>
      <c r="G275" t="s">
        <v>84</v>
      </c>
      <c r="H275" t="s">
        <v>17</v>
      </c>
      <c r="I275" t="s">
        <v>63</v>
      </c>
      <c r="J275" t="s">
        <v>64</v>
      </c>
      <c r="K275">
        <v>224</v>
      </c>
      <c r="L275">
        <v>396.48</v>
      </c>
      <c r="M275" t="s">
        <v>20</v>
      </c>
      <c r="N275">
        <f>L275/500</f>
        <v>0.79296</v>
      </c>
    </row>
    <row r="276" spans="1:16" x14ac:dyDescent="0.35">
      <c r="A276">
        <v>629</v>
      </c>
      <c r="B276">
        <v>583005887</v>
      </c>
      <c r="C276">
        <v>36923</v>
      </c>
      <c r="D276" t="s">
        <v>82</v>
      </c>
      <c r="E276" t="s">
        <v>324</v>
      </c>
      <c r="F276" t="s">
        <v>83</v>
      </c>
      <c r="G276" t="s">
        <v>84</v>
      </c>
      <c r="H276" t="s">
        <v>17</v>
      </c>
      <c r="I276" t="s">
        <v>63</v>
      </c>
      <c r="J276" t="s">
        <v>64</v>
      </c>
      <c r="K276">
        <v>560</v>
      </c>
      <c r="L276">
        <v>991.2</v>
      </c>
      <c r="M276" t="s">
        <v>20</v>
      </c>
      <c r="N276">
        <f>L276/500</f>
        <v>1.9824000000000002</v>
      </c>
    </row>
    <row r="277" spans="1:16" x14ac:dyDescent="0.35">
      <c r="A277">
        <v>726</v>
      </c>
      <c r="B277">
        <v>583006047</v>
      </c>
      <c r="C277">
        <v>37143</v>
      </c>
      <c r="D277" t="s">
        <v>82</v>
      </c>
      <c r="E277" t="s">
        <v>347</v>
      </c>
      <c r="F277" t="s">
        <v>83</v>
      </c>
      <c r="G277" t="s">
        <v>84</v>
      </c>
      <c r="H277" t="s">
        <v>17</v>
      </c>
      <c r="I277" t="s">
        <v>63</v>
      </c>
      <c r="J277" t="s">
        <v>64</v>
      </c>
      <c r="K277">
        <v>616</v>
      </c>
      <c r="L277">
        <v>1090.32</v>
      </c>
      <c r="M277" t="s">
        <v>20</v>
      </c>
      <c r="N277">
        <f>L277/500</f>
        <v>2.1806399999999999</v>
      </c>
    </row>
    <row r="278" spans="1:16" x14ac:dyDescent="0.35">
      <c r="A278">
        <v>54</v>
      </c>
      <c r="B278">
        <v>583005062</v>
      </c>
      <c r="C278">
        <v>35772</v>
      </c>
      <c r="D278" t="s">
        <v>82</v>
      </c>
      <c r="E278" t="s">
        <v>81</v>
      </c>
      <c r="F278" t="s">
        <v>83</v>
      </c>
      <c r="G278" t="s">
        <v>84</v>
      </c>
      <c r="H278" t="s">
        <v>17</v>
      </c>
      <c r="I278" t="s">
        <v>91</v>
      </c>
      <c r="J278" t="s">
        <v>25</v>
      </c>
      <c r="K278">
        <v>720</v>
      </c>
      <c r="L278">
        <v>0</v>
      </c>
      <c r="M278" t="s">
        <v>20</v>
      </c>
      <c r="N278">
        <f>L278/500</f>
        <v>0</v>
      </c>
      <c r="O278">
        <f>K278*1.79/500</f>
        <v>2.5775999999999999</v>
      </c>
    </row>
    <row r="279" spans="1:16" x14ac:dyDescent="0.35">
      <c r="A279">
        <v>98</v>
      </c>
      <c r="B279">
        <v>583005122</v>
      </c>
      <c r="C279">
        <v>35850</v>
      </c>
      <c r="D279" t="s">
        <v>82</v>
      </c>
      <c r="E279" t="s">
        <v>126</v>
      </c>
      <c r="F279" t="s">
        <v>83</v>
      </c>
      <c r="G279" t="s">
        <v>84</v>
      </c>
      <c r="H279" t="s">
        <v>17</v>
      </c>
      <c r="I279" t="s">
        <v>91</v>
      </c>
      <c r="J279" t="s">
        <v>25</v>
      </c>
      <c r="K279">
        <v>240</v>
      </c>
      <c r="L279">
        <v>0</v>
      </c>
      <c r="M279" t="s">
        <v>20</v>
      </c>
      <c r="N279">
        <f>L279/500</f>
        <v>0</v>
      </c>
      <c r="O279">
        <f>K279*1.79/500</f>
        <v>0.85920000000000007</v>
      </c>
    </row>
    <row r="280" spans="1:16" x14ac:dyDescent="0.35">
      <c r="A280">
        <v>189</v>
      </c>
      <c r="B280">
        <v>583005261</v>
      </c>
      <c r="C280">
        <v>36035</v>
      </c>
      <c r="D280" t="s">
        <v>82</v>
      </c>
      <c r="E280" t="s">
        <v>200</v>
      </c>
      <c r="F280" t="s">
        <v>83</v>
      </c>
      <c r="G280" t="s">
        <v>84</v>
      </c>
      <c r="H280" t="s">
        <v>17</v>
      </c>
      <c r="I280" t="s">
        <v>91</v>
      </c>
      <c r="J280" t="s">
        <v>25</v>
      </c>
      <c r="K280">
        <v>360</v>
      </c>
      <c r="L280">
        <v>0</v>
      </c>
      <c r="M280" t="s">
        <v>20</v>
      </c>
      <c r="N280">
        <f>L280/500</f>
        <v>0</v>
      </c>
      <c r="O280">
        <f>K280*1.79/500</f>
        <v>1.2887999999999999</v>
      </c>
    </row>
    <row r="281" spans="1:16" x14ac:dyDescent="0.35">
      <c r="A281">
        <v>222</v>
      </c>
      <c r="B281">
        <v>583005298</v>
      </c>
      <c r="C281">
        <v>36089</v>
      </c>
      <c r="D281" t="s">
        <v>82</v>
      </c>
      <c r="E281" t="s">
        <v>217</v>
      </c>
      <c r="F281" t="s">
        <v>83</v>
      </c>
      <c r="G281" t="s">
        <v>84</v>
      </c>
      <c r="H281" t="s">
        <v>17</v>
      </c>
      <c r="I281" t="s">
        <v>91</v>
      </c>
      <c r="J281" t="s">
        <v>25</v>
      </c>
      <c r="K281">
        <v>360</v>
      </c>
      <c r="L281">
        <v>0</v>
      </c>
      <c r="M281" t="s">
        <v>20</v>
      </c>
      <c r="N281">
        <f>L281/500</f>
        <v>0</v>
      </c>
      <c r="O281">
        <f>K281*1.79/500</f>
        <v>1.2887999999999999</v>
      </c>
    </row>
    <row r="282" spans="1:16" x14ac:dyDescent="0.35">
      <c r="A282">
        <v>451</v>
      </c>
      <c r="B282">
        <v>583005645</v>
      </c>
      <c r="C282">
        <v>36575</v>
      </c>
      <c r="D282" t="s">
        <v>82</v>
      </c>
      <c r="E282" t="s">
        <v>292</v>
      </c>
      <c r="F282" t="s">
        <v>83</v>
      </c>
      <c r="G282" t="s">
        <v>84</v>
      </c>
      <c r="H282" t="s">
        <v>17</v>
      </c>
      <c r="I282" t="s">
        <v>91</v>
      </c>
      <c r="J282" t="s">
        <v>25</v>
      </c>
      <c r="K282">
        <v>480</v>
      </c>
      <c r="L282">
        <v>0</v>
      </c>
      <c r="M282" t="s">
        <v>20</v>
      </c>
      <c r="N282">
        <f>L282/500</f>
        <v>0</v>
      </c>
      <c r="O282">
        <f>K282*1.79/500</f>
        <v>1.7184000000000001</v>
      </c>
    </row>
    <row r="283" spans="1:16" x14ac:dyDescent="0.35">
      <c r="A283">
        <v>511</v>
      </c>
      <c r="B283">
        <v>583005743</v>
      </c>
      <c r="C283">
        <v>36703</v>
      </c>
      <c r="D283" t="s">
        <v>82</v>
      </c>
      <c r="E283" t="s">
        <v>300</v>
      </c>
      <c r="F283" t="s">
        <v>83</v>
      </c>
      <c r="G283" t="s">
        <v>84</v>
      </c>
      <c r="H283" t="s">
        <v>17</v>
      </c>
      <c r="I283" t="s">
        <v>91</v>
      </c>
      <c r="J283" t="s">
        <v>25</v>
      </c>
      <c r="K283">
        <v>375</v>
      </c>
      <c r="L283">
        <v>0</v>
      </c>
      <c r="M283" t="s">
        <v>20</v>
      </c>
      <c r="N283">
        <f>L283/500</f>
        <v>0</v>
      </c>
      <c r="O283">
        <f>K283*1.79/500</f>
        <v>1.3425</v>
      </c>
    </row>
    <row r="284" spans="1:16" x14ac:dyDescent="0.35">
      <c r="A284">
        <v>630</v>
      </c>
      <c r="B284">
        <v>583005888</v>
      </c>
      <c r="C284">
        <v>36925</v>
      </c>
      <c r="D284" t="s">
        <v>82</v>
      </c>
      <c r="E284" t="s">
        <v>324</v>
      </c>
      <c r="F284" t="s">
        <v>83</v>
      </c>
      <c r="G284" t="s">
        <v>84</v>
      </c>
      <c r="H284" t="s">
        <v>17</v>
      </c>
      <c r="I284" t="s">
        <v>91</v>
      </c>
      <c r="J284" t="s">
        <v>25</v>
      </c>
      <c r="K284">
        <v>720</v>
      </c>
      <c r="L284">
        <v>0</v>
      </c>
      <c r="M284" t="s">
        <v>20</v>
      </c>
      <c r="N284">
        <f>L284/500</f>
        <v>0</v>
      </c>
      <c r="O284">
        <f>K284*1.79/500</f>
        <v>2.5775999999999999</v>
      </c>
    </row>
    <row r="285" spans="1:16" x14ac:dyDescent="0.35">
      <c r="A285">
        <v>725</v>
      </c>
      <c r="B285">
        <v>583006047</v>
      </c>
      <c r="C285">
        <v>37143</v>
      </c>
      <c r="D285" t="s">
        <v>82</v>
      </c>
      <c r="E285" t="s">
        <v>347</v>
      </c>
      <c r="F285" t="s">
        <v>83</v>
      </c>
      <c r="G285" t="s">
        <v>84</v>
      </c>
      <c r="H285" t="s">
        <v>17</v>
      </c>
      <c r="I285" t="s">
        <v>91</v>
      </c>
      <c r="J285" t="s">
        <v>25</v>
      </c>
      <c r="K285">
        <v>780</v>
      </c>
      <c r="L285">
        <v>0</v>
      </c>
      <c r="M285" t="s">
        <v>20</v>
      </c>
      <c r="N285">
        <f>L285/500</f>
        <v>0</v>
      </c>
      <c r="O285">
        <f>K285*1.79/500</f>
        <v>2.7924000000000002</v>
      </c>
    </row>
    <row r="286" spans="1:16" x14ac:dyDescent="0.35">
      <c r="A286">
        <v>922</v>
      </c>
      <c r="B286">
        <v>583006230</v>
      </c>
      <c r="C286">
        <v>37375</v>
      </c>
      <c r="D286" t="s">
        <v>82</v>
      </c>
      <c r="E286" t="s">
        <v>367</v>
      </c>
      <c r="F286" t="s">
        <v>83</v>
      </c>
      <c r="G286" t="s">
        <v>84</v>
      </c>
      <c r="H286" t="s">
        <v>17</v>
      </c>
      <c r="I286" t="s">
        <v>91</v>
      </c>
      <c r="J286" t="s">
        <v>25</v>
      </c>
      <c r="K286">
        <v>720</v>
      </c>
      <c r="L286">
        <v>0</v>
      </c>
      <c r="M286" t="s">
        <v>20</v>
      </c>
      <c r="N286">
        <f>L286/500</f>
        <v>0</v>
      </c>
      <c r="O286">
        <f>K286*1.79/500</f>
        <v>2.5775999999999999</v>
      </c>
    </row>
    <row r="287" spans="1:16" x14ac:dyDescent="0.35">
      <c r="A287">
        <v>1027</v>
      </c>
      <c r="B287">
        <v>583006393</v>
      </c>
      <c r="C287">
        <v>37596</v>
      </c>
      <c r="D287" t="s">
        <v>82</v>
      </c>
      <c r="E287" t="s">
        <v>393</v>
      </c>
      <c r="F287" t="s">
        <v>83</v>
      </c>
      <c r="G287" t="s">
        <v>84</v>
      </c>
      <c r="H287" t="s">
        <v>17</v>
      </c>
      <c r="I287" t="s">
        <v>91</v>
      </c>
      <c r="J287" t="s">
        <v>25</v>
      </c>
      <c r="K287">
        <v>720</v>
      </c>
      <c r="L287">
        <v>0</v>
      </c>
      <c r="M287" t="s">
        <v>20</v>
      </c>
      <c r="N287">
        <f>L287/500</f>
        <v>0</v>
      </c>
      <c r="O287">
        <f>K287*1.79/500</f>
        <v>2.5775999999999999</v>
      </c>
    </row>
    <row r="288" spans="1:16" x14ac:dyDescent="0.35">
      <c r="A288">
        <v>1339</v>
      </c>
      <c r="B288">
        <v>583006772</v>
      </c>
      <c r="C288">
        <v>38106</v>
      </c>
      <c r="D288" t="s">
        <v>82</v>
      </c>
      <c r="E288" t="s">
        <v>434</v>
      </c>
      <c r="F288" t="s">
        <v>83</v>
      </c>
      <c r="G288" t="s">
        <v>84</v>
      </c>
      <c r="H288" t="s">
        <v>17</v>
      </c>
      <c r="I288" t="s">
        <v>91</v>
      </c>
      <c r="J288" t="s">
        <v>25</v>
      </c>
      <c r="K288">
        <v>493</v>
      </c>
      <c r="L288">
        <v>0</v>
      </c>
      <c r="M288" t="s">
        <v>20</v>
      </c>
      <c r="N288">
        <f>L288/500</f>
        <v>0</v>
      </c>
      <c r="O288">
        <f>K288*1.79/500</f>
        <v>1.76494</v>
      </c>
    </row>
    <row r="289" spans="1:16" x14ac:dyDescent="0.35">
      <c r="A289">
        <v>45</v>
      </c>
      <c r="B289">
        <v>583005067</v>
      </c>
      <c r="C289">
        <v>35780</v>
      </c>
      <c r="D289" t="s">
        <v>82</v>
      </c>
      <c r="E289" t="s">
        <v>81</v>
      </c>
      <c r="F289" t="s">
        <v>83</v>
      </c>
      <c r="G289" t="s">
        <v>84</v>
      </c>
      <c r="H289" t="s">
        <v>17</v>
      </c>
      <c r="I289" t="s">
        <v>18</v>
      </c>
      <c r="J289" t="s">
        <v>19</v>
      </c>
      <c r="K289">
        <v>117</v>
      </c>
      <c r="L289">
        <v>0</v>
      </c>
      <c r="M289" t="s">
        <v>20</v>
      </c>
      <c r="N289">
        <f>L289/500</f>
        <v>0</v>
      </c>
      <c r="P289">
        <f>K289/800</f>
        <v>0.14624999999999999</v>
      </c>
    </row>
    <row r="290" spans="1:16" x14ac:dyDescent="0.35">
      <c r="A290">
        <v>46</v>
      </c>
      <c r="B290">
        <v>583005067</v>
      </c>
      <c r="C290">
        <v>35780</v>
      </c>
      <c r="D290" t="s">
        <v>82</v>
      </c>
      <c r="E290" t="s">
        <v>81</v>
      </c>
      <c r="F290" t="s">
        <v>83</v>
      </c>
      <c r="G290" t="s">
        <v>84</v>
      </c>
      <c r="H290" t="s">
        <v>17</v>
      </c>
      <c r="I290" t="s">
        <v>18</v>
      </c>
      <c r="J290" t="s">
        <v>19</v>
      </c>
      <c r="K290">
        <v>216</v>
      </c>
      <c r="L290">
        <v>0</v>
      </c>
      <c r="M290" t="s">
        <v>20</v>
      </c>
      <c r="N290">
        <f>L290/500</f>
        <v>0</v>
      </c>
      <c r="P290">
        <f>K290/800</f>
        <v>0.27</v>
      </c>
    </row>
    <row r="291" spans="1:16" x14ac:dyDescent="0.35">
      <c r="A291">
        <v>49</v>
      </c>
      <c r="B291">
        <v>583005067</v>
      </c>
      <c r="C291">
        <v>35780</v>
      </c>
      <c r="D291" t="s">
        <v>82</v>
      </c>
      <c r="E291" t="s">
        <v>81</v>
      </c>
      <c r="F291" t="s">
        <v>83</v>
      </c>
      <c r="G291" t="s">
        <v>84</v>
      </c>
      <c r="H291" t="s">
        <v>17</v>
      </c>
      <c r="I291" t="s">
        <v>18</v>
      </c>
      <c r="J291" t="s">
        <v>19</v>
      </c>
      <c r="K291">
        <v>360</v>
      </c>
      <c r="L291">
        <v>0</v>
      </c>
      <c r="M291" t="s">
        <v>20</v>
      </c>
      <c r="N291">
        <f>L291/500</f>
        <v>0</v>
      </c>
      <c r="P291">
        <f>K291/800</f>
        <v>0.45</v>
      </c>
    </row>
    <row r="292" spans="1:16" x14ac:dyDescent="0.35">
      <c r="A292">
        <v>50</v>
      </c>
      <c r="B292">
        <v>583005067</v>
      </c>
      <c r="C292">
        <v>35780</v>
      </c>
      <c r="D292" t="s">
        <v>82</v>
      </c>
      <c r="E292" t="s">
        <v>81</v>
      </c>
      <c r="F292" t="s">
        <v>83</v>
      </c>
      <c r="G292" t="s">
        <v>84</v>
      </c>
      <c r="H292" t="s">
        <v>17</v>
      </c>
      <c r="I292" t="s">
        <v>18</v>
      </c>
      <c r="J292" t="s">
        <v>19</v>
      </c>
      <c r="K292">
        <v>3285</v>
      </c>
      <c r="L292">
        <v>0</v>
      </c>
      <c r="M292" t="s">
        <v>20</v>
      </c>
      <c r="N292">
        <f>L292/500</f>
        <v>0</v>
      </c>
      <c r="P292">
        <f>K292/800</f>
        <v>4.1062500000000002</v>
      </c>
    </row>
    <row r="293" spans="1:16" x14ac:dyDescent="0.35">
      <c r="A293">
        <v>149</v>
      </c>
      <c r="B293">
        <v>583005238</v>
      </c>
      <c r="C293">
        <v>35999</v>
      </c>
      <c r="D293" t="s">
        <v>82</v>
      </c>
      <c r="E293" t="s">
        <v>177</v>
      </c>
      <c r="F293" t="s">
        <v>83</v>
      </c>
      <c r="G293" t="s">
        <v>84</v>
      </c>
      <c r="H293" t="s">
        <v>17</v>
      </c>
      <c r="I293" t="s">
        <v>18</v>
      </c>
      <c r="J293" t="s">
        <v>19</v>
      </c>
      <c r="K293">
        <v>1908</v>
      </c>
      <c r="L293">
        <v>0</v>
      </c>
      <c r="M293" t="s">
        <v>20</v>
      </c>
      <c r="N293">
        <f>L293/500</f>
        <v>0</v>
      </c>
      <c r="P293">
        <f>K293/800</f>
        <v>2.3849999999999998</v>
      </c>
    </row>
    <row r="294" spans="1:16" x14ac:dyDescent="0.35">
      <c r="A294">
        <v>150</v>
      </c>
      <c r="B294">
        <v>583005238</v>
      </c>
      <c r="C294">
        <v>35999</v>
      </c>
      <c r="D294" t="s">
        <v>82</v>
      </c>
      <c r="E294" t="s">
        <v>177</v>
      </c>
      <c r="F294" t="s">
        <v>83</v>
      </c>
      <c r="G294" t="s">
        <v>84</v>
      </c>
      <c r="H294" t="s">
        <v>17</v>
      </c>
      <c r="I294" t="s">
        <v>18</v>
      </c>
      <c r="J294" t="s">
        <v>19</v>
      </c>
      <c r="K294">
        <v>216</v>
      </c>
      <c r="L294">
        <v>0</v>
      </c>
      <c r="M294" t="s">
        <v>20</v>
      </c>
      <c r="N294">
        <f>L294/500</f>
        <v>0</v>
      </c>
      <c r="P294">
        <f>K294/800</f>
        <v>0.27</v>
      </c>
    </row>
    <row r="295" spans="1:16" x14ac:dyDescent="0.35">
      <c r="A295">
        <v>151</v>
      </c>
      <c r="B295">
        <v>583005238</v>
      </c>
      <c r="C295">
        <v>35999</v>
      </c>
      <c r="D295" t="s">
        <v>82</v>
      </c>
      <c r="E295" t="s">
        <v>177</v>
      </c>
      <c r="F295" t="s">
        <v>83</v>
      </c>
      <c r="G295" t="s">
        <v>84</v>
      </c>
      <c r="H295" t="s">
        <v>17</v>
      </c>
      <c r="I295" t="s">
        <v>18</v>
      </c>
      <c r="J295" t="s">
        <v>19</v>
      </c>
      <c r="K295">
        <v>828</v>
      </c>
      <c r="L295">
        <v>0</v>
      </c>
      <c r="M295" t="s">
        <v>20</v>
      </c>
      <c r="N295">
        <f>L295/500</f>
        <v>0</v>
      </c>
      <c r="P295">
        <f>K295/800</f>
        <v>1.0349999999999999</v>
      </c>
    </row>
    <row r="296" spans="1:16" x14ac:dyDescent="0.35">
      <c r="A296">
        <v>152</v>
      </c>
      <c r="B296">
        <v>583005238</v>
      </c>
      <c r="C296">
        <v>35999</v>
      </c>
      <c r="D296" t="s">
        <v>82</v>
      </c>
      <c r="E296" t="s">
        <v>177</v>
      </c>
      <c r="F296" t="s">
        <v>83</v>
      </c>
      <c r="G296" t="s">
        <v>84</v>
      </c>
      <c r="H296" t="s">
        <v>17</v>
      </c>
      <c r="I296" t="s">
        <v>18</v>
      </c>
      <c r="J296" t="s">
        <v>19</v>
      </c>
      <c r="K296">
        <v>180</v>
      </c>
      <c r="L296">
        <v>0</v>
      </c>
      <c r="M296" t="s">
        <v>20</v>
      </c>
      <c r="N296">
        <f>L296/500</f>
        <v>0</v>
      </c>
      <c r="P296">
        <f>K296/800</f>
        <v>0.22500000000000001</v>
      </c>
    </row>
    <row r="297" spans="1:16" x14ac:dyDescent="0.35">
      <c r="A297">
        <v>153</v>
      </c>
      <c r="B297">
        <v>583005238</v>
      </c>
      <c r="C297">
        <v>35999</v>
      </c>
      <c r="D297" t="s">
        <v>82</v>
      </c>
      <c r="E297" t="s">
        <v>177</v>
      </c>
      <c r="F297" t="s">
        <v>83</v>
      </c>
      <c r="G297" t="s">
        <v>84</v>
      </c>
      <c r="H297" t="s">
        <v>17</v>
      </c>
      <c r="I297" t="s">
        <v>18</v>
      </c>
      <c r="J297" t="s">
        <v>19</v>
      </c>
      <c r="K297">
        <v>720</v>
      </c>
      <c r="L297">
        <v>0</v>
      </c>
      <c r="M297" t="s">
        <v>20</v>
      </c>
      <c r="N297">
        <f>L297/500</f>
        <v>0</v>
      </c>
      <c r="P297">
        <f>K297/800</f>
        <v>0.9</v>
      </c>
    </row>
    <row r="298" spans="1:16" x14ac:dyDescent="0.35">
      <c r="A298">
        <v>463</v>
      </c>
      <c r="B298">
        <v>583005677</v>
      </c>
      <c r="C298">
        <v>36620</v>
      </c>
      <c r="D298" t="s">
        <v>82</v>
      </c>
      <c r="E298" t="s">
        <v>300</v>
      </c>
      <c r="F298" t="s">
        <v>83</v>
      </c>
      <c r="G298" t="s">
        <v>84</v>
      </c>
      <c r="H298" t="s">
        <v>17</v>
      </c>
      <c r="I298" t="s">
        <v>18</v>
      </c>
      <c r="J298" t="s">
        <v>19</v>
      </c>
      <c r="K298">
        <v>1140</v>
      </c>
      <c r="L298">
        <v>0</v>
      </c>
      <c r="M298" t="s">
        <v>20</v>
      </c>
      <c r="N298">
        <f>L298/500</f>
        <v>0</v>
      </c>
      <c r="P298">
        <f>K298/800</f>
        <v>1.425</v>
      </c>
    </row>
    <row r="299" spans="1:16" x14ac:dyDescent="0.35">
      <c r="A299">
        <v>474</v>
      </c>
      <c r="B299">
        <v>583005755</v>
      </c>
      <c r="C299">
        <v>36720</v>
      </c>
      <c r="D299" t="s">
        <v>82</v>
      </c>
      <c r="E299" t="s">
        <v>300</v>
      </c>
      <c r="F299" t="s">
        <v>83</v>
      </c>
      <c r="G299" t="s">
        <v>84</v>
      </c>
      <c r="H299" t="s">
        <v>17</v>
      </c>
      <c r="I299" t="s">
        <v>18</v>
      </c>
      <c r="J299" t="s">
        <v>19</v>
      </c>
      <c r="K299">
        <v>621</v>
      </c>
      <c r="L299">
        <v>0</v>
      </c>
      <c r="M299" t="s">
        <v>20</v>
      </c>
      <c r="N299">
        <f>L299/500</f>
        <v>0</v>
      </c>
      <c r="P299">
        <f>K299/800</f>
        <v>0.77625</v>
      </c>
    </row>
    <row r="300" spans="1:16" x14ac:dyDescent="0.35">
      <c r="A300">
        <v>475</v>
      </c>
      <c r="B300">
        <v>583005755</v>
      </c>
      <c r="C300">
        <v>36720</v>
      </c>
      <c r="D300" t="s">
        <v>82</v>
      </c>
      <c r="E300" t="s">
        <v>300</v>
      </c>
      <c r="F300" t="s">
        <v>83</v>
      </c>
      <c r="G300" t="s">
        <v>84</v>
      </c>
      <c r="H300" t="s">
        <v>17</v>
      </c>
      <c r="I300" t="s">
        <v>18</v>
      </c>
      <c r="J300" t="s">
        <v>19</v>
      </c>
      <c r="K300">
        <v>1854</v>
      </c>
      <c r="L300">
        <v>0</v>
      </c>
      <c r="M300" t="s">
        <v>20</v>
      </c>
      <c r="N300">
        <f>L300/500</f>
        <v>0</v>
      </c>
      <c r="P300">
        <f>K300/800</f>
        <v>2.3174999999999999</v>
      </c>
    </row>
    <row r="301" spans="1:16" x14ac:dyDescent="0.35">
      <c r="A301">
        <v>476</v>
      </c>
      <c r="B301">
        <v>583005755</v>
      </c>
      <c r="C301">
        <v>36720</v>
      </c>
      <c r="D301" t="s">
        <v>82</v>
      </c>
      <c r="E301" t="s">
        <v>300</v>
      </c>
      <c r="F301" t="s">
        <v>83</v>
      </c>
      <c r="G301" t="s">
        <v>84</v>
      </c>
      <c r="H301" t="s">
        <v>17</v>
      </c>
      <c r="I301" t="s">
        <v>18</v>
      </c>
      <c r="J301" t="s">
        <v>19</v>
      </c>
      <c r="K301">
        <v>1170</v>
      </c>
      <c r="L301">
        <v>0</v>
      </c>
      <c r="M301" t="s">
        <v>20</v>
      </c>
      <c r="N301">
        <f>L301/500</f>
        <v>0</v>
      </c>
      <c r="P301">
        <f>K301/800</f>
        <v>1.4624999999999999</v>
      </c>
    </row>
    <row r="302" spans="1:16" x14ac:dyDescent="0.35">
      <c r="A302">
        <v>477</v>
      </c>
      <c r="B302">
        <v>583005755</v>
      </c>
      <c r="C302">
        <v>36720</v>
      </c>
      <c r="D302" t="s">
        <v>82</v>
      </c>
      <c r="E302" t="s">
        <v>300</v>
      </c>
      <c r="F302" t="s">
        <v>83</v>
      </c>
      <c r="G302" t="s">
        <v>84</v>
      </c>
      <c r="H302" t="s">
        <v>17</v>
      </c>
      <c r="I302" t="s">
        <v>18</v>
      </c>
      <c r="J302" t="s">
        <v>19</v>
      </c>
      <c r="K302">
        <v>288</v>
      </c>
      <c r="L302">
        <v>0</v>
      </c>
      <c r="M302" t="s">
        <v>20</v>
      </c>
      <c r="N302">
        <f>L302/500</f>
        <v>0</v>
      </c>
      <c r="P302">
        <f>K302/800</f>
        <v>0.36</v>
      </c>
    </row>
    <row r="303" spans="1:16" x14ac:dyDescent="0.35">
      <c r="A303">
        <v>506</v>
      </c>
      <c r="B303">
        <v>583005678</v>
      </c>
      <c r="C303">
        <v>36621</v>
      </c>
      <c r="D303" t="s">
        <v>82</v>
      </c>
      <c r="E303" t="s">
        <v>300</v>
      </c>
      <c r="F303" t="s">
        <v>83</v>
      </c>
      <c r="G303" t="s">
        <v>84</v>
      </c>
      <c r="H303" t="s">
        <v>17</v>
      </c>
      <c r="I303" t="s">
        <v>18</v>
      </c>
      <c r="J303" t="s">
        <v>19</v>
      </c>
      <c r="K303">
        <v>1206</v>
      </c>
      <c r="L303">
        <v>0</v>
      </c>
      <c r="M303" t="s">
        <v>20</v>
      </c>
      <c r="N303">
        <f>L303/500</f>
        <v>0</v>
      </c>
      <c r="P303">
        <f>K303/800</f>
        <v>1.5075000000000001</v>
      </c>
    </row>
    <row r="304" spans="1:16" x14ac:dyDescent="0.35">
      <c r="A304">
        <v>507</v>
      </c>
      <c r="B304">
        <v>583005678</v>
      </c>
      <c r="C304">
        <v>36621</v>
      </c>
      <c r="D304" t="s">
        <v>82</v>
      </c>
      <c r="E304" t="s">
        <v>300</v>
      </c>
      <c r="F304" t="s">
        <v>83</v>
      </c>
      <c r="G304" t="s">
        <v>84</v>
      </c>
      <c r="H304" t="s">
        <v>17</v>
      </c>
      <c r="I304" t="s">
        <v>18</v>
      </c>
      <c r="J304" t="s">
        <v>19</v>
      </c>
      <c r="K304">
        <v>108</v>
      </c>
      <c r="L304">
        <v>0</v>
      </c>
      <c r="M304" t="s">
        <v>20</v>
      </c>
      <c r="N304">
        <f>L304/500</f>
        <v>0</v>
      </c>
      <c r="P304">
        <f>K304/800</f>
        <v>0.13500000000000001</v>
      </c>
    </row>
    <row r="305" spans="1:16" x14ac:dyDescent="0.35">
      <c r="A305">
        <v>508</v>
      </c>
      <c r="B305">
        <v>583005678</v>
      </c>
      <c r="C305">
        <v>36621</v>
      </c>
      <c r="D305" t="s">
        <v>82</v>
      </c>
      <c r="E305" t="s">
        <v>300</v>
      </c>
      <c r="F305" t="s">
        <v>83</v>
      </c>
      <c r="G305" t="s">
        <v>84</v>
      </c>
      <c r="H305" t="s">
        <v>17</v>
      </c>
      <c r="I305" t="s">
        <v>18</v>
      </c>
      <c r="J305" t="s">
        <v>19</v>
      </c>
      <c r="K305">
        <v>576</v>
      </c>
      <c r="L305">
        <v>0</v>
      </c>
      <c r="M305" t="s">
        <v>20</v>
      </c>
      <c r="N305">
        <f>L305/500</f>
        <v>0</v>
      </c>
      <c r="P305">
        <f>K305/800</f>
        <v>0.72</v>
      </c>
    </row>
    <row r="306" spans="1:16" x14ac:dyDescent="0.35">
      <c r="A306">
        <v>509</v>
      </c>
      <c r="B306">
        <v>583005678</v>
      </c>
      <c r="C306">
        <v>36621</v>
      </c>
      <c r="D306" t="s">
        <v>82</v>
      </c>
      <c r="E306" t="s">
        <v>300</v>
      </c>
      <c r="F306" t="s">
        <v>83</v>
      </c>
      <c r="G306" t="s">
        <v>84</v>
      </c>
      <c r="H306" t="s">
        <v>17</v>
      </c>
      <c r="I306" t="s">
        <v>18</v>
      </c>
      <c r="J306" t="s">
        <v>19</v>
      </c>
      <c r="K306">
        <v>645</v>
      </c>
      <c r="L306">
        <v>0</v>
      </c>
      <c r="M306" t="s">
        <v>20</v>
      </c>
      <c r="N306">
        <f>L306/500</f>
        <v>0</v>
      </c>
      <c r="P306">
        <f>K306/800</f>
        <v>0.80625000000000002</v>
      </c>
    </row>
    <row r="307" spans="1:16" x14ac:dyDescent="0.35">
      <c r="A307">
        <v>510</v>
      </c>
      <c r="B307">
        <v>583005678</v>
      </c>
      <c r="C307">
        <v>36621</v>
      </c>
      <c r="D307" t="s">
        <v>82</v>
      </c>
      <c r="E307" t="s">
        <v>300</v>
      </c>
      <c r="F307" t="s">
        <v>83</v>
      </c>
      <c r="G307" t="s">
        <v>84</v>
      </c>
      <c r="H307" t="s">
        <v>17</v>
      </c>
      <c r="I307" t="s">
        <v>18</v>
      </c>
      <c r="J307" t="s">
        <v>19</v>
      </c>
      <c r="K307">
        <v>33</v>
      </c>
      <c r="L307">
        <v>0</v>
      </c>
      <c r="M307" t="s">
        <v>20</v>
      </c>
      <c r="N307">
        <f>L307/500</f>
        <v>0</v>
      </c>
      <c r="P307">
        <f>K307/800</f>
        <v>4.1250000000000002E-2</v>
      </c>
    </row>
    <row r="308" spans="1:16" x14ac:dyDescent="0.35">
      <c r="A308">
        <v>577</v>
      </c>
      <c r="B308">
        <v>583005875</v>
      </c>
      <c r="C308">
        <v>36905</v>
      </c>
      <c r="D308" t="s">
        <v>82</v>
      </c>
      <c r="E308" t="s">
        <v>318</v>
      </c>
      <c r="F308" t="s">
        <v>83</v>
      </c>
      <c r="G308" t="s">
        <v>84</v>
      </c>
      <c r="H308" t="s">
        <v>17</v>
      </c>
      <c r="I308" t="s">
        <v>18</v>
      </c>
      <c r="J308" t="s">
        <v>19</v>
      </c>
      <c r="K308">
        <v>2826</v>
      </c>
      <c r="L308">
        <v>0</v>
      </c>
      <c r="M308" t="s">
        <v>20</v>
      </c>
      <c r="N308">
        <f>L308/500</f>
        <v>0</v>
      </c>
      <c r="P308">
        <f>K308/800</f>
        <v>3.5325000000000002</v>
      </c>
    </row>
    <row r="309" spans="1:16" x14ac:dyDescent="0.35">
      <c r="A309">
        <v>582</v>
      </c>
      <c r="B309">
        <v>583005875</v>
      </c>
      <c r="C309">
        <v>36905</v>
      </c>
      <c r="D309" t="s">
        <v>82</v>
      </c>
      <c r="E309" t="s">
        <v>318</v>
      </c>
      <c r="F309" t="s">
        <v>83</v>
      </c>
      <c r="G309" t="s">
        <v>84</v>
      </c>
      <c r="H309" t="s">
        <v>17</v>
      </c>
      <c r="I309" t="s">
        <v>18</v>
      </c>
      <c r="J309" t="s">
        <v>19</v>
      </c>
      <c r="K309">
        <v>702</v>
      </c>
      <c r="L309">
        <v>0</v>
      </c>
      <c r="M309" t="s">
        <v>20</v>
      </c>
      <c r="N309">
        <f>L309/500</f>
        <v>0</v>
      </c>
      <c r="P309">
        <f>K309/800</f>
        <v>0.87749999999999995</v>
      </c>
    </row>
    <row r="310" spans="1:16" x14ac:dyDescent="0.35">
      <c r="A310">
        <v>588</v>
      </c>
      <c r="B310">
        <v>583005875</v>
      </c>
      <c r="C310">
        <v>36905</v>
      </c>
      <c r="D310" t="s">
        <v>82</v>
      </c>
      <c r="E310" t="s">
        <v>318</v>
      </c>
      <c r="F310" t="s">
        <v>83</v>
      </c>
      <c r="G310" t="s">
        <v>84</v>
      </c>
      <c r="H310" t="s">
        <v>17</v>
      </c>
      <c r="I310" t="s">
        <v>18</v>
      </c>
      <c r="J310" t="s">
        <v>19</v>
      </c>
      <c r="K310">
        <v>405</v>
      </c>
      <c r="L310">
        <v>0</v>
      </c>
      <c r="M310" t="s">
        <v>20</v>
      </c>
      <c r="N310">
        <f>L310/500</f>
        <v>0</v>
      </c>
      <c r="P310">
        <f>K310/800</f>
        <v>0.50624999999999998</v>
      </c>
    </row>
    <row r="311" spans="1:16" x14ac:dyDescent="0.35">
      <c r="A311">
        <v>628</v>
      </c>
      <c r="B311">
        <v>583005969</v>
      </c>
      <c r="C311">
        <v>37031</v>
      </c>
      <c r="D311" t="s">
        <v>82</v>
      </c>
      <c r="E311" t="s">
        <v>324</v>
      </c>
      <c r="F311" t="s">
        <v>83</v>
      </c>
      <c r="G311" t="s">
        <v>84</v>
      </c>
      <c r="H311" t="s">
        <v>17</v>
      </c>
      <c r="I311" t="s">
        <v>18</v>
      </c>
      <c r="J311" t="s">
        <v>19</v>
      </c>
      <c r="K311">
        <v>1881</v>
      </c>
      <c r="L311">
        <v>0</v>
      </c>
      <c r="M311" t="s">
        <v>20</v>
      </c>
      <c r="N311">
        <f>L311/500</f>
        <v>0</v>
      </c>
      <c r="P311">
        <f>K311/800</f>
        <v>2.3512499999999998</v>
      </c>
    </row>
    <row r="312" spans="1:16" x14ac:dyDescent="0.35">
      <c r="A312">
        <v>636</v>
      </c>
      <c r="B312">
        <v>583005969</v>
      </c>
      <c r="C312">
        <v>37031</v>
      </c>
      <c r="D312" t="s">
        <v>82</v>
      </c>
      <c r="E312" t="s">
        <v>324</v>
      </c>
      <c r="F312" t="s">
        <v>83</v>
      </c>
      <c r="G312" t="s">
        <v>84</v>
      </c>
      <c r="H312" t="s">
        <v>17</v>
      </c>
      <c r="I312" t="s">
        <v>18</v>
      </c>
      <c r="J312" t="s">
        <v>19</v>
      </c>
      <c r="K312">
        <v>315</v>
      </c>
      <c r="L312">
        <v>0</v>
      </c>
      <c r="M312" t="s">
        <v>20</v>
      </c>
      <c r="N312">
        <f>L312/500</f>
        <v>0</v>
      </c>
      <c r="P312">
        <f>K312/800</f>
        <v>0.39374999999999999</v>
      </c>
    </row>
    <row r="313" spans="1:16" x14ac:dyDescent="0.35">
      <c r="A313">
        <v>637</v>
      </c>
      <c r="B313">
        <v>583005969</v>
      </c>
      <c r="C313">
        <v>37031</v>
      </c>
      <c r="D313" t="s">
        <v>82</v>
      </c>
      <c r="E313" t="s">
        <v>324</v>
      </c>
      <c r="F313" t="s">
        <v>83</v>
      </c>
      <c r="G313" t="s">
        <v>84</v>
      </c>
      <c r="H313" t="s">
        <v>17</v>
      </c>
      <c r="I313" t="s">
        <v>18</v>
      </c>
      <c r="J313" t="s">
        <v>19</v>
      </c>
      <c r="K313">
        <v>702</v>
      </c>
      <c r="L313">
        <v>0</v>
      </c>
      <c r="M313" t="s">
        <v>20</v>
      </c>
      <c r="N313">
        <f>L313/500</f>
        <v>0</v>
      </c>
      <c r="P313">
        <f>K313/800</f>
        <v>0.87749999999999995</v>
      </c>
    </row>
    <row r="314" spans="1:16" x14ac:dyDescent="0.35">
      <c r="A314">
        <v>638</v>
      </c>
      <c r="B314">
        <v>583005969</v>
      </c>
      <c r="C314">
        <v>37031</v>
      </c>
      <c r="D314" t="s">
        <v>82</v>
      </c>
      <c r="E314" t="s">
        <v>324</v>
      </c>
      <c r="F314" t="s">
        <v>83</v>
      </c>
      <c r="G314" t="s">
        <v>84</v>
      </c>
      <c r="H314" t="s">
        <v>17</v>
      </c>
      <c r="I314" t="s">
        <v>18</v>
      </c>
      <c r="J314" t="s">
        <v>19</v>
      </c>
      <c r="K314">
        <v>1257</v>
      </c>
      <c r="L314">
        <v>0</v>
      </c>
      <c r="M314" t="s">
        <v>20</v>
      </c>
      <c r="N314">
        <f>L314/500</f>
        <v>0</v>
      </c>
      <c r="P314">
        <f>K314/800</f>
        <v>1.57125</v>
      </c>
    </row>
    <row r="315" spans="1:16" x14ac:dyDescent="0.35">
      <c r="A315">
        <v>809</v>
      </c>
      <c r="B315">
        <v>583006131</v>
      </c>
      <c r="C315">
        <v>37256</v>
      </c>
      <c r="D315" t="s">
        <v>82</v>
      </c>
      <c r="E315" t="s">
        <v>360</v>
      </c>
      <c r="F315" t="s">
        <v>83</v>
      </c>
      <c r="G315" t="s">
        <v>84</v>
      </c>
      <c r="H315" t="s">
        <v>17</v>
      </c>
      <c r="I315" t="s">
        <v>18</v>
      </c>
      <c r="J315" t="s">
        <v>19</v>
      </c>
      <c r="K315">
        <v>2331</v>
      </c>
      <c r="L315">
        <v>0</v>
      </c>
      <c r="M315" t="s">
        <v>20</v>
      </c>
      <c r="N315">
        <f>L315/500</f>
        <v>0</v>
      </c>
      <c r="P315">
        <f>K315/800</f>
        <v>2.9137499999999998</v>
      </c>
    </row>
    <row r="316" spans="1:16" x14ac:dyDescent="0.35">
      <c r="A316">
        <v>815</v>
      </c>
      <c r="B316">
        <v>583006131</v>
      </c>
      <c r="C316">
        <v>37256</v>
      </c>
      <c r="D316" t="s">
        <v>82</v>
      </c>
      <c r="E316" t="s">
        <v>360</v>
      </c>
      <c r="F316" t="s">
        <v>83</v>
      </c>
      <c r="G316" t="s">
        <v>84</v>
      </c>
      <c r="H316" t="s">
        <v>17</v>
      </c>
      <c r="I316" t="s">
        <v>18</v>
      </c>
      <c r="J316" t="s">
        <v>19</v>
      </c>
      <c r="K316">
        <v>729</v>
      </c>
      <c r="L316">
        <v>0</v>
      </c>
      <c r="M316" t="s">
        <v>20</v>
      </c>
      <c r="N316">
        <f>L316/500</f>
        <v>0</v>
      </c>
      <c r="P316">
        <f>K316/800</f>
        <v>0.91125</v>
      </c>
    </row>
    <row r="317" spans="1:16" x14ac:dyDescent="0.35">
      <c r="A317">
        <v>816</v>
      </c>
      <c r="B317">
        <v>583006131</v>
      </c>
      <c r="C317">
        <v>37256</v>
      </c>
      <c r="D317" t="s">
        <v>82</v>
      </c>
      <c r="E317" t="s">
        <v>360</v>
      </c>
      <c r="F317" t="s">
        <v>83</v>
      </c>
      <c r="G317" t="s">
        <v>84</v>
      </c>
      <c r="H317" t="s">
        <v>17</v>
      </c>
      <c r="I317" t="s">
        <v>18</v>
      </c>
      <c r="J317" t="s">
        <v>19</v>
      </c>
      <c r="K317">
        <v>585</v>
      </c>
      <c r="L317">
        <v>0</v>
      </c>
      <c r="M317" t="s">
        <v>20</v>
      </c>
      <c r="N317">
        <f>L317/500</f>
        <v>0</v>
      </c>
      <c r="P317">
        <f>K317/800</f>
        <v>0.73124999999999996</v>
      </c>
    </row>
    <row r="318" spans="1:16" x14ac:dyDescent="0.35">
      <c r="A318">
        <v>819</v>
      </c>
      <c r="B318">
        <v>583006131</v>
      </c>
      <c r="C318">
        <v>37256</v>
      </c>
      <c r="D318" t="s">
        <v>82</v>
      </c>
      <c r="E318" t="s">
        <v>360</v>
      </c>
      <c r="F318" t="s">
        <v>83</v>
      </c>
      <c r="G318" t="s">
        <v>84</v>
      </c>
      <c r="H318" t="s">
        <v>17</v>
      </c>
      <c r="I318" t="s">
        <v>18</v>
      </c>
      <c r="J318" t="s">
        <v>19</v>
      </c>
      <c r="K318">
        <v>144</v>
      </c>
      <c r="L318">
        <v>0</v>
      </c>
      <c r="M318" t="s">
        <v>20</v>
      </c>
      <c r="N318">
        <f>L318/500</f>
        <v>0</v>
      </c>
      <c r="P318">
        <f>K318/800</f>
        <v>0.18</v>
      </c>
    </row>
    <row r="319" spans="1:16" x14ac:dyDescent="0.35">
      <c r="A319">
        <v>1092</v>
      </c>
      <c r="B319">
        <v>583006501</v>
      </c>
      <c r="C319">
        <v>37740</v>
      </c>
      <c r="D319" t="s">
        <v>82</v>
      </c>
      <c r="E319" t="s">
        <v>404</v>
      </c>
      <c r="F319" t="s">
        <v>83</v>
      </c>
      <c r="G319" t="s">
        <v>84</v>
      </c>
      <c r="H319" t="s">
        <v>17</v>
      </c>
      <c r="I319" t="s">
        <v>18</v>
      </c>
      <c r="J319" t="s">
        <v>19</v>
      </c>
      <c r="K319">
        <v>504</v>
      </c>
      <c r="L319">
        <v>0</v>
      </c>
      <c r="M319" t="s">
        <v>20</v>
      </c>
      <c r="N319">
        <f>L319/500</f>
        <v>0</v>
      </c>
      <c r="P319">
        <f>K319/800</f>
        <v>0.63</v>
      </c>
    </row>
    <row r="320" spans="1:16" x14ac:dyDescent="0.35">
      <c r="A320">
        <v>1093</v>
      </c>
      <c r="B320">
        <v>583006501</v>
      </c>
      <c r="C320">
        <v>37740</v>
      </c>
      <c r="D320" t="s">
        <v>82</v>
      </c>
      <c r="E320" t="s">
        <v>404</v>
      </c>
      <c r="F320" t="s">
        <v>83</v>
      </c>
      <c r="G320" t="s">
        <v>84</v>
      </c>
      <c r="H320" t="s">
        <v>17</v>
      </c>
      <c r="I320" t="s">
        <v>18</v>
      </c>
      <c r="J320" t="s">
        <v>19</v>
      </c>
      <c r="K320">
        <v>2250</v>
      </c>
      <c r="L320">
        <v>0</v>
      </c>
      <c r="M320" t="s">
        <v>20</v>
      </c>
      <c r="N320">
        <f>L320/500</f>
        <v>0</v>
      </c>
      <c r="P320">
        <f>K320/800</f>
        <v>2.8125</v>
      </c>
    </row>
    <row r="321" spans="1:17" x14ac:dyDescent="0.35">
      <c r="A321">
        <v>1094</v>
      </c>
      <c r="B321">
        <v>583006501</v>
      </c>
      <c r="C321">
        <v>37740</v>
      </c>
      <c r="D321" t="s">
        <v>82</v>
      </c>
      <c r="E321" t="s">
        <v>404</v>
      </c>
      <c r="F321" t="s">
        <v>83</v>
      </c>
      <c r="G321" t="s">
        <v>84</v>
      </c>
      <c r="H321" t="s">
        <v>17</v>
      </c>
      <c r="I321" t="s">
        <v>18</v>
      </c>
      <c r="J321" t="s">
        <v>19</v>
      </c>
      <c r="K321">
        <v>90</v>
      </c>
      <c r="L321">
        <v>0</v>
      </c>
      <c r="M321" t="s">
        <v>20</v>
      </c>
      <c r="N321">
        <f>L321/500</f>
        <v>0</v>
      </c>
      <c r="P321">
        <f>K321/800</f>
        <v>0.1125</v>
      </c>
    </row>
    <row r="322" spans="1:17" x14ac:dyDescent="0.35">
      <c r="A322">
        <v>1095</v>
      </c>
      <c r="B322">
        <v>583006501</v>
      </c>
      <c r="C322">
        <v>37740</v>
      </c>
      <c r="D322" t="s">
        <v>82</v>
      </c>
      <c r="E322" t="s">
        <v>404</v>
      </c>
      <c r="F322" t="s">
        <v>83</v>
      </c>
      <c r="G322" t="s">
        <v>84</v>
      </c>
      <c r="H322" t="s">
        <v>17</v>
      </c>
      <c r="I322" t="s">
        <v>18</v>
      </c>
      <c r="J322" t="s">
        <v>19</v>
      </c>
      <c r="K322">
        <v>864</v>
      </c>
      <c r="L322">
        <v>0</v>
      </c>
      <c r="M322" t="s">
        <v>20</v>
      </c>
      <c r="N322">
        <f>L322/500</f>
        <v>0</v>
      </c>
      <c r="P322">
        <f>K322/800</f>
        <v>1.08</v>
      </c>
    </row>
    <row r="323" spans="1:17" x14ac:dyDescent="0.35">
      <c r="A323">
        <v>1203</v>
      </c>
      <c r="B323">
        <v>583006655</v>
      </c>
      <c r="C323">
        <v>37937</v>
      </c>
      <c r="D323" t="s">
        <v>82</v>
      </c>
      <c r="E323" t="s">
        <v>420</v>
      </c>
      <c r="F323" t="s">
        <v>83</v>
      </c>
      <c r="G323" t="s">
        <v>84</v>
      </c>
      <c r="H323" t="s">
        <v>17</v>
      </c>
      <c r="I323" t="s">
        <v>18</v>
      </c>
      <c r="J323" t="s">
        <v>19</v>
      </c>
      <c r="K323">
        <v>774</v>
      </c>
      <c r="L323">
        <v>0</v>
      </c>
      <c r="M323" t="s">
        <v>20</v>
      </c>
      <c r="N323">
        <f>L323/500</f>
        <v>0</v>
      </c>
      <c r="P323">
        <f>K323/800</f>
        <v>0.96750000000000003</v>
      </c>
    </row>
    <row r="324" spans="1:17" x14ac:dyDescent="0.35">
      <c r="A324">
        <v>1204</v>
      </c>
      <c r="B324">
        <v>583006655</v>
      </c>
      <c r="C324">
        <v>37937</v>
      </c>
      <c r="D324" t="s">
        <v>82</v>
      </c>
      <c r="E324" t="s">
        <v>420</v>
      </c>
      <c r="F324" t="s">
        <v>83</v>
      </c>
      <c r="G324" t="s">
        <v>84</v>
      </c>
      <c r="H324" t="s">
        <v>17</v>
      </c>
      <c r="I324" t="s">
        <v>18</v>
      </c>
      <c r="J324" t="s">
        <v>19</v>
      </c>
      <c r="K324">
        <v>1926</v>
      </c>
      <c r="L324">
        <v>0</v>
      </c>
      <c r="M324" t="s">
        <v>20</v>
      </c>
      <c r="N324">
        <f>L324/500</f>
        <v>0</v>
      </c>
      <c r="P324">
        <f>K324/800</f>
        <v>2.4075000000000002</v>
      </c>
    </row>
    <row r="325" spans="1:17" x14ac:dyDescent="0.35">
      <c r="A325">
        <v>1205</v>
      </c>
      <c r="B325">
        <v>583006655</v>
      </c>
      <c r="C325">
        <v>37937</v>
      </c>
      <c r="D325" t="s">
        <v>82</v>
      </c>
      <c r="E325" t="s">
        <v>420</v>
      </c>
      <c r="F325" t="s">
        <v>83</v>
      </c>
      <c r="G325" t="s">
        <v>84</v>
      </c>
      <c r="H325" t="s">
        <v>17</v>
      </c>
      <c r="I325" t="s">
        <v>18</v>
      </c>
      <c r="J325" t="s">
        <v>19</v>
      </c>
      <c r="K325">
        <v>1071</v>
      </c>
      <c r="L325">
        <v>0</v>
      </c>
      <c r="M325" t="s">
        <v>20</v>
      </c>
      <c r="N325">
        <f>L325/500</f>
        <v>0</v>
      </c>
      <c r="P325">
        <f>K325/800</f>
        <v>1.3387500000000001</v>
      </c>
    </row>
    <row r="326" spans="1:17" x14ac:dyDescent="0.35">
      <c r="A326">
        <v>85</v>
      </c>
      <c r="B326">
        <v>583005121</v>
      </c>
      <c r="C326">
        <v>35849</v>
      </c>
      <c r="D326" t="s">
        <v>82</v>
      </c>
      <c r="E326" t="s">
        <v>126</v>
      </c>
      <c r="F326" t="s">
        <v>83</v>
      </c>
      <c r="G326" t="s">
        <v>84</v>
      </c>
      <c r="H326" t="s">
        <v>17</v>
      </c>
      <c r="I326" t="s">
        <v>135</v>
      </c>
      <c r="J326" t="s">
        <v>19</v>
      </c>
      <c r="K326">
        <v>300</v>
      </c>
      <c r="L326">
        <v>0</v>
      </c>
      <c r="M326" t="s">
        <v>20</v>
      </c>
      <c r="N326">
        <f>L326/500</f>
        <v>0</v>
      </c>
      <c r="Q326">
        <f>K326/2500</f>
        <v>0.12</v>
      </c>
    </row>
    <row r="327" spans="1:17" x14ac:dyDescent="0.35">
      <c r="A327">
        <v>1180</v>
      </c>
      <c r="B327">
        <v>583006584</v>
      </c>
      <c r="C327">
        <v>37846</v>
      </c>
      <c r="D327" t="s">
        <v>417</v>
      </c>
      <c r="E327" t="s">
        <v>413</v>
      </c>
      <c r="F327" t="s">
        <v>418</v>
      </c>
      <c r="G327" t="s">
        <v>419</v>
      </c>
      <c r="H327" t="s">
        <v>17</v>
      </c>
      <c r="I327" t="s">
        <v>18</v>
      </c>
      <c r="J327" t="s">
        <v>19</v>
      </c>
      <c r="K327">
        <v>36</v>
      </c>
      <c r="L327">
        <v>0</v>
      </c>
      <c r="M327" t="s">
        <v>20</v>
      </c>
      <c r="N327">
        <f>L327/500</f>
        <v>0</v>
      </c>
      <c r="P327">
        <f>K327/800</f>
        <v>4.4999999999999998E-2</v>
      </c>
    </row>
    <row r="328" spans="1:17" x14ac:dyDescent="0.35">
      <c r="A328">
        <v>1446</v>
      </c>
      <c r="B328">
        <v>583006933</v>
      </c>
      <c r="C328">
        <v>38326</v>
      </c>
      <c r="D328" t="s">
        <v>417</v>
      </c>
      <c r="E328" t="s">
        <v>451</v>
      </c>
      <c r="F328" t="s">
        <v>418</v>
      </c>
      <c r="G328" t="s">
        <v>419</v>
      </c>
      <c r="H328" t="s">
        <v>17</v>
      </c>
      <c r="I328" t="s">
        <v>18</v>
      </c>
      <c r="J328" t="s">
        <v>19</v>
      </c>
      <c r="K328">
        <v>3</v>
      </c>
      <c r="L328">
        <v>0</v>
      </c>
      <c r="M328" t="s">
        <v>20</v>
      </c>
      <c r="N328">
        <f>L328/500</f>
        <v>0</v>
      </c>
      <c r="P328">
        <f>K328/800</f>
        <v>3.7499999999999999E-3</v>
      </c>
    </row>
    <row r="329" spans="1:17" x14ac:dyDescent="0.35">
      <c r="A329">
        <v>27</v>
      </c>
      <c r="B329">
        <v>583005053</v>
      </c>
      <c r="C329">
        <v>35748</v>
      </c>
      <c r="D329" t="s">
        <v>21</v>
      </c>
      <c r="E329" t="s">
        <v>14</v>
      </c>
      <c r="F329" t="s">
        <v>22</v>
      </c>
      <c r="G329" t="s">
        <v>23</v>
      </c>
      <c r="H329" t="s">
        <v>17</v>
      </c>
      <c r="I329" t="s">
        <v>18</v>
      </c>
      <c r="J329" t="s">
        <v>19</v>
      </c>
      <c r="K329">
        <v>4461</v>
      </c>
      <c r="L329">
        <v>0</v>
      </c>
      <c r="M329" t="s">
        <v>20</v>
      </c>
      <c r="N329">
        <f>L329/500</f>
        <v>0</v>
      </c>
      <c r="P329">
        <f>K329/800</f>
        <v>5.5762499999999999</v>
      </c>
    </row>
    <row r="330" spans="1:17" x14ac:dyDescent="0.35">
      <c r="A330">
        <v>41</v>
      </c>
      <c r="B330">
        <v>583005053</v>
      </c>
      <c r="C330">
        <v>35748</v>
      </c>
      <c r="D330" t="s">
        <v>21</v>
      </c>
      <c r="E330" t="s">
        <v>14</v>
      </c>
      <c r="F330" t="s">
        <v>22</v>
      </c>
      <c r="G330" t="s">
        <v>23</v>
      </c>
      <c r="H330" t="s">
        <v>17</v>
      </c>
      <c r="I330" t="s">
        <v>18</v>
      </c>
      <c r="J330" t="s">
        <v>19</v>
      </c>
      <c r="K330">
        <v>450</v>
      </c>
      <c r="L330">
        <v>0</v>
      </c>
      <c r="M330" t="s">
        <v>20</v>
      </c>
      <c r="N330">
        <f>L330/500</f>
        <v>0</v>
      </c>
      <c r="P330">
        <f>K330/800</f>
        <v>0.5625</v>
      </c>
    </row>
    <row r="331" spans="1:17" x14ac:dyDescent="0.35">
      <c r="A331">
        <v>44</v>
      </c>
      <c r="B331">
        <v>583005063</v>
      </c>
      <c r="C331">
        <v>35776</v>
      </c>
      <c r="D331" t="s">
        <v>21</v>
      </c>
      <c r="E331" t="s">
        <v>81</v>
      </c>
      <c r="F331" t="s">
        <v>22</v>
      </c>
      <c r="G331" t="s">
        <v>23</v>
      </c>
      <c r="H331" t="s">
        <v>17</v>
      </c>
      <c r="I331" t="s">
        <v>18</v>
      </c>
      <c r="J331" t="s">
        <v>19</v>
      </c>
      <c r="K331">
        <v>2823</v>
      </c>
      <c r="L331">
        <v>0</v>
      </c>
      <c r="M331" t="s">
        <v>20</v>
      </c>
      <c r="N331">
        <f>L331/500</f>
        <v>0</v>
      </c>
      <c r="P331">
        <f>K331/800</f>
        <v>3.5287500000000001</v>
      </c>
    </row>
    <row r="332" spans="1:17" x14ac:dyDescent="0.35">
      <c r="A332">
        <v>47</v>
      </c>
      <c r="B332">
        <v>583005063</v>
      </c>
      <c r="C332">
        <v>35776</v>
      </c>
      <c r="D332" t="s">
        <v>21</v>
      </c>
      <c r="E332" t="s">
        <v>81</v>
      </c>
      <c r="F332" t="s">
        <v>22</v>
      </c>
      <c r="G332" t="s">
        <v>23</v>
      </c>
      <c r="H332" t="s">
        <v>17</v>
      </c>
      <c r="I332" t="s">
        <v>18</v>
      </c>
      <c r="J332" t="s">
        <v>19</v>
      </c>
      <c r="K332">
        <v>1350</v>
      </c>
      <c r="L332">
        <v>0</v>
      </c>
      <c r="M332" t="s">
        <v>20</v>
      </c>
      <c r="N332">
        <f>L332/500</f>
        <v>0</v>
      </c>
      <c r="P332">
        <f>K332/800</f>
        <v>1.6875</v>
      </c>
    </row>
    <row r="333" spans="1:17" x14ac:dyDescent="0.35">
      <c r="A333">
        <v>119</v>
      </c>
      <c r="B333">
        <v>583005126</v>
      </c>
      <c r="C333">
        <v>35855</v>
      </c>
      <c r="D333" t="s">
        <v>21</v>
      </c>
      <c r="E333" t="s">
        <v>126</v>
      </c>
      <c r="F333" t="s">
        <v>22</v>
      </c>
      <c r="G333" t="s">
        <v>23</v>
      </c>
      <c r="H333" t="s">
        <v>17</v>
      </c>
      <c r="I333" t="s">
        <v>18</v>
      </c>
      <c r="J333" t="s">
        <v>19</v>
      </c>
      <c r="K333">
        <v>1437</v>
      </c>
      <c r="L333">
        <v>0</v>
      </c>
      <c r="M333" t="s">
        <v>20</v>
      </c>
      <c r="N333">
        <f>L333/500</f>
        <v>0</v>
      </c>
      <c r="P333">
        <f>K333/800</f>
        <v>1.7962499999999999</v>
      </c>
    </row>
    <row r="334" spans="1:17" x14ac:dyDescent="0.35">
      <c r="A334">
        <v>120</v>
      </c>
      <c r="B334">
        <v>583005126</v>
      </c>
      <c r="C334">
        <v>35855</v>
      </c>
      <c r="D334" t="s">
        <v>21</v>
      </c>
      <c r="E334" t="s">
        <v>126</v>
      </c>
      <c r="F334" t="s">
        <v>22</v>
      </c>
      <c r="G334" t="s">
        <v>23</v>
      </c>
      <c r="H334" t="s">
        <v>17</v>
      </c>
      <c r="I334" t="s">
        <v>18</v>
      </c>
      <c r="J334" t="s">
        <v>19</v>
      </c>
      <c r="K334">
        <v>144</v>
      </c>
      <c r="L334">
        <v>0</v>
      </c>
      <c r="M334" t="s">
        <v>20</v>
      </c>
      <c r="N334">
        <f>L334/500</f>
        <v>0</v>
      </c>
      <c r="P334">
        <f>K334/800</f>
        <v>0.18</v>
      </c>
    </row>
    <row r="335" spans="1:17" x14ac:dyDescent="0.35">
      <c r="A335">
        <v>121</v>
      </c>
      <c r="B335">
        <v>583005126</v>
      </c>
      <c r="C335">
        <v>35855</v>
      </c>
      <c r="D335" t="s">
        <v>21</v>
      </c>
      <c r="E335" t="s">
        <v>126</v>
      </c>
      <c r="F335" t="s">
        <v>22</v>
      </c>
      <c r="G335" t="s">
        <v>23</v>
      </c>
      <c r="H335" t="s">
        <v>17</v>
      </c>
      <c r="I335" t="s">
        <v>18</v>
      </c>
      <c r="J335" t="s">
        <v>19</v>
      </c>
      <c r="K335">
        <v>270</v>
      </c>
      <c r="L335">
        <v>0</v>
      </c>
      <c r="M335" t="s">
        <v>20</v>
      </c>
      <c r="N335">
        <f>L335/500</f>
        <v>0</v>
      </c>
      <c r="P335">
        <f>K335/800</f>
        <v>0.33750000000000002</v>
      </c>
    </row>
    <row r="336" spans="1:17" x14ac:dyDescent="0.35">
      <c r="A336">
        <v>141</v>
      </c>
      <c r="B336">
        <v>583005236</v>
      </c>
      <c r="C336">
        <v>35997</v>
      </c>
      <c r="D336" t="s">
        <v>21</v>
      </c>
      <c r="E336" t="s">
        <v>177</v>
      </c>
      <c r="F336" t="s">
        <v>22</v>
      </c>
      <c r="G336" t="s">
        <v>23</v>
      </c>
      <c r="H336" t="s">
        <v>17</v>
      </c>
      <c r="I336" t="s">
        <v>18</v>
      </c>
      <c r="J336" t="s">
        <v>19</v>
      </c>
      <c r="K336">
        <v>57</v>
      </c>
      <c r="L336">
        <v>0</v>
      </c>
      <c r="M336" t="s">
        <v>20</v>
      </c>
      <c r="N336">
        <f>L336/500</f>
        <v>0</v>
      </c>
      <c r="P336">
        <f>K336/800</f>
        <v>7.1249999999999994E-2</v>
      </c>
    </row>
    <row r="337" spans="1:16" x14ac:dyDescent="0.35">
      <c r="A337">
        <v>177</v>
      </c>
      <c r="B337">
        <v>583005284</v>
      </c>
      <c r="C337">
        <v>36068</v>
      </c>
      <c r="D337" t="s">
        <v>21</v>
      </c>
      <c r="E337" t="s">
        <v>200</v>
      </c>
      <c r="F337" t="s">
        <v>22</v>
      </c>
      <c r="G337" t="s">
        <v>23</v>
      </c>
      <c r="H337" t="s">
        <v>17</v>
      </c>
      <c r="I337" t="s">
        <v>18</v>
      </c>
      <c r="J337" t="s">
        <v>19</v>
      </c>
      <c r="K337">
        <v>4230</v>
      </c>
      <c r="L337">
        <v>0</v>
      </c>
      <c r="M337" t="s">
        <v>20</v>
      </c>
      <c r="N337">
        <f>L337/500</f>
        <v>0</v>
      </c>
      <c r="P337">
        <f>K337/800</f>
        <v>5.2874999999999996</v>
      </c>
    </row>
    <row r="338" spans="1:16" x14ac:dyDescent="0.35">
      <c r="A338">
        <v>181</v>
      </c>
      <c r="B338">
        <v>583005260</v>
      </c>
      <c r="C338">
        <v>36034</v>
      </c>
      <c r="D338" t="s">
        <v>21</v>
      </c>
      <c r="E338" t="s">
        <v>200</v>
      </c>
      <c r="F338" t="s">
        <v>22</v>
      </c>
      <c r="G338" t="s">
        <v>23</v>
      </c>
      <c r="H338" t="s">
        <v>17</v>
      </c>
      <c r="I338" t="s">
        <v>18</v>
      </c>
      <c r="J338" t="s">
        <v>19</v>
      </c>
      <c r="K338">
        <v>57</v>
      </c>
      <c r="L338">
        <v>0</v>
      </c>
      <c r="M338" t="s">
        <v>20</v>
      </c>
      <c r="N338">
        <f>L338/500</f>
        <v>0</v>
      </c>
      <c r="P338">
        <f>K338/800</f>
        <v>7.1249999999999994E-2</v>
      </c>
    </row>
    <row r="339" spans="1:16" x14ac:dyDescent="0.35">
      <c r="A339">
        <v>204</v>
      </c>
      <c r="B339">
        <v>583005294</v>
      </c>
      <c r="C339">
        <v>36079</v>
      </c>
      <c r="D339" t="s">
        <v>21</v>
      </c>
      <c r="E339" t="s">
        <v>215</v>
      </c>
      <c r="F339" t="s">
        <v>22</v>
      </c>
      <c r="G339" t="s">
        <v>23</v>
      </c>
      <c r="H339" t="s">
        <v>17</v>
      </c>
      <c r="I339" t="s">
        <v>18</v>
      </c>
      <c r="J339" t="s">
        <v>19</v>
      </c>
      <c r="K339">
        <v>144</v>
      </c>
      <c r="L339">
        <v>0</v>
      </c>
      <c r="M339" t="s">
        <v>20</v>
      </c>
      <c r="N339">
        <f>L339/500</f>
        <v>0</v>
      </c>
      <c r="P339">
        <f>K339/800</f>
        <v>0.18</v>
      </c>
    </row>
    <row r="340" spans="1:16" x14ac:dyDescent="0.35">
      <c r="A340">
        <v>205</v>
      </c>
      <c r="B340">
        <v>583005294</v>
      </c>
      <c r="C340">
        <v>36079</v>
      </c>
      <c r="D340" t="s">
        <v>21</v>
      </c>
      <c r="E340" t="s">
        <v>215</v>
      </c>
      <c r="F340" t="s">
        <v>22</v>
      </c>
      <c r="G340" t="s">
        <v>23</v>
      </c>
      <c r="H340" t="s">
        <v>17</v>
      </c>
      <c r="I340" t="s">
        <v>18</v>
      </c>
      <c r="J340" t="s">
        <v>19</v>
      </c>
      <c r="K340">
        <v>1737</v>
      </c>
      <c r="L340">
        <v>0</v>
      </c>
      <c r="M340" t="s">
        <v>20</v>
      </c>
      <c r="N340">
        <f>L340/500</f>
        <v>0</v>
      </c>
      <c r="P340">
        <f>K340/800</f>
        <v>2.1712500000000001</v>
      </c>
    </row>
    <row r="341" spans="1:16" x14ac:dyDescent="0.35">
      <c r="A341">
        <v>206</v>
      </c>
      <c r="B341">
        <v>583005294</v>
      </c>
      <c r="C341">
        <v>36079</v>
      </c>
      <c r="D341" t="s">
        <v>21</v>
      </c>
      <c r="E341" t="s">
        <v>215</v>
      </c>
      <c r="F341" t="s">
        <v>22</v>
      </c>
      <c r="G341" t="s">
        <v>23</v>
      </c>
      <c r="H341" t="s">
        <v>17</v>
      </c>
      <c r="I341" t="s">
        <v>18</v>
      </c>
      <c r="J341" t="s">
        <v>19</v>
      </c>
      <c r="K341">
        <v>714</v>
      </c>
      <c r="L341">
        <v>0</v>
      </c>
      <c r="M341" t="s">
        <v>20</v>
      </c>
      <c r="N341">
        <f>L341/500</f>
        <v>0</v>
      </c>
      <c r="P341">
        <f>K341/800</f>
        <v>0.89249999999999996</v>
      </c>
    </row>
    <row r="342" spans="1:16" x14ac:dyDescent="0.35">
      <c r="A342">
        <v>207</v>
      </c>
      <c r="B342">
        <v>583005294</v>
      </c>
      <c r="C342">
        <v>36079</v>
      </c>
      <c r="D342" t="s">
        <v>21</v>
      </c>
      <c r="E342" t="s">
        <v>215</v>
      </c>
      <c r="F342" t="s">
        <v>22</v>
      </c>
      <c r="G342" t="s">
        <v>23</v>
      </c>
      <c r="H342" t="s">
        <v>17</v>
      </c>
      <c r="I342" t="s">
        <v>18</v>
      </c>
      <c r="J342" t="s">
        <v>19</v>
      </c>
      <c r="K342">
        <v>1167</v>
      </c>
      <c r="L342">
        <v>0</v>
      </c>
      <c r="M342" t="s">
        <v>20</v>
      </c>
      <c r="N342">
        <f>L342/500</f>
        <v>0</v>
      </c>
      <c r="P342">
        <f>K342/800</f>
        <v>1.45875</v>
      </c>
    </row>
    <row r="343" spans="1:16" x14ac:dyDescent="0.35">
      <c r="A343">
        <v>215</v>
      </c>
      <c r="B343">
        <v>583005306</v>
      </c>
      <c r="C343">
        <v>36106</v>
      </c>
      <c r="D343" t="s">
        <v>21</v>
      </c>
      <c r="E343" t="s">
        <v>217</v>
      </c>
      <c r="F343" t="s">
        <v>22</v>
      </c>
      <c r="G343" t="s">
        <v>23</v>
      </c>
      <c r="H343" t="s">
        <v>17</v>
      </c>
      <c r="I343" t="s">
        <v>18</v>
      </c>
      <c r="J343" t="s">
        <v>19</v>
      </c>
      <c r="K343">
        <v>180</v>
      </c>
      <c r="L343">
        <v>0</v>
      </c>
      <c r="M343" t="s">
        <v>20</v>
      </c>
      <c r="N343">
        <f>L343/500</f>
        <v>0</v>
      </c>
      <c r="P343">
        <f>K343/800</f>
        <v>0.22500000000000001</v>
      </c>
    </row>
    <row r="344" spans="1:16" x14ac:dyDescent="0.35">
      <c r="A344">
        <v>216</v>
      </c>
      <c r="B344">
        <v>583005306</v>
      </c>
      <c r="C344">
        <v>36106</v>
      </c>
      <c r="D344" t="s">
        <v>21</v>
      </c>
      <c r="E344" t="s">
        <v>217</v>
      </c>
      <c r="F344" t="s">
        <v>22</v>
      </c>
      <c r="G344" t="s">
        <v>23</v>
      </c>
      <c r="H344" t="s">
        <v>17</v>
      </c>
      <c r="I344" t="s">
        <v>18</v>
      </c>
      <c r="J344" t="s">
        <v>19</v>
      </c>
      <c r="K344">
        <v>594</v>
      </c>
      <c r="L344">
        <v>0</v>
      </c>
      <c r="M344" t="s">
        <v>20</v>
      </c>
      <c r="N344">
        <f>L344/500</f>
        <v>0</v>
      </c>
      <c r="P344">
        <f>K344/800</f>
        <v>0.74250000000000005</v>
      </c>
    </row>
    <row r="345" spans="1:16" x14ac:dyDescent="0.35">
      <c r="A345">
        <v>217</v>
      </c>
      <c r="B345">
        <v>583005306</v>
      </c>
      <c r="C345">
        <v>36106</v>
      </c>
      <c r="D345" t="s">
        <v>21</v>
      </c>
      <c r="E345" t="s">
        <v>217</v>
      </c>
      <c r="F345" t="s">
        <v>22</v>
      </c>
      <c r="G345" t="s">
        <v>23</v>
      </c>
      <c r="H345" t="s">
        <v>17</v>
      </c>
      <c r="I345" t="s">
        <v>18</v>
      </c>
      <c r="J345" t="s">
        <v>19</v>
      </c>
      <c r="K345">
        <v>3195</v>
      </c>
      <c r="L345">
        <v>0</v>
      </c>
      <c r="M345" t="s">
        <v>20</v>
      </c>
      <c r="N345">
        <f>L345/500</f>
        <v>0</v>
      </c>
      <c r="P345">
        <f>K345/800</f>
        <v>3.9937499999999999</v>
      </c>
    </row>
    <row r="346" spans="1:16" x14ac:dyDescent="0.35">
      <c r="A346">
        <v>288</v>
      </c>
      <c r="B346">
        <v>583005456</v>
      </c>
      <c r="C346">
        <v>36309</v>
      </c>
      <c r="D346" t="s">
        <v>21</v>
      </c>
      <c r="E346" t="s">
        <v>254</v>
      </c>
      <c r="F346" t="s">
        <v>22</v>
      </c>
      <c r="G346" t="s">
        <v>23</v>
      </c>
      <c r="H346" t="s">
        <v>17</v>
      </c>
      <c r="I346" t="s">
        <v>18</v>
      </c>
      <c r="J346" t="s">
        <v>19</v>
      </c>
      <c r="K346">
        <v>630</v>
      </c>
      <c r="L346">
        <v>0</v>
      </c>
      <c r="M346" t="s">
        <v>20</v>
      </c>
      <c r="N346">
        <f>L346/500</f>
        <v>0</v>
      </c>
      <c r="P346">
        <f>K346/800</f>
        <v>0.78749999999999998</v>
      </c>
    </row>
    <row r="347" spans="1:16" x14ac:dyDescent="0.35">
      <c r="A347">
        <v>289</v>
      </c>
      <c r="B347">
        <v>583005456</v>
      </c>
      <c r="C347">
        <v>36309</v>
      </c>
      <c r="D347" t="s">
        <v>21</v>
      </c>
      <c r="E347" t="s">
        <v>254</v>
      </c>
      <c r="F347" t="s">
        <v>22</v>
      </c>
      <c r="G347" t="s">
        <v>23</v>
      </c>
      <c r="H347" t="s">
        <v>17</v>
      </c>
      <c r="I347" t="s">
        <v>18</v>
      </c>
      <c r="J347" t="s">
        <v>19</v>
      </c>
      <c r="K347">
        <v>2454</v>
      </c>
      <c r="L347">
        <v>0</v>
      </c>
      <c r="M347" t="s">
        <v>20</v>
      </c>
      <c r="N347">
        <f>L347/500</f>
        <v>0</v>
      </c>
      <c r="P347">
        <f>K347/800</f>
        <v>3.0674999999999999</v>
      </c>
    </row>
    <row r="348" spans="1:16" x14ac:dyDescent="0.35">
      <c r="A348">
        <v>290</v>
      </c>
      <c r="B348">
        <v>583005456</v>
      </c>
      <c r="C348">
        <v>36309</v>
      </c>
      <c r="D348" t="s">
        <v>21</v>
      </c>
      <c r="E348" t="s">
        <v>254</v>
      </c>
      <c r="F348" t="s">
        <v>22</v>
      </c>
      <c r="G348" t="s">
        <v>23</v>
      </c>
      <c r="H348" t="s">
        <v>17</v>
      </c>
      <c r="I348" t="s">
        <v>18</v>
      </c>
      <c r="J348" t="s">
        <v>19</v>
      </c>
      <c r="K348">
        <v>786</v>
      </c>
      <c r="L348">
        <v>0</v>
      </c>
      <c r="M348" t="s">
        <v>20</v>
      </c>
      <c r="N348">
        <f>L348/500</f>
        <v>0</v>
      </c>
      <c r="P348">
        <f>K348/800</f>
        <v>0.98250000000000004</v>
      </c>
    </row>
    <row r="349" spans="1:16" x14ac:dyDescent="0.35">
      <c r="A349">
        <v>291</v>
      </c>
      <c r="B349">
        <v>583005454</v>
      </c>
      <c r="C349">
        <v>36304</v>
      </c>
      <c r="D349" t="s">
        <v>21</v>
      </c>
      <c r="E349" t="s">
        <v>254</v>
      </c>
      <c r="F349" t="s">
        <v>22</v>
      </c>
      <c r="G349" t="s">
        <v>23</v>
      </c>
      <c r="H349" t="s">
        <v>17</v>
      </c>
      <c r="I349" t="s">
        <v>18</v>
      </c>
      <c r="J349" t="s">
        <v>19</v>
      </c>
      <c r="K349">
        <v>720</v>
      </c>
      <c r="L349">
        <v>0</v>
      </c>
      <c r="M349" t="s">
        <v>20</v>
      </c>
      <c r="N349">
        <f>L349/500</f>
        <v>0</v>
      </c>
      <c r="P349">
        <f>K349/800</f>
        <v>0.9</v>
      </c>
    </row>
    <row r="350" spans="1:16" x14ac:dyDescent="0.35">
      <c r="A350">
        <v>292</v>
      </c>
      <c r="B350">
        <v>583005454</v>
      </c>
      <c r="C350">
        <v>36304</v>
      </c>
      <c r="D350" t="s">
        <v>21</v>
      </c>
      <c r="E350" t="s">
        <v>254</v>
      </c>
      <c r="F350" t="s">
        <v>22</v>
      </c>
      <c r="G350" t="s">
        <v>23</v>
      </c>
      <c r="H350" t="s">
        <v>17</v>
      </c>
      <c r="I350" t="s">
        <v>18</v>
      </c>
      <c r="J350" t="s">
        <v>19</v>
      </c>
      <c r="K350">
        <v>753</v>
      </c>
      <c r="L350">
        <v>0</v>
      </c>
      <c r="M350" t="s">
        <v>20</v>
      </c>
      <c r="N350">
        <f>L350/500</f>
        <v>0</v>
      </c>
      <c r="P350">
        <f>K350/800</f>
        <v>0.94125000000000003</v>
      </c>
    </row>
    <row r="351" spans="1:16" x14ac:dyDescent="0.35">
      <c r="A351">
        <v>293</v>
      </c>
      <c r="B351">
        <v>583005454</v>
      </c>
      <c r="C351">
        <v>36304</v>
      </c>
      <c r="D351" t="s">
        <v>21</v>
      </c>
      <c r="E351" t="s">
        <v>254</v>
      </c>
      <c r="F351" t="s">
        <v>22</v>
      </c>
      <c r="G351" t="s">
        <v>23</v>
      </c>
      <c r="H351" t="s">
        <v>17</v>
      </c>
      <c r="I351" t="s">
        <v>18</v>
      </c>
      <c r="J351" t="s">
        <v>19</v>
      </c>
      <c r="K351">
        <v>1260</v>
      </c>
      <c r="L351">
        <v>0</v>
      </c>
      <c r="M351" t="s">
        <v>20</v>
      </c>
      <c r="N351">
        <f>L351/500</f>
        <v>0</v>
      </c>
      <c r="P351">
        <f>K351/800</f>
        <v>1.575</v>
      </c>
    </row>
    <row r="352" spans="1:16" x14ac:dyDescent="0.35">
      <c r="A352">
        <v>294</v>
      </c>
      <c r="B352">
        <v>583005454</v>
      </c>
      <c r="C352">
        <v>36304</v>
      </c>
      <c r="D352" t="s">
        <v>21</v>
      </c>
      <c r="E352" t="s">
        <v>254</v>
      </c>
      <c r="F352" t="s">
        <v>22</v>
      </c>
      <c r="G352" t="s">
        <v>23</v>
      </c>
      <c r="H352" t="s">
        <v>17</v>
      </c>
      <c r="I352" t="s">
        <v>18</v>
      </c>
      <c r="J352" t="s">
        <v>19</v>
      </c>
      <c r="K352">
        <v>720</v>
      </c>
      <c r="L352">
        <v>0</v>
      </c>
      <c r="M352" t="s">
        <v>20</v>
      </c>
      <c r="N352">
        <f>L352/500</f>
        <v>0</v>
      </c>
      <c r="P352">
        <f>K352/800</f>
        <v>0.9</v>
      </c>
    </row>
    <row r="353" spans="1:16" x14ac:dyDescent="0.35">
      <c r="A353">
        <v>330</v>
      </c>
      <c r="B353">
        <v>583005528</v>
      </c>
      <c r="C353">
        <v>36412</v>
      </c>
      <c r="D353" t="s">
        <v>21</v>
      </c>
      <c r="E353" t="s">
        <v>266</v>
      </c>
      <c r="F353" t="s">
        <v>22</v>
      </c>
      <c r="G353" t="s">
        <v>23</v>
      </c>
      <c r="H353" t="s">
        <v>17</v>
      </c>
      <c r="I353" t="s">
        <v>18</v>
      </c>
      <c r="J353" t="s">
        <v>19</v>
      </c>
      <c r="K353">
        <v>72</v>
      </c>
      <c r="L353">
        <v>0</v>
      </c>
      <c r="M353" t="s">
        <v>20</v>
      </c>
      <c r="N353">
        <f>L353/500</f>
        <v>0</v>
      </c>
      <c r="P353">
        <f>K353/800</f>
        <v>0.09</v>
      </c>
    </row>
    <row r="354" spans="1:16" x14ac:dyDescent="0.35">
      <c r="A354">
        <v>355</v>
      </c>
      <c r="B354">
        <v>583005494</v>
      </c>
      <c r="C354">
        <v>36361</v>
      </c>
      <c r="D354" t="s">
        <v>21</v>
      </c>
      <c r="E354" t="s">
        <v>266</v>
      </c>
      <c r="F354" t="s">
        <v>22</v>
      </c>
      <c r="G354" t="s">
        <v>23</v>
      </c>
      <c r="H354" t="s">
        <v>17</v>
      </c>
      <c r="I354" t="s">
        <v>18</v>
      </c>
      <c r="J354" t="s">
        <v>19</v>
      </c>
      <c r="K354">
        <v>2706</v>
      </c>
      <c r="L354">
        <v>0</v>
      </c>
      <c r="M354" t="s">
        <v>20</v>
      </c>
      <c r="N354">
        <f>L354/500</f>
        <v>0</v>
      </c>
      <c r="P354">
        <f>K354/800</f>
        <v>3.3824999999999998</v>
      </c>
    </row>
    <row r="355" spans="1:16" x14ac:dyDescent="0.35">
      <c r="A355">
        <v>362</v>
      </c>
      <c r="B355">
        <v>583005494</v>
      </c>
      <c r="C355">
        <v>36361</v>
      </c>
      <c r="D355" t="s">
        <v>21</v>
      </c>
      <c r="E355" t="s">
        <v>266</v>
      </c>
      <c r="F355" t="s">
        <v>22</v>
      </c>
      <c r="G355" t="s">
        <v>23</v>
      </c>
      <c r="H355" t="s">
        <v>17</v>
      </c>
      <c r="I355" t="s">
        <v>18</v>
      </c>
      <c r="J355" t="s">
        <v>19</v>
      </c>
      <c r="K355">
        <v>567</v>
      </c>
      <c r="L355">
        <v>0</v>
      </c>
      <c r="M355" t="s">
        <v>20</v>
      </c>
      <c r="N355">
        <f>L355/500</f>
        <v>0</v>
      </c>
      <c r="P355">
        <f>K355/800</f>
        <v>0.70874999999999999</v>
      </c>
    </row>
    <row r="356" spans="1:16" x14ac:dyDescent="0.35">
      <c r="A356">
        <v>369</v>
      </c>
      <c r="B356">
        <v>583005494</v>
      </c>
      <c r="C356">
        <v>36361</v>
      </c>
      <c r="D356" t="s">
        <v>21</v>
      </c>
      <c r="E356" t="s">
        <v>266</v>
      </c>
      <c r="F356" t="s">
        <v>22</v>
      </c>
      <c r="G356" t="s">
        <v>23</v>
      </c>
      <c r="H356" t="s">
        <v>17</v>
      </c>
      <c r="I356" t="s">
        <v>18</v>
      </c>
      <c r="J356" t="s">
        <v>19</v>
      </c>
      <c r="K356">
        <v>675</v>
      </c>
      <c r="L356">
        <v>0</v>
      </c>
      <c r="M356" t="s">
        <v>20</v>
      </c>
      <c r="N356">
        <f>L356/500</f>
        <v>0</v>
      </c>
      <c r="P356">
        <f>K356/800</f>
        <v>0.84375</v>
      </c>
    </row>
    <row r="357" spans="1:16" x14ac:dyDescent="0.35">
      <c r="A357">
        <v>389</v>
      </c>
      <c r="B357">
        <v>583005625</v>
      </c>
      <c r="C357">
        <v>36542</v>
      </c>
      <c r="D357" t="s">
        <v>21</v>
      </c>
      <c r="E357" t="s">
        <v>270</v>
      </c>
      <c r="F357" t="s">
        <v>22</v>
      </c>
      <c r="G357" t="s">
        <v>23</v>
      </c>
      <c r="H357" t="s">
        <v>17</v>
      </c>
      <c r="I357" t="s">
        <v>18</v>
      </c>
      <c r="J357" t="s">
        <v>19</v>
      </c>
      <c r="K357">
        <v>2310</v>
      </c>
      <c r="L357">
        <v>0</v>
      </c>
      <c r="M357" t="s">
        <v>20</v>
      </c>
      <c r="N357">
        <f>L357/500</f>
        <v>0</v>
      </c>
      <c r="P357">
        <f>K357/800</f>
        <v>2.8875000000000002</v>
      </c>
    </row>
    <row r="358" spans="1:16" x14ac:dyDescent="0.35">
      <c r="A358">
        <v>390</v>
      </c>
      <c r="B358">
        <v>583005625</v>
      </c>
      <c r="C358">
        <v>36542</v>
      </c>
      <c r="D358" t="s">
        <v>21</v>
      </c>
      <c r="E358" t="s">
        <v>270</v>
      </c>
      <c r="F358" t="s">
        <v>22</v>
      </c>
      <c r="G358" t="s">
        <v>23</v>
      </c>
      <c r="H358" t="s">
        <v>17</v>
      </c>
      <c r="I358" t="s">
        <v>18</v>
      </c>
      <c r="J358" t="s">
        <v>19</v>
      </c>
      <c r="K358">
        <v>951</v>
      </c>
      <c r="L358">
        <v>0</v>
      </c>
      <c r="M358" t="s">
        <v>20</v>
      </c>
      <c r="N358">
        <f>L358/500</f>
        <v>0</v>
      </c>
      <c r="P358">
        <f>K358/800</f>
        <v>1.18875</v>
      </c>
    </row>
    <row r="359" spans="1:16" x14ac:dyDescent="0.35">
      <c r="A359">
        <v>391</v>
      </c>
      <c r="B359">
        <v>583005625</v>
      </c>
      <c r="C359">
        <v>36542</v>
      </c>
      <c r="D359" t="s">
        <v>21</v>
      </c>
      <c r="E359" t="s">
        <v>270</v>
      </c>
      <c r="F359" t="s">
        <v>22</v>
      </c>
      <c r="G359" t="s">
        <v>23</v>
      </c>
      <c r="H359" t="s">
        <v>17</v>
      </c>
      <c r="I359" t="s">
        <v>18</v>
      </c>
      <c r="J359" t="s">
        <v>19</v>
      </c>
      <c r="K359">
        <v>366</v>
      </c>
      <c r="L359">
        <v>0</v>
      </c>
      <c r="M359" t="s">
        <v>20</v>
      </c>
      <c r="N359">
        <f>L359/500</f>
        <v>0</v>
      </c>
      <c r="P359">
        <f>K359/800</f>
        <v>0.45750000000000002</v>
      </c>
    </row>
    <row r="360" spans="1:16" x14ac:dyDescent="0.35">
      <c r="A360">
        <v>444</v>
      </c>
      <c r="B360">
        <v>583005628</v>
      </c>
      <c r="C360">
        <v>36546</v>
      </c>
      <c r="D360" t="s">
        <v>21</v>
      </c>
      <c r="E360" t="s">
        <v>292</v>
      </c>
      <c r="F360" t="s">
        <v>22</v>
      </c>
      <c r="G360" t="s">
        <v>23</v>
      </c>
      <c r="H360" t="s">
        <v>17</v>
      </c>
      <c r="I360" t="s">
        <v>18</v>
      </c>
      <c r="J360" t="s">
        <v>19</v>
      </c>
      <c r="K360">
        <v>525</v>
      </c>
      <c r="L360">
        <v>0</v>
      </c>
      <c r="M360" t="s">
        <v>20</v>
      </c>
      <c r="N360">
        <f>L360/500</f>
        <v>0</v>
      </c>
      <c r="P360">
        <f>K360/800</f>
        <v>0.65625</v>
      </c>
    </row>
    <row r="361" spans="1:16" x14ac:dyDescent="0.35">
      <c r="A361">
        <v>445</v>
      </c>
      <c r="B361">
        <v>583005628</v>
      </c>
      <c r="C361">
        <v>36546</v>
      </c>
      <c r="D361" t="s">
        <v>21</v>
      </c>
      <c r="E361" t="s">
        <v>292</v>
      </c>
      <c r="F361" t="s">
        <v>22</v>
      </c>
      <c r="G361" t="s">
        <v>23</v>
      </c>
      <c r="H361" t="s">
        <v>17</v>
      </c>
      <c r="I361" t="s">
        <v>18</v>
      </c>
      <c r="J361" t="s">
        <v>19</v>
      </c>
      <c r="K361">
        <v>504</v>
      </c>
      <c r="L361">
        <v>0</v>
      </c>
      <c r="M361" t="s">
        <v>20</v>
      </c>
      <c r="N361">
        <f>L361/500</f>
        <v>0</v>
      </c>
      <c r="P361">
        <f>K361/800</f>
        <v>0.63</v>
      </c>
    </row>
    <row r="362" spans="1:16" x14ac:dyDescent="0.35">
      <c r="A362">
        <v>446</v>
      </c>
      <c r="B362">
        <v>583005628</v>
      </c>
      <c r="C362">
        <v>36546</v>
      </c>
      <c r="D362" t="s">
        <v>21</v>
      </c>
      <c r="E362" t="s">
        <v>292</v>
      </c>
      <c r="F362" t="s">
        <v>22</v>
      </c>
      <c r="G362" t="s">
        <v>23</v>
      </c>
      <c r="H362" t="s">
        <v>17</v>
      </c>
      <c r="I362" t="s">
        <v>18</v>
      </c>
      <c r="J362" t="s">
        <v>19</v>
      </c>
      <c r="K362">
        <v>2430</v>
      </c>
      <c r="L362">
        <v>0</v>
      </c>
      <c r="M362" t="s">
        <v>20</v>
      </c>
      <c r="N362">
        <f>L362/500</f>
        <v>0</v>
      </c>
      <c r="P362">
        <f>K362/800</f>
        <v>3.0375000000000001</v>
      </c>
    </row>
    <row r="363" spans="1:16" x14ac:dyDescent="0.35">
      <c r="A363">
        <v>448</v>
      </c>
      <c r="B363">
        <v>583005646</v>
      </c>
      <c r="C363">
        <v>36577</v>
      </c>
      <c r="D363" t="s">
        <v>21</v>
      </c>
      <c r="E363" t="s">
        <v>292</v>
      </c>
      <c r="F363" t="s">
        <v>22</v>
      </c>
      <c r="G363" t="s">
        <v>23</v>
      </c>
      <c r="H363" t="s">
        <v>17</v>
      </c>
      <c r="I363" t="s">
        <v>18</v>
      </c>
      <c r="J363" t="s">
        <v>19</v>
      </c>
      <c r="K363">
        <v>3087</v>
      </c>
      <c r="L363">
        <v>0</v>
      </c>
      <c r="M363" t="s">
        <v>20</v>
      </c>
      <c r="N363">
        <f>L363/500</f>
        <v>0</v>
      </c>
      <c r="P363">
        <f>K363/800</f>
        <v>3.8587500000000001</v>
      </c>
    </row>
    <row r="364" spans="1:16" x14ac:dyDescent="0.35">
      <c r="A364">
        <v>449</v>
      </c>
      <c r="B364">
        <v>583005646</v>
      </c>
      <c r="C364">
        <v>36577</v>
      </c>
      <c r="D364" t="s">
        <v>21</v>
      </c>
      <c r="E364" t="s">
        <v>292</v>
      </c>
      <c r="F364" t="s">
        <v>22</v>
      </c>
      <c r="G364" t="s">
        <v>23</v>
      </c>
      <c r="H364" t="s">
        <v>17</v>
      </c>
      <c r="I364" t="s">
        <v>18</v>
      </c>
      <c r="J364" t="s">
        <v>19</v>
      </c>
      <c r="K364">
        <v>591</v>
      </c>
      <c r="L364">
        <v>0</v>
      </c>
      <c r="M364" t="s">
        <v>20</v>
      </c>
      <c r="N364">
        <f>L364/500</f>
        <v>0</v>
      </c>
      <c r="P364">
        <f>K364/800</f>
        <v>0.73875000000000002</v>
      </c>
    </row>
    <row r="365" spans="1:16" x14ac:dyDescent="0.35">
      <c r="A365">
        <v>450</v>
      </c>
      <c r="B365">
        <v>583005646</v>
      </c>
      <c r="C365">
        <v>36577</v>
      </c>
      <c r="D365" t="s">
        <v>21</v>
      </c>
      <c r="E365" t="s">
        <v>292</v>
      </c>
      <c r="F365" t="s">
        <v>22</v>
      </c>
      <c r="G365" t="s">
        <v>23</v>
      </c>
      <c r="H365" t="s">
        <v>17</v>
      </c>
      <c r="I365" t="s">
        <v>18</v>
      </c>
      <c r="J365" t="s">
        <v>19</v>
      </c>
      <c r="K365">
        <v>387</v>
      </c>
      <c r="L365">
        <v>0</v>
      </c>
      <c r="M365" t="s">
        <v>20</v>
      </c>
      <c r="N365">
        <f>L365/500</f>
        <v>0</v>
      </c>
      <c r="P365">
        <f>K365/800</f>
        <v>0.48375000000000001</v>
      </c>
    </row>
    <row r="366" spans="1:16" x14ac:dyDescent="0.35">
      <c r="A366">
        <v>454</v>
      </c>
      <c r="B366">
        <v>583005662</v>
      </c>
      <c r="C366">
        <v>36599</v>
      </c>
      <c r="D366" t="s">
        <v>21</v>
      </c>
      <c r="E366" t="s">
        <v>292</v>
      </c>
      <c r="F366" t="s">
        <v>22</v>
      </c>
      <c r="G366" t="s">
        <v>23</v>
      </c>
      <c r="H366" t="s">
        <v>17</v>
      </c>
      <c r="I366" t="s">
        <v>18</v>
      </c>
      <c r="J366" t="s">
        <v>19</v>
      </c>
      <c r="K366">
        <v>804</v>
      </c>
      <c r="L366">
        <v>0</v>
      </c>
      <c r="M366" t="s">
        <v>20</v>
      </c>
      <c r="N366">
        <f>L366/500</f>
        <v>0</v>
      </c>
      <c r="P366">
        <f>K366/800</f>
        <v>1.0049999999999999</v>
      </c>
    </row>
    <row r="367" spans="1:16" x14ac:dyDescent="0.35">
      <c r="A367">
        <v>455</v>
      </c>
      <c r="B367">
        <v>583005662</v>
      </c>
      <c r="C367">
        <v>36599</v>
      </c>
      <c r="D367" t="s">
        <v>21</v>
      </c>
      <c r="E367" t="s">
        <v>292</v>
      </c>
      <c r="F367" t="s">
        <v>22</v>
      </c>
      <c r="G367" t="s">
        <v>23</v>
      </c>
      <c r="H367" t="s">
        <v>17</v>
      </c>
      <c r="I367" t="s">
        <v>18</v>
      </c>
      <c r="J367" t="s">
        <v>19</v>
      </c>
      <c r="K367">
        <v>669</v>
      </c>
      <c r="L367">
        <v>0</v>
      </c>
      <c r="M367" t="s">
        <v>20</v>
      </c>
      <c r="N367">
        <f>L367/500</f>
        <v>0</v>
      </c>
      <c r="P367">
        <f>K367/800</f>
        <v>0.83625000000000005</v>
      </c>
    </row>
    <row r="368" spans="1:16" x14ac:dyDescent="0.35">
      <c r="A368">
        <v>456</v>
      </c>
      <c r="B368">
        <v>583005662</v>
      </c>
      <c r="C368">
        <v>36599</v>
      </c>
      <c r="D368" t="s">
        <v>21</v>
      </c>
      <c r="E368" t="s">
        <v>292</v>
      </c>
      <c r="F368" t="s">
        <v>22</v>
      </c>
      <c r="G368" t="s">
        <v>23</v>
      </c>
      <c r="H368" t="s">
        <v>17</v>
      </c>
      <c r="I368" t="s">
        <v>18</v>
      </c>
      <c r="J368" t="s">
        <v>19</v>
      </c>
      <c r="K368">
        <v>1872</v>
      </c>
      <c r="L368">
        <v>0</v>
      </c>
      <c r="M368" t="s">
        <v>20</v>
      </c>
      <c r="N368">
        <f>L368/500</f>
        <v>0</v>
      </c>
      <c r="P368">
        <f>K368/800</f>
        <v>2.34</v>
      </c>
    </row>
    <row r="369" spans="1:16" x14ac:dyDescent="0.35">
      <c r="A369">
        <v>457</v>
      </c>
      <c r="B369">
        <v>583005662</v>
      </c>
      <c r="C369">
        <v>36599</v>
      </c>
      <c r="D369" t="s">
        <v>21</v>
      </c>
      <c r="E369" t="s">
        <v>292</v>
      </c>
      <c r="F369" t="s">
        <v>22</v>
      </c>
      <c r="G369" t="s">
        <v>23</v>
      </c>
      <c r="H369" t="s">
        <v>17</v>
      </c>
      <c r="I369" t="s">
        <v>18</v>
      </c>
      <c r="J369" t="s">
        <v>19</v>
      </c>
      <c r="K369">
        <v>63</v>
      </c>
      <c r="L369">
        <v>0</v>
      </c>
      <c r="M369" t="s">
        <v>20</v>
      </c>
      <c r="N369">
        <f>L369/500</f>
        <v>0</v>
      </c>
      <c r="P369">
        <f>K369/800</f>
        <v>7.8750000000000001E-2</v>
      </c>
    </row>
    <row r="370" spans="1:16" x14ac:dyDescent="0.35">
      <c r="A370">
        <v>489</v>
      </c>
      <c r="B370">
        <v>583005682</v>
      </c>
      <c r="C370">
        <v>36635</v>
      </c>
      <c r="D370" t="s">
        <v>21</v>
      </c>
      <c r="E370" t="s">
        <v>300</v>
      </c>
      <c r="F370" t="s">
        <v>22</v>
      </c>
      <c r="G370" t="s">
        <v>23</v>
      </c>
      <c r="H370" t="s">
        <v>17</v>
      </c>
      <c r="I370" t="s">
        <v>18</v>
      </c>
      <c r="J370" t="s">
        <v>19</v>
      </c>
      <c r="K370">
        <v>3834</v>
      </c>
      <c r="L370">
        <v>0</v>
      </c>
      <c r="M370" t="s">
        <v>20</v>
      </c>
      <c r="N370">
        <f>L370/500</f>
        <v>0</v>
      </c>
      <c r="P370">
        <f>K370/800</f>
        <v>4.7925000000000004</v>
      </c>
    </row>
    <row r="371" spans="1:16" x14ac:dyDescent="0.35">
      <c r="A371">
        <v>490</v>
      </c>
      <c r="B371">
        <v>583005682</v>
      </c>
      <c r="C371">
        <v>36635</v>
      </c>
      <c r="D371" t="s">
        <v>21</v>
      </c>
      <c r="E371" t="s">
        <v>300</v>
      </c>
      <c r="F371" t="s">
        <v>22</v>
      </c>
      <c r="G371" t="s">
        <v>23</v>
      </c>
      <c r="H371" t="s">
        <v>17</v>
      </c>
      <c r="I371" t="s">
        <v>18</v>
      </c>
      <c r="J371" t="s">
        <v>19</v>
      </c>
      <c r="K371">
        <v>180</v>
      </c>
      <c r="L371">
        <v>0</v>
      </c>
      <c r="M371" t="s">
        <v>20</v>
      </c>
      <c r="N371">
        <f>L371/500</f>
        <v>0</v>
      </c>
      <c r="P371">
        <f>K371/800</f>
        <v>0.22500000000000001</v>
      </c>
    </row>
    <row r="372" spans="1:16" x14ac:dyDescent="0.35">
      <c r="A372">
        <v>620</v>
      </c>
      <c r="B372">
        <v>583005966</v>
      </c>
      <c r="C372">
        <v>37028</v>
      </c>
      <c r="D372" t="s">
        <v>21</v>
      </c>
      <c r="E372" t="s">
        <v>324</v>
      </c>
      <c r="F372" t="s">
        <v>22</v>
      </c>
      <c r="G372" t="s">
        <v>23</v>
      </c>
      <c r="H372" t="s">
        <v>17</v>
      </c>
      <c r="I372" t="s">
        <v>18</v>
      </c>
      <c r="J372" t="s">
        <v>19</v>
      </c>
      <c r="K372">
        <v>570</v>
      </c>
      <c r="L372">
        <v>0</v>
      </c>
      <c r="M372" t="s">
        <v>20</v>
      </c>
      <c r="N372">
        <f>L372/500</f>
        <v>0</v>
      </c>
      <c r="P372">
        <f>K372/800</f>
        <v>0.71250000000000002</v>
      </c>
    </row>
    <row r="373" spans="1:16" x14ac:dyDescent="0.35">
      <c r="A373">
        <v>621</v>
      </c>
      <c r="B373">
        <v>583005966</v>
      </c>
      <c r="C373">
        <v>37028</v>
      </c>
      <c r="D373" t="s">
        <v>21</v>
      </c>
      <c r="E373" t="s">
        <v>324</v>
      </c>
      <c r="F373" t="s">
        <v>22</v>
      </c>
      <c r="G373" t="s">
        <v>23</v>
      </c>
      <c r="H373" t="s">
        <v>17</v>
      </c>
      <c r="I373" t="s">
        <v>18</v>
      </c>
      <c r="J373" t="s">
        <v>19</v>
      </c>
      <c r="K373">
        <v>675</v>
      </c>
      <c r="L373">
        <v>0</v>
      </c>
      <c r="M373" t="s">
        <v>20</v>
      </c>
      <c r="N373">
        <f>L373/500</f>
        <v>0</v>
      </c>
      <c r="P373">
        <f>K373/800</f>
        <v>0.84375</v>
      </c>
    </row>
    <row r="374" spans="1:16" x14ac:dyDescent="0.35">
      <c r="A374">
        <v>622</v>
      </c>
      <c r="B374">
        <v>583005966</v>
      </c>
      <c r="C374">
        <v>37028</v>
      </c>
      <c r="D374" t="s">
        <v>21</v>
      </c>
      <c r="E374" t="s">
        <v>324</v>
      </c>
      <c r="F374" t="s">
        <v>22</v>
      </c>
      <c r="G374" t="s">
        <v>23</v>
      </c>
      <c r="H374" t="s">
        <v>17</v>
      </c>
      <c r="I374" t="s">
        <v>18</v>
      </c>
      <c r="J374" t="s">
        <v>19</v>
      </c>
      <c r="K374">
        <v>2097</v>
      </c>
      <c r="L374">
        <v>0</v>
      </c>
      <c r="M374" t="s">
        <v>20</v>
      </c>
      <c r="N374">
        <f>L374/500</f>
        <v>0</v>
      </c>
      <c r="P374">
        <f>K374/800</f>
        <v>2.6212499999999999</v>
      </c>
    </row>
    <row r="375" spans="1:16" x14ac:dyDescent="0.35">
      <c r="A375">
        <v>623</v>
      </c>
      <c r="B375">
        <v>583005966</v>
      </c>
      <c r="C375">
        <v>37028</v>
      </c>
      <c r="D375" t="s">
        <v>21</v>
      </c>
      <c r="E375" t="s">
        <v>324</v>
      </c>
      <c r="F375" t="s">
        <v>22</v>
      </c>
      <c r="G375" t="s">
        <v>23</v>
      </c>
      <c r="H375" t="s">
        <v>17</v>
      </c>
      <c r="I375" t="s">
        <v>18</v>
      </c>
      <c r="J375" t="s">
        <v>19</v>
      </c>
      <c r="K375">
        <v>702</v>
      </c>
      <c r="L375">
        <v>0</v>
      </c>
      <c r="M375" t="s">
        <v>20</v>
      </c>
      <c r="N375">
        <f>L375/500</f>
        <v>0</v>
      </c>
      <c r="P375">
        <f>K375/800</f>
        <v>0.87749999999999995</v>
      </c>
    </row>
    <row r="376" spans="1:16" x14ac:dyDescent="0.35">
      <c r="A376">
        <v>625</v>
      </c>
      <c r="B376">
        <v>583005943</v>
      </c>
      <c r="C376">
        <v>36998</v>
      </c>
      <c r="D376" t="s">
        <v>21</v>
      </c>
      <c r="E376" t="s">
        <v>324</v>
      </c>
      <c r="F376" t="s">
        <v>22</v>
      </c>
      <c r="G376" t="s">
        <v>23</v>
      </c>
      <c r="H376" t="s">
        <v>17</v>
      </c>
      <c r="I376" t="s">
        <v>18</v>
      </c>
      <c r="J376" t="s">
        <v>19</v>
      </c>
      <c r="K376">
        <v>810</v>
      </c>
      <c r="L376">
        <v>0</v>
      </c>
      <c r="M376" t="s">
        <v>20</v>
      </c>
      <c r="N376">
        <f>L376/500</f>
        <v>0</v>
      </c>
      <c r="P376">
        <f>K376/800</f>
        <v>1.0125</v>
      </c>
    </row>
    <row r="377" spans="1:16" x14ac:dyDescent="0.35">
      <c r="A377">
        <v>626</v>
      </c>
      <c r="B377">
        <v>583005943</v>
      </c>
      <c r="C377">
        <v>36998</v>
      </c>
      <c r="D377" t="s">
        <v>21</v>
      </c>
      <c r="E377" t="s">
        <v>324</v>
      </c>
      <c r="F377" t="s">
        <v>22</v>
      </c>
      <c r="G377" t="s">
        <v>23</v>
      </c>
      <c r="H377" t="s">
        <v>17</v>
      </c>
      <c r="I377" t="s">
        <v>18</v>
      </c>
      <c r="J377" t="s">
        <v>19</v>
      </c>
      <c r="K377">
        <v>3159</v>
      </c>
      <c r="L377">
        <v>0</v>
      </c>
      <c r="M377" t="s">
        <v>20</v>
      </c>
      <c r="N377">
        <f>L377/500</f>
        <v>0</v>
      </c>
      <c r="P377">
        <f>K377/800</f>
        <v>3.94875</v>
      </c>
    </row>
    <row r="378" spans="1:16" x14ac:dyDescent="0.35">
      <c r="A378">
        <v>665</v>
      </c>
      <c r="B378">
        <v>583005983</v>
      </c>
      <c r="C378">
        <v>37061</v>
      </c>
      <c r="D378" t="s">
        <v>21</v>
      </c>
      <c r="E378" t="s">
        <v>343</v>
      </c>
      <c r="F378" t="s">
        <v>22</v>
      </c>
      <c r="G378" t="s">
        <v>23</v>
      </c>
      <c r="H378" t="s">
        <v>17</v>
      </c>
      <c r="I378" t="s">
        <v>18</v>
      </c>
      <c r="J378" t="s">
        <v>19</v>
      </c>
      <c r="K378">
        <v>846</v>
      </c>
      <c r="L378">
        <v>0</v>
      </c>
      <c r="M378" t="s">
        <v>20</v>
      </c>
      <c r="N378">
        <f>L378/500</f>
        <v>0</v>
      </c>
      <c r="P378">
        <f>K378/800</f>
        <v>1.0575000000000001</v>
      </c>
    </row>
    <row r="379" spans="1:16" x14ac:dyDescent="0.35">
      <c r="A379">
        <v>668</v>
      </c>
      <c r="B379">
        <v>583005983</v>
      </c>
      <c r="C379">
        <v>37061</v>
      </c>
      <c r="D379" t="s">
        <v>21</v>
      </c>
      <c r="E379" t="s">
        <v>343</v>
      </c>
      <c r="F379" t="s">
        <v>22</v>
      </c>
      <c r="G379" t="s">
        <v>23</v>
      </c>
      <c r="H379" t="s">
        <v>17</v>
      </c>
      <c r="I379" t="s">
        <v>18</v>
      </c>
      <c r="J379" t="s">
        <v>19</v>
      </c>
      <c r="K379">
        <v>3051</v>
      </c>
      <c r="L379">
        <v>0</v>
      </c>
      <c r="M379" t="s">
        <v>20</v>
      </c>
      <c r="N379">
        <f>L379/500</f>
        <v>0</v>
      </c>
      <c r="P379">
        <f>K379/800</f>
        <v>3.8137500000000002</v>
      </c>
    </row>
    <row r="380" spans="1:16" x14ac:dyDescent="0.35">
      <c r="A380">
        <v>768</v>
      </c>
      <c r="B380">
        <v>583006057</v>
      </c>
      <c r="C380">
        <v>37155</v>
      </c>
      <c r="D380" t="s">
        <v>21</v>
      </c>
      <c r="E380" t="s">
        <v>347</v>
      </c>
      <c r="F380" t="s">
        <v>22</v>
      </c>
      <c r="G380" t="s">
        <v>23</v>
      </c>
      <c r="H380" t="s">
        <v>17</v>
      </c>
      <c r="I380" t="s">
        <v>18</v>
      </c>
      <c r="J380" t="s">
        <v>19</v>
      </c>
      <c r="K380">
        <v>3006</v>
      </c>
      <c r="L380">
        <v>0</v>
      </c>
      <c r="M380" t="s">
        <v>20</v>
      </c>
      <c r="N380">
        <f>L380/500</f>
        <v>0</v>
      </c>
      <c r="P380">
        <f>K380/800</f>
        <v>3.7574999999999998</v>
      </c>
    </row>
    <row r="381" spans="1:16" x14ac:dyDescent="0.35">
      <c r="A381">
        <v>769</v>
      </c>
      <c r="B381">
        <v>583006078</v>
      </c>
      <c r="C381">
        <v>37179</v>
      </c>
      <c r="D381" t="s">
        <v>21</v>
      </c>
      <c r="E381" t="s">
        <v>347</v>
      </c>
      <c r="F381" t="s">
        <v>22</v>
      </c>
      <c r="G381" t="s">
        <v>23</v>
      </c>
      <c r="H381" t="s">
        <v>17</v>
      </c>
      <c r="I381" t="s">
        <v>18</v>
      </c>
      <c r="J381" t="s">
        <v>19</v>
      </c>
      <c r="K381">
        <v>2502</v>
      </c>
      <c r="L381">
        <v>0</v>
      </c>
      <c r="M381" t="s">
        <v>20</v>
      </c>
      <c r="N381">
        <f>L381/500</f>
        <v>0</v>
      </c>
      <c r="P381">
        <f>K381/800</f>
        <v>3.1274999999999999</v>
      </c>
    </row>
    <row r="382" spans="1:16" x14ac:dyDescent="0.35">
      <c r="A382">
        <v>770</v>
      </c>
      <c r="B382">
        <v>583006078</v>
      </c>
      <c r="C382">
        <v>37179</v>
      </c>
      <c r="D382" t="s">
        <v>21</v>
      </c>
      <c r="E382" t="s">
        <v>347</v>
      </c>
      <c r="F382" t="s">
        <v>22</v>
      </c>
      <c r="G382" t="s">
        <v>23</v>
      </c>
      <c r="H382" t="s">
        <v>17</v>
      </c>
      <c r="I382" t="s">
        <v>18</v>
      </c>
      <c r="J382" t="s">
        <v>19</v>
      </c>
      <c r="K382">
        <v>72</v>
      </c>
      <c r="L382">
        <v>0</v>
      </c>
      <c r="M382" t="s">
        <v>20</v>
      </c>
      <c r="N382">
        <f>L382/500</f>
        <v>0</v>
      </c>
      <c r="P382">
        <f>K382/800</f>
        <v>0.09</v>
      </c>
    </row>
    <row r="383" spans="1:16" x14ac:dyDescent="0.35">
      <c r="A383">
        <v>771</v>
      </c>
      <c r="B383">
        <v>583006057</v>
      </c>
      <c r="C383">
        <v>37155</v>
      </c>
      <c r="D383" t="s">
        <v>21</v>
      </c>
      <c r="E383" t="s">
        <v>347</v>
      </c>
      <c r="F383" t="s">
        <v>22</v>
      </c>
      <c r="G383" t="s">
        <v>23</v>
      </c>
      <c r="H383" t="s">
        <v>17</v>
      </c>
      <c r="I383" t="s">
        <v>18</v>
      </c>
      <c r="J383" t="s">
        <v>19</v>
      </c>
      <c r="K383">
        <v>198</v>
      </c>
      <c r="L383">
        <v>0</v>
      </c>
      <c r="M383" t="s">
        <v>20</v>
      </c>
      <c r="N383">
        <f>L383/500</f>
        <v>0</v>
      </c>
      <c r="P383">
        <f>K383/800</f>
        <v>0.2475</v>
      </c>
    </row>
    <row r="384" spans="1:16" x14ac:dyDescent="0.35">
      <c r="A384">
        <v>775</v>
      </c>
      <c r="B384">
        <v>583006057</v>
      </c>
      <c r="C384">
        <v>37155</v>
      </c>
      <c r="D384" t="s">
        <v>21</v>
      </c>
      <c r="E384" t="s">
        <v>347</v>
      </c>
      <c r="F384" t="s">
        <v>22</v>
      </c>
      <c r="G384" t="s">
        <v>23</v>
      </c>
      <c r="H384" t="s">
        <v>17</v>
      </c>
      <c r="I384" t="s">
        <v>18</v>
      </c>
      <c r="J384" t="s">
        <v>19</v>
      </c>
      <c r="K384">
        <v>144</v>
      </c>
      <c r="L384">
        <v>0</v>
      </c>
      <c r="M384" t="s">
        <v>20</v>
      </c>
      <c r="N384">
        <f>L384/500</f>
        <v>0</v>
      </c>
      <c r="P384">
        <f>K384/800</f>
        <v>0.18</v>
      </c>
    </row>
    <row r="385" spans="1:16" x14ac:dyDescent="0.35">
      <c r="A385">
        <v>777</v>
      </c>
      <c r="B385">
        <v>583006078</v>
      </c>
      <c r="C385">
        <v>37179</v>
      </c>
      <c r="D385" t="s">
        <v>21</v>
      </c>
      <c r="E385" t="s">
        <v>347</v>
      </c>
      <c r="F385" t="s">
        <v>22</v>
      </c>
      <c r="G385" t="s">
        <v>23</v>
      </c>
      <c r="H385" t="s">
        <v>17</v>
      </c>
      <c r="I385" t="s">
        <v>18</v>
      </c>
      <c r="J385" t="s">
        <v>19</v>
      </c>
      <c r="K385">
        <v>588</v>
      </c>
      <c r="L385">
        <v>0</v>
      </c>
      <c r="M385" t="s">
        <v>20</v>
      </c>
      <c r="N385">
        <f>L385/500</f>
        <v>0</v>
      </c>
      <c r="P385">
        <f>K385/800</f>
        <v>0.73499999999999999</v>
      </c>
    </row>
    <row r="386" spans="1:16" x14ac:dyDescent="0.35">
      <c r="A386">
        <v>778</v>
      </c>
      <c r="B386">
        <v>583006078</v>
      </c>
      <c r="C386">
        <v>37179</v>
      </c>
      <c r="D386" t="s">
        <v>21</v>
      </c>
      <c r="E386" t="s">
        <v>347</v>
      </c>
      <c r="F386" t="s">
        <v>22</v>
      </c>
      <c r="G386" t="s">
        <v>23</v>
      </c>
      <c r="H386" t="s">
        <v>17</v>
      </c>
      <c r="I386" t="s">
        <v>18</v>
      </c>
      <c r="J386" t="s">
        <v>19</v>
      </c>
      <c r="K386">
        <v>489</v>
      </c>
      <c r="L386">
        <v>0</v>
      </c>
      <c r="M386" t="s">
        <v>20</v>
      </c>
      <c r="N386">
        <f>L386/500</f>
        <v>0</v>
      </c>
      <c r="P386">
        <f>K386/800</f>
        <v>0.61124999999999996</v>
      </c>
    </row>
    <row r="387" spans="1:16" x14ac:dyDescent="0.35">
      <c r="A387">
        <v>779</v>
      </c>
      <c r="B387">
        <v>583006057</v>
      </c>
      <c r="C387">
        <v>37155</v>
      </c>
      <c r="D387" t="s">
        <v>21</v>
      </c>
      <c r="E387" t="s">
        <v>347</v>
      </c>
      <c r="F387" t="s">
        <v>22</v>
      </c>
      <c r="G387" t="s">
        <v>23</v>
      </c>
      <c r="H387" t="s">
        <v>17</v>
      </c>
      <c r="I387" t="s">
        <v>18</v>
      </c>
      <c r="J387" t="s">
        <v>19</v>
      </c>
      <c r="K387">
        <v>612</v>
      </c>
      <c r="L387">
        <v>0</v>
      </c>
      <c r="M387" t="s">
        <v>20</v>
      </c>
      <c r="N387">
        <f>L387/500</f>
        <v>0</v>
      </c>
      <c r="P387">
        <f>K387/800</f>
        <v>0.76500000000000001</v>
      </c>
    </row>
    <row r="388" spans="1:16" x14ac:dyDescent="0.35">
      <c r="A388">
        <v>805</v>
      </c>
      <c r="B388">
        <v>583006118</v>
      </c>
      <c r="C388">
        <v>37238</v>
      </c>
      <c r="D388" t="s">
        <v>21</v>
      </c>
      <c r="E388" t="s">
        <v>360</v>
      </c>
      <c r="F388" t="s">
        <v>22</v>
      </c>
      <c r="G388" t="s">
        <v>23</v>
      </c>
      <c r="H388" t="s">
        <v>17</v>
      </c>
      <c r="I388" t="s">
        <v>18</v>
      </c>
      <c r="J388" t="s">
        <v>19</v>
      </c>
      <c r="K388">
        <v>252</v>
      </c>
      <c r="L388">
        <v>0</v>
      </c>
      <c r="M388" t="s">
        <v>20</v>
      </c>
      <c r="N388">
        <f>L388/500</f>
        <v>0</v>
      </c>
      <c r="P388">
        <f>K388/800</f>
        <v>0.315</v>
      </c>
    </row>
    <row r="389" spans="1:16" x14ac:dyDescent="0.35">
      <c r="A389">
        <v>806</v>
      </c>
      <c r="B389">
        <v>583006118</v>
      </c>
      <c r="C389">
        <v>37238</v>
      </c>
      <c r="D389" t="s">
        <v>21</v>
      </c>
      <c r="E389" t="s">
        <v>360</v>
      </c>
      <c r="F389" t="s">
        <v>22</v>
      </c>
      <c r="G389" t="s">
        <v>23</v>
      </c>
      <c r="H389" t="s">
        <v>17</v>
      </c>
      <c r="I389" t="s">
        <v>18</v>
      </c>
      <c r="J389" t="s">
        <v>19</v>
      </c>
      <c r="K389">
        <v>2751</v>
      </c>
      <c r="L389">
        <v>0</v>
      </c>
      <c r="M389" t="s">
        <v>20</v>
      </c>
      <c r="N389">
        <f>L389/500</f>
        <v>0</v>
      </c>
      <c r="P389">
        <f>K389/800</f>
        <v>3.4387500000000002</v>
      </c>
    </row>
    <row r="390" spans="1:16" x14ac:dyDescent="0.35">
      <c r="A390">
        <v>807</v>
      </c>
      <c r="B390">
        <v>583006118</v>
      </c>
      <c r="C390">
        <v>37238</v>
      </c>
      <c r="D390" t="s">
        <v>21</v>
      </c>
      <c r="E390" t="s">
        <v>360</v>
      </c>
      <c r="F390" t="s">
        <v>22</v>
      </c>
      <c r="G390" t="s">
        <v>23</v>
      </c>
      <c r="H390" t="s">
        <v>17</v>
      </c>
      <c r="I390" t="s">
        <v>18</v>
      </c>
      <c r="J390" t="s">
        <v>19</v>
      </c>
      <c r="K390">
        <v>810</v>
      </c>
      <c r="L390">
        <v>0</v>
      </c>
      <c r="M390" t="s">
        <v>20</v>
      </c>
      <c r="N390">
        <f>L390/500</f>
        <v>0</v>
      </c>
      <c r="P390">
        <f>K390/800</f>
        <v>1.0125</v>
      </c>
    </row>
    <row r="391" spans="1:16" x14ac:dyDescent="0.35">
      <c r="A391">
        <v>811</v>
      </c>
      <c r="B391">
        <v>583006161</v>
      </c>
      <c r="C391">
        <v>37291</v>
      </c>
      <c r="D391" t="s">
        <v>21</v>
      </c>
      <c r="E391" t="s">
        <v>360</v>
      </c>
      <c r="F391" t="s">
        <v>22</v>
      </c>
      <c r="G391" t="s">
        <v>23</v>
      </c>
      <c r="H391" t="s">
        <v>17</v>
      </c>
      <c r="I391" t="s">
        <v>18</v>
      </c>
      <c r="J391" t="s">
        <v>19</v>
      </c>
      <c r="K391">
        <v>1230</v>
      </c>
      <c r="L391">
        <v>0</v>
      </c>
      <c r="M391" t="s">
        <v>20</v>
      </c>
      <c r="N391">
        <f>L391/500</f>
        <v>0</v>
      </c>
      <c r="P391">
        <f>K391/800</f>
        <v>1.5375000000000001</v>
      </c>
    </row>
    <row r="392" spans="1:16" x14ac:dyDescent="0.35">
      <c r="A392">
        <v>813</v>
      </c>
      <c r="B392">
        <v>583006161</v>
      </c>
      <c r="C392">
        <v>37291</v>
      </c>
      <c r="D392" t="s">
        <v>21</v>
      </c>
      <c r="E392" t="s">
        <v>360</v>
      </c>
      <c r="F392" t="s">
        <v>22</v>
      </c>
      <c r="G392" t="s">
        <v>23</v>
      </c>
      <c r="H392" t="s">
        <v>17</v>
      </c>
      <c r="I392" t="s">
        <v>18</v>
      </c>
      <c r="J392" t="s">
        <v>19</v>
      </c>
      <c r="K392">
        <v>738</v>
      </c>
      <c r="L392">
        <v>0</v>
      </c>
      <c r="M392" t="s">
        <v>20</v>
      </c>
      <c r="N392">
        <f>L392/500</f>
        <v>0</v>
      </c>
      <c r="P392">
        <f>K392/800</f>
        <v>0.92249999999999999</v>
      </c>
    </row>
    <row r="393" spans="1:16" x14ac:dyDescent="0.35">
      <c r="A393">
        <v>814</v>
      </c>
      <c r="B393">
        <v>583006161</v>
      </c>
      <c r="C393">
        <v>37291</v>
      </c>
      <c r="D393" t="s">
        <v>21</v>
      </c>
      <c r="E393" t="s">
        <v>360</v>
      </c>
      <c r="F393" t="s">
        <v>22</v>
      </c>
      <c r="G393" t="s">
        <v>23</v>
      </c>
      <c r="H393" t="s">
        <v>17</v>
      </c>
      <c r="I393" t="s">
        <v>18</v>
      </c>
      <c r="J393" t="s">
        <v>19</v>
      </c>
      <c r="K393">
        <v>1920</v>
      </c>
      <c r="L393">
        <v>0</v>
      </c>
      <c r="M393" t="s">
        <v>20</v>
      </c>
      <c r="N393">
        <f>L393/500</f>
        <v>0</v>
      </c>
      <c r="P393">
        <f>K393/800</f>
        <v>2.4</v>
      </c>
    </row>
    <row r="394" spans="1:16" x14ac:dyDescent="0.35">
      <c r="A394">
        <v>820</v>
      </c>
      <c r="B394">
        <v>583006119</v>
      </c>
      <c r="C394">
        <v>37239</v>
      </c>
      <c r="D394" t="s">
        <v>21</v>
      </c>
      <c r="E394" t="s">
        <v>360</v>
      </c>
      <c r="F394" t="s">
        <v>22</v>
      </c>
      <c r="G394" t="s">
        <v>23</v>
      </c>
      <c r="H394" t="s">
        <v>17</v>
      </c>
      <c r="I394" t="s">
        <v>18</v>
      </c>
      <c r="J394" t="s">
        <v>19</v>
      </c>
      <c r="K394">
        <v>1128</v>
      </c>
      <c r="L394">
        <v>0</v>
      </c>
      <c r="M394" t="s">
        <v>20</v>
      </c>
      <c r="N394">
        <f>L394/500</f>
        <v>0</v>
      </c>
      <c r="P394">
        <f>K394/800</f>
        <v>1.41</v>
      </c>
    </row>
    <row r="395" spans="1:16" x14ac:dyDescent="0.35">
      <c r="A395">
        <v>821</v>
      </c>
      <c r="B395">
        <v>583006119</v>
      </c>
      <c r="C395">
        <v>37239</v>
      </c>
      <c r="D395" t="s">
        <v>21</v>
      </c>
      <c r="E395" t="s">
        <v>360</v>
      </c>
      <c r="F395" t="s">
        <v>22</v>
      </c>
      <c r="G395" t="s">
        <v>23</v>
      </c>
      <c r="H395" t="s">
        <v>17</v>
      </c>
      <c r="I395" t="s">
        <v>18</v>
      </c>
      <c r="J395" t="s">
        <v>19</v>
      </c>
      <c r="K395">
        <v>633</v>
      </c>
      <c r="L395">
        <v>0</v>
      </c>
      <c r="M395" t="s">
        <v>20</v>
      </c>
      <c r="N395">
        <f>L395/500</f>
        <v>0</v>
      </c>
      <c r="P395">
        <f>K395/800</f>
        <v>0.79125000000000001</v>
      </c>
    </row>
    <row r="396" spans="1:16" x14ac:dyDescent="0.35">
      <c r="A396">
        <v>822</v>
      </c>
      <c r="B396">
        <v>583006119</v>
      </c>
      <c r="C396">
        <v>37239</v>
      </c>
      <c r="D396" t="s">
        <v>21</v>
      </c>
      <c r="E396" t="s">
        <v>360</v>
      </c>
      <c r="F396" t="s">
        <v>22</v>
      </c>
      <c r="G396" t="s">
        <v>23</v>
      </c>
      <c r="H396" t="s">
        <v>17</v>
      </c>
      <c r="I396" t="s">
        <v>18</v>
      </c>
      <c r="J396" t="s">
        <v>19</v>
      </c>
      <c r="K396">
        <v>2646</v>
      </c>
      <c r="L396">
        <v>0</v>
      </c>
      <c r="M396" t="s">
        <v>20</v>
      </c>
      <c r="N396">
        <f>L396/500</f>
        <v>0</v>
      </c>
      <c r="P396">
        <f>K396/800</f>
        <v>3.3075000000000001</v>
      </c>
    </row>
    <row r="397" spans="1:16" x14ac:dyDescent="0.35">
      <c r="A397">
        <v>833</v>
      </c>
      <c r="B397">
        <v>583006184</v>
      </c>
      <c r="C397">
        <v>37315</v>
      </c>
      <c r="D397" t="s">
        <v>21</v>
      </c>
      <c r="E397" t="s">
        <v>360</v>
      </c>
      <c r="F397" t="s">
        <v>22</v>
      </c>
      <c r="G397" t="s">
        <v>23</v>
      </c>
      <c r="H397" t="s">
        <v>17</v>
      </c>
      <c r="I397" t="s">
        <v>18</v>
      </c>
      <c r="J397" t="s">
        <v>19</v>
      </c>
      <c r="K397">
        <v>2892</v>
      </c>
      <c r="L397">
        <v>0</v>
      </c>
      <c r="M397" t="s">
        <v>20</v>
      </c>
      <c r="N397">
        <f>L397/500</f>
        <v>0</v>
      </c>
      <c r="P397">
        <f>K397/800</f>
        <v>3.6150000000000002</v>
      </c>
    </row>
    <row r="398" spans="1:16" x14ac:dyDescent="0.35">
      <c r="A398">
        <v>837</v>
      </c>
      <c r="B398">
        <v>583006184</v>
      </c>
      <c r="C398">
        <v>37315</v>
      </c>
      <c r="D398" t="s">
        <v>21</v>
      </c>
      <c r="E398" t="s">
        <v>360</v>
      </c>
      <c r="F398" t="s">
        <v>22</v>
      </c>
      <c r="G398" t="s">
        <v>23</v>
      </c>
      <c r="H398" t="s">
        <v>17</v>
      </c>
      <c r="I398" t="s">
        <v>18</v>
      </c>
      <c r="J398" t="s">
        <v>19</v>
      </c>
      <c r="K398">
        <v>606</v>
      </c>
      <c r="L398">
        <v>0</v>
      </c>
      <c r="M398" t="s">
        <v>20</v>
      </c>
      <c r="N398">
        <f>L398/500</f>
        <v>0</v>
      </c>
      <c r="P398">
        <f>K398/800</f>
        <v>0.75749999999999995</v>
      </c>
    </row>
    <row r="399" spans="1:16" x14ac:dyDescent="0.35">
      <c r="A399">
        <v>838</v>
      </c>
      <c r="B399">
        <v>583006184</v>
      </c>
      <c r="C399">
        <v>37315</v>
      </c>
      <c r="D399" t="s">
        <v>21</v>
      </c>
      <c r="E399" t="s">
        <v>360</v>
      </c>
      <c r="F399" t="s">
        <v>22</v>
      </c>
      <c r="G399" t="s">
        <v>23</v>
      </c>
      <c r="H399" t="s">
        <v>17</v>
      </c>
      <c r="I399" t="s">
        <v>18</v>
      </c>
      <c r="J399" t="s">
        <v>19</v>
      </c>
      <c r="K399">
        <v>396</v>
      </c>
      <c r="L399">
        <v>0</v>
      </c>
      <c r="M399" t="s">
        <v>20</v>
      </c>
      <c r="N399">
        <f>L399/500</f>
        <v>0</v>
      </c>
      <c r="P399">
        <f>K399/800</f>
        <v>0.495</v>
      </c>
    </row>
    <row r="400" spans="1:16" x14ac:dyDescent="0.35">
      <c r="A400">
        <v>927</v>
      </c>
      <c r="B400">
        <v>583006374</v>
      </c>
      <c r="C400">
        <v>37565</v>
      </c>
      <c r="D400" t="s">
        <v>21</v>
      </c>
      <c r="E400" t="s">
        <v>386</v>
      </c>
      <c r="F400" t="s">
        <v>22</v>
      </c>
      <c r="G400" t="s">
        <v>23</v>
      </c>
      <c r="H400" t="s">
        <v>17</v>
      </c>
      <c r="I400" t="s">
        <v>18</v>
      </c>
      <c r="J400" t="s">
        <v>19</v>
      </c>
      <c r="K400">
        <v>993</v>
      </c>
      <c r="L400">
        <v>0</v>
      </c>
      <c r="M400" t="s">
        <v>20</v>
      </c>
      <c r="N400">
        <f>L400/500</f>
        <v>0</v>
      </c>
      <c r="P400">
        <f>K400/800</f>
        <v>1.24125</v>
      </c>
    </row>
    <row r="401" spans="1:16" x14ac:dyDescent="0.35">
      <c r="A401">
        <v>928</v>
      </c>
      <c r="B401">
        <v>583006374</v>
      </c>
      <c r="C401">
        <v>37565</v>
      </c>
      <c r="D401" t="s">
        <v>21</v>
      </c>
      <c r="E401" t="s">
        <v>386</v>
      </c>
      <c r="F401" t="s">
        <v>22</v>
      </c>
      <c r="G401" t="s">
        <v>23</v>
      </c>
      <c r="H401" t="s">
        <v>17</v>
      </c>
      <c r="I401" t="s">
        <v>18</v>
      </c>
      <c r="J401" t="s">
        <v>19</v>
      </c>
      <c r="K401">
        <v>288</v>
      </c>
      <c r="L401">
        <v>0</v>
      </c>
      <c r="M401" t="s">
        <v>20</v>
      </c>
      <c r="N401">
        <f>L401/500</f>
        <v>0</v>
      </c>
      <c r="P401">
        <f>K401/800</f>
        <v>0.36</v>
      </c>
    </row>
    <row r="402" spans="1:16" x14ac:dyDescent="0.35">
      <c r="A402">
        <v>943</v>
      </c>
      <c r="B402">
        <v>583006374</v>
      </c>
      <c r="C402">
        <v>37565</v>
      </c>
      <c r="D402" t="s">
        <v>21</v>
      </c>
      <c r="E402" t="s">
        <v>386</v>
      </c>
      <c r="F402" t="s">
        <v>22</v>
      </c>
      <c r="G402" t="s">
        <v>23</v>
      </c>
      <c r="H402" t="s">
        <v>17</v>
      </c>
      <c r="I402" t="s">
        <v>18</v>
      </c>
      <c r="J402" t="s">
        <v>19</v>
      </c>
      <c r="K402">
        <v>2700</v>
      </c>
      <c r="L402">
        <v>0</v>
      </c>
      <c r="M402" t="s">
        <v>20</v>
      </c>
      <c r="N402">
        <f>L402/500</f>
        <v>0</v>
      </c>
      <c r="P402">
        <f>K402/800</f>
        <v>3.375</v>
      </c>
    </row>
    <row r="403" spans="1:16" x14ac:dyDescent="0.35">
      <c r="A403">
        <v>1141</v>
      </c>
      <c r="B403">
        <v>583006612</v>
      </c>
      <c r="C403">
        <v>37891</v>
      </c>
      <c r="D403" t="s">
        <v>21</v>
      </c>
      <c r="E403" t="s">
        <v>413</v>
      </c>
      <c r="F403" t="s">
        <v>22</v>
      </c>
      <c r="G403" t="s">
        <v>23</v>
      </c>
      <c r="H403" t="s">
        <v>17</v>
      </c>
      <c r="I403" t="s">
        <v>18</v>
      </c>
      <c r="J403" t="s">
        <v>19</v>
      </c>
      <c r="K403">
        <v>72</v>
      </c>
      <c r="L403">
        <v>0</v>
      </c>
      <c r="M403" t="s">
        <v>20</v>
      </c>
      <c r="N403">
        <f>L403/500</f>
        <v>0</v>
      </c>
      <c r="P403">
        <f>K403/800</f>
        <v>0.09</v>
      </c>
    </row>
    <row r="404" spans="1:16" x14ac:dyDescent="0.35">
      <c r="A404">
        <v>1142</v>
      </c>
      <c r="B404">
        <v>583006612</v>
      </c>
      <c r="C404">
        <v>37891</v>
      </c>
      <c r="D404" t="s">
        <v>21</v>
      </c>
      <c r="E404" t="s">
        <v>413</v>
      </c>
      <c r="F404" t="s">
        <v>22</v>
      </c>
      <c r="G404" t="s">
        <v>23</v>
      </c>
      <c r="H404" t="s">
        <v>17</v>
      </c>
      <c r="I404" t="s">
        <v>18</v>
      </c>
      <c r="J404" t="s">
        <v>19</v>
      </c>
      <c r="K404">
        <v>342</v>
      </c>
      <c r="L404">
        <v>0</v>
      </c>
      <c r="M404" t="s">
        <v>20</v>
      </c>
      <c r="N404">
        <f>L404/500</f>
        <v>0</v>
      </c>
      <c r="P404">
        <f>K404/800</f>
        <v>0.42749999999999999</v>
      </c>
    </row>
    <row r="405" spans="1:16" x14ac:dyDescent="0.35">
      <c r="A405">
        <v>1143</v>
      </c>
      <c r="B405">
        <v>583006612</v>
      </c>
      <c r="C405">
        <v>37891</v>
      </c>
      <c r="D405" t="s">
        <v>21</v>
      </c>
      <c r="E405" t="s">
        <v>413</v>
      </c>
      <c r="F405" t="s">
        <v>22</v>
      </c>
      <c r="G405" t="s">
        <v>23</v>
      </c>
      <c r="H405" t="s">
        <v>17</v>
      </c>
      <c r="I405" t="s">
        <v>18</v>
      </c>
      <c r="J405" t="s">
        <v>19</v>
      </c>
      <c r="K405">
        <v>3315</v>
      </c>
      <c r="L405">
        <v>0</v>
      </c>
      <c r="M405" t="s">
        <v>20</v>
      </c>
      <c r="N405">
        <f>L405/500</f>
        <v>0</v>
      </c>
      <c r="P405">
        <f>K405/800</f>
        <v>4.1437499999999998</v>
      </c>
    </row>
    <row r="406" spans="1:16" x14ac:dyDescent="0.35">
      <c r="A406">
        <v>1164</v>
      </c>
      <c r="B406">
        <v>583006620</v>
      </c>
      <c r="C406">
        <v>37899</v>
      </c>
      <c r="D406" t="s">
        <v>21</v>
      </c>
      <c r="E406" t="s">
        <v>413</v>
      </c>
      <c r="F406" t="s">
        <v>22</v>
      </c>
      <c r="G406" t="s">
        <v>23</v>
      </c>
      <c r="H406" t="s">
        <v>17</v>
      </c>
      <c r="I406" t="s">
        <v>18</v>
      </c>
      <c r="J406" t="s">
        <v>19</v>
      </c>
      <c r="K406">
        <v>432</v>
      </c>
      <c r="L406">
        <v>0</v>
      </c>
      <c r="M406" t="s">
        <v>20</v>
      </c>
      <c r="N406">
        <f>L406/500</f>
        <v>0</v>
      </c>
      <c r="P406">
        <f>K406/800</f>
        <v>0.54</v>
      </c>
    </row>
    <row r="407" spans="1:16" x14ac:dyDescent="0.35">
      <c r="A407">
        <v>1166</v>
      </c>
      <c r="B407">
        <v>583006620</v>
      </c>
      <c r="C407">
        <v>37899</v>
      </c>
      <c r="D407" t="s">
        <v>21</v>
      </c>
      <c r="E407" t="s">
        <v>413</v>
      </c>
      <c r="F407" t="s">
        <v>22</v>
      </c>
      <c r="G407" t="s">
        <v>23</v>
      </c>
      <c r="H407" t="s">
        <v>17</v>
      </c>
      <c r="I407" t="s">
        <v>18</v>
      </c>
      <c r="J407" t="s">
        <v>19</v>
      </c>
      <c r="K407">
        <v>3015</v>
      </c>
      <c r="L407">
        <v>0</v>
      </c>
      <c r="M407" t="s">
        <v>20</v>
      </c>
      <c r="N407">
        <f>L407/500</f>
        <v>0</v>
      </c>
      <c r="P407">
        <f>K407/800</f>
        <v>3.7687499999999998</v>
      </c>
    </row>
    <row r="408" spans="1:16" x14ac:dyDescent="0.35">
      <c r="A408">
        <v>1189</v>
      </c>
      <c r="B408">
        <v>583006620</v>
      </c>
      <c r="C408">
        <v>37899</v>
      </c>
      <c r="D408" t="s">
        <v>21</v>
      </c>
      <c r="E408" t="s">
        <v>413</v>
      </c>
      <c r="F408" t="s">
        <v>22</v>
      </c>
      <c r="G408" t="s">
        <v>23</v>
      </c>
      <c r="H408" t="s">
        <v>17</v>
      </c>
      <c r="I408" t="s">
        <v>18</v>
      </c>
      <c r="J408" t="s">
        <v>19</v>
      </c>
      <c r="K408">
        <v>180</v>
      </c>
      <c r="L408">
        <v>0</v>
      </c>
      <c r="M408" t="s">
        <v>20</v>
      </c>
      <c r="N408">
        <f>L408/500</f>
        <v>0</v>
      </c>
      <c r="P408">
        <f>K408/800</f>
        <v>0.22500000000000001</v>
      </c>
    </row>
    <row r="409" spans="1:16" x14ac:dyDescent="0.35">
      <c r="A409">
        <v>1192</v>
      </c>
      <c r="B409">
        <v>583006653</v>
      </c>
      <c r="C409">
        <v>37935</v>
      </c>
      <c r="D409" t="s">
        <v>21</v>
      </c>
      <c r="E409" t="s">
        <v>420</v>
      </c>
      <c r="F409" t="s">
        <v>22</v>
      </c>
      <c r="G409" t="s">
        <v>23</v>
      </c>
      <c r="H409" t="s">
        <v>17</v>
      </c>
      <c r="I409" t="s">
        <v>18</v>
      </c>
      <c r="J409" t="s">
        <v>19</v>
      </c>
      <c r="K409">
        <v>1077</v>
      </c>
      <c r="L409">
        <v>0</v>
      </c>
      <c r="M409" t="s">
        <v>20</v>
      </c>
      <c r="N409">
        <f>L409/500</f>
        <v>0</v>
      </c>
      <c r="P409">
        <f>K409/800</f>
        <v>1.3462499999999999</v>
      </c>
    </row>
    <row r="410" spans="1:16" x14ac:dyDescent="0.35">
      <c r="A410">
        <v>1200</v>
      </c>
      <c r="B410">
        <v>583006654</v>
      </c>
      <c r="C410">
        <v>37936</v>
      </c>
      <c r="D410" t="s">
        <v>21</v>
      </c>
      <c r="E410" t="s">
        <v>420</v>
      </c>
      <c r="F410" t="s">
        <v>22</v>
      </c>
      <c r="G410" t="s">
        <v>23</v>
      </c>
      <c r="H410" t="s">
        <v>17</v>
      </c>
      <c r="I410" t="s">
        <v>18</v>
      </c>
      <c r="J410" t="s">
        <v>19</v>
      </c>
      <c r="K410">
        <v>2043</v>
      </c>
      <c r="L410">
        <v>0</v>
      </c>
      <c r="M410" t="s">
        <v>20</v>
      </c>
      <c r="N410">
        <f>L410/500</f>
        <v>0</v>
      </c>
      <c r="P410">
        <f>K410/800</f>
        <v>2.55375</v>
      </c>
    </row>
    <row r="411" spans="1:16" x14ac:dyDescent="0.35">
      <c r="A411">
        <v>1201</v>
      </c>
      <c r="B411">
        <v>583006654</v>
      </c>
      <c r="C411">
        <v>37936</v>
      </c>
      <c r="D411" t="s">
        <v>21</v>
      </c>
      <c r="E411" t="s">
        <v>420</v>
      </c>
      <c r="F411" t="s">
        <v>22</v>
      </c>
      <c r="G411" t="s">
        <v>23</v>
      </c>
      <c r="H411" t="s">
        <v>17</v>
      </c>
      <c r="I411" t="s">
        <v>18</v>
      </c>
      <c r="J411" t="s">
        <v>19</v>
      </c>
      <c r="K411">
        <v>675</v>
      </c>
      <c r="L411">
        <v>0</v>
      </c>
      <c r="M411" t="s">
        <v>20</v>
      </c>
      <c r="N411">
        <f>L411/500</f>
        <v>0</v>
      </c>
      <c r="P411">
        <f>K411/800</f>
        <v>0.84375</v>
      </c>
    </row>
    <row r="412" spans="1:16" x14ac:dyDescent="0.35">
      <c r="A412">
        <v>1202</v>
      </c>
      <c r="B412">
        <v>583006654</v>
      </c>
      <c r="C412">
        <v>37936</v>
      </c>
      <c r="D412" t="s">
        <v>21</v>
      </c>
      <c r="E412" t="s">
        <v>420</v>
      </c>
      <c r="F412" t="s">
        <v>22</v>
      </c>
      <c r="G412" t="s">
        <v>23</v>
      </c>
      <c r="H412" t="s">
        <v>17</v>
      </c>
      <c r="I412" t="s">
        <v>18</v>
      </c>
      <c r="J412" t="s">
        <v>19</v>
      </c>
      <c r="K412">
        <v>879</v>
      </c>
      <c r="L412">
        <v>0</v>
      </c>
      <c r="M412" t="s">
        <v>20</v>
      </c>
      <c r="N412">
        <f>L412/500</f>
        <v>0</v>
      </c>
      <c r="P412">
        <f>K412/800</f>
        <v>1.0987499999999999</v>
      </c>
    </row>
    <row r="413" spans="1:16" x14ac:dyDescent="0.35">
      <c r="A413">
        <v>1218</v>
      </c>
      <c r="B413">
        <v>583006653</v>
      </c>
      <c r="C413">
        <v>37935</v>
      </c>
      <c r="D413" t="s">
        <v>21</v>
      </c>
      <c r="E413" t="s">
        <v>420</v>
      </c>
      <c r="F413" t="s">
        <v>22</v>
      </c>
      <c r="G413" t="s">
        <v>23</v>
      </c>
      <c r="H413" t="s">
        <v>17</v>
      </c>
      <c r="I413" t="s">
        <v>18</v>
      </c>
      <c r="J413" t="s">
        <v>19</v>
      </c>
      <c r="K413">
        <v>561</v>
      </c>
      <c r="L413">
        <v>0</v>
      </c>
      <c r="M413" t="s">
        <v>20</v>
      </c>
      <c r="N413">
        <f>L413/500</f>
        <v>0</v>
      </c>
      <c r="P413">
        <f>K413/800</f>
        <v>0.70125000000000004</v>
      </c>
    </row>
    <row r="414" spans="1:16" x14ac:dyDescent="0.35">
      <c r="A414">
        <v>1219</v>
      </c>
      <c r="B414">
        <v>583006653</v>
      </c>
      <c r="C414">
        <v>37935</v>
      </c>
      <c r="D414" t="s">
        <v>21</v>
      </c>
      <c r="E414" t="s">
        <v>420</v>
      </c>
      <c r="F414" t="s">
        <v>22</v>
      </c>
      <c r="G414" t="s">
        <v>23</v>
      </c>
      <c r="H414" t="s">
        <v>17</v>
      </c>
      <c r="I414" t="s">
        <v>18</v>
      </c>
      <c r="J414" t="s">
        <v>19</v>
      </c>
      <c r="K414">
        <v>2154</v>
      </c>
      <c r="L414">
        <v>0</v>
      </c>
      <c r="M414" t="s">
        <v>20</v>
      </c>
      <c r="N414">
        <f>L414/500</f>
        <v>0</v>
      </c>
      <c r="P414">
        <f>K414/800</f>
        <v>2.6924999999999999</v>
      </c>
    </row>
    <row r="415" spans="1:16" x14ac:dyDescent="0.35">
      <c r="A415">
        <v>1228</v>
      </c>
      <c r="B415">
        <v>583006750</v>
      </c>
      <c r="C415">
        <v>38069</v>
      </c>
      <c r="D415" t="s">
        <v>21</v>
      </c>
      <c r="E415" t="s">
        <v>424</v>
      </c>
      <c r="F415" t="s">
        <v>22</v>
      </c>
      <c r="G415" t="s">
        <v>23</v>
      </c>
      <c r="H415" t="s">
        <v>17</v>
      </c>
      <c r="I415" t="s">
        <v>18</v>
      </c>
      <c r="J415" t="s">
        <v>19</v>
      </c>
      <c r="K415">
        <v>1494</v>
      </c>
      <c r="L415">
        <v>0</v>
      </c>
      <c r="M415" t="s">
        <v>20</v>
      </c>
      <c r="N415">
        <f>L415/500</f>
        <v>0</v>
      </c>
      <c r="P415">
        <f>K415/800</f>
        <v>1.8674999999999999</v>
      </c>
    </row>
    <row r="416" spans="1:16" x14ac:dyDescent="0.35">
      <c r="A416">
        <v>1229</v>
      </c>
      <c r="B416">
        <v>583006736</v>
      </c>
      <c r="C416">
        <v>38052</v>
      </c>
      <c r="D416" t="s">
        <v>21</v>
      </c>
      <c r="E416" t="s">
        <v>424</v>
      </c>
      <c r="F416" t="s">
        <v>22</v>
      </c>
      <c r="G416" t="s">
        <v>23</v>
      </c>
      <c r="H416" t="s">
        <v>17</v>
      </c>
      <c r="I416" t="s">
        <v>18</v>
      </c>
      <c r="J416" t="s">
        <v>19</v>
      </c>
      <c r="K416">
        <v>2433</v>
      </c>
      <c r="L416">
        <v>0</v>
      </c>
      <c r="M416" t="s">
        <v>20</v>
      </c>
      <c r="N416">
        <f>L416/500</f>
        <v>0</v>
      </c>
      <c r="P416">
        <f>K416/800</f>
        <v>3.0412499999999998</v>
      </c>
    </row>
    <row r="417" spans="1:16" x14ac:dyDescent="0.35">
      <c r="A417">
        <v>1233</v>
      </c>
      <c r="B417">
        <v>583006718</v>
      </c>
      <c r="C417">
        <v>38025</v>
      </c>
      <c r="D417" t="s">
        <v>21</v>
      </c>
      <c r="E417" t="s">
        <v>424</v>
      </c>
      <c r="F417" t="s">
        <v>22</v>
      </c>
      <c r="G417" t="s">
        <v>23</v>
      </c>
      <c r="H417" t="s">
        <v>17</v>
      </c>
      <c r="I417" t="s">
        <v>18</v>
      </c>
      <c r="J417" t="s">
        <v>19</v>
      </c>
      <c r="K417">
        <v>2016</v>
      </c>
      <c r="L417">
        <v>0</v>
      </c>
      <c r="M417" t="s">
        <v>20</v>
      </c>
      <c r="N417">
        <f>L417/500</f>
        <v>0</v>
      </c>
      <c r="P417">
        <f>K417/800</f>
        <v>2.52</v>
      </c>
    </row>
    <row r="418" spans="1:16" x14ac:dyDescent="0.35">
      <c r="A418">
        <v>1234</v>
      </c>
      <c r="B418">
        <v>583006718</v>
      </c>
      <c r="C418">
        <v>38025</v>
      </c>
      <c r="D418" t="s">
        <v>21</v>
      </c>
      <c r="E418" t="s">
        <v>424</v>
      </c>
      <c r="F418" t="s">
        <v>22</v>
      </c>
      <c r="G418" t="s">
        <v>23</v>
      </c>
      <c r="H418" t="s">
        <v>17</v>
      </c>
      <c r="I418" t="s">
        <v>18</v>
      </c>
      <c r="J418" t="s">
        <v>19</v>
      </c>
      <c r="K418">
        <v>927</v>
      </c>
      <c r="L418">
        <v>0</v>
      </c>
      <c r="M418" t="s">
        <v>20</v>
      </c>
      <c r="N418">
        <f>L418/500</f>
        <v>0</v>
      </c>
      <c r="P418">
        <f>K418/800</f>
        <v>1.1587499999999999</v>
      </c>
    </row>
    <row r="419" spans="1:16" x14ac:dyDescent="0.35">
      <c r="A419">
        <v>1239</v>
      </c>
      <c r="B419">
        <v>583006718</v>
      </c>
      <c r="C419">
        <v>38025</v>
      </c>
      <c r="D419" t="s">
        <v>21</v>
      </c>
      <c r="E419" t="s">
        <v>424</v>
      </c>
      <c r="F419" t="s">
        <v>22</v>
      </c>
      <c r="G419" t="s">
        <v>23</v>
      </c>
      <c r="H419" t="s">
        <v>17</v>
      </c>
      <c r="I419" t="s">
        <v>18</v>
      </c>
      <c r="J419" t="s">
        <v>19</v>
      </c>
      <c r="K419">
        <v>360</v>
      </c>
      <c r="L419">
        <v>0</v>
      </c>
      <c r="M419" t="s">
        <v>20</v>
      </c>
      <c r="N419">
        <f>L419/500</f>
        <v>0</v>
      </c>
      <c r="P419">
        <f>K419/800</f>
        <v>0.45</v>
      </c>
    </row>
    <row r="420" spans="1:16" x14ac:dyDescent="0.35">
      <c r="A420">
        <v>1241</v>
      </c>
      <c r="B420">
        <v>583006736</v>
      </c>
      <c r="C420">
        <v>38052</v>
      </c>
      <c r="D420" t="s">
        <v>21</v>
      </c>
      <c r="E420" t="s">
        <v>424</v>
      </c>
      <c r="F420" t="s">
        <v>22</v>
      </c>
      <c r="G420" t="s">
        <v>23</v>
      </c>
      <c r="H420" t="s">
        <v>17</v>
      </c>
      <c r="I420" t="s">
        <v>18</v>
      </c>
      <c r="J420" t="s">
        <v>19</v>
      </c>
      <c r="K420">
        <v>612</v>
      </c>
      <c r="L420">
        <v>0</v>
      </c>
      <c r="M420" t="s">
        <v>20</v>
      </c>
      <c r="N420">
        <f>L420/500</f>
        <v>0</v>
      </c>
      <c r="P420">
        <f>K420/800</f>
        <v>0.76500000000000001</v>
      </c>
    </row>
    <row r="421" spans="1:16" x14ac:dyDescent="0.35">
      <c r="A421">
        <v>1242</v>
      </c>
      <c r="B421">
        <v>583006736</v>
      </c>
      <c r="C421">
        <v>38052</v>
      </c>
      <c r="D421" t="s">
        <v>21</v>
      </c>
      <c r="E421" t="s">
        <v>424</v>
      </c>
      <c r="F421" t="s">
        <v>22</v>
      </c>
      <c r="G421" t="s">
        <v>23</v>
      </c>
      <c r="H421" t="s">
        <v>17</v>
      </c>
      <c r="I421" t="s">
        <v>18</v>
      </c>
      <c r="J421" t="s">
        <v>19</v>
      </c>
      <c r="K421">
        <v>360</v>
      </c>
      <c r="L421">
        <v>0</v>
      </c>
      <c r="M421" t="s">
        <v>20</v>
      </c>
      <c r="N421">
        <f>L421/500</f>
        <v>0</v>
      </c>
      <c r="P421">
        <f>K421/800</f>
        <v>0.45</v>
      </c>
    </row>
    <row r="422" spans="1:16" x14ac:dyDescent="0.35">
      <c r="A422">
        <v>1244</v>
      </c>
      <c r="B422">
        <v>583006750</v>
      </c>
      <c r="C422">
        <v>38069</v>
      </c>
      <c r="D422" t="s">
        <v>21</v>
      </c>
      <c r="E422" t="s">
        <v>424</v>
      </c>
      <c r="F422" t="s">
        <v>22</v>
      </c>
      <c r="G422" t="s">
        <v>23</v>
      </c>
      <c r="H422" t="s">
        <v>17</v>
      </c>
      <c r="I422" t="s">
        <v>18</v>
      </c>
      <c r="J422" t="s">
        <v>19</v>
      </c>
      <c r="K422">
        <v>639</v>
      </c>
      <c r="L422">
        <v>0</v>
      </c>
      <c r="M422" t="s">
        <v>20</v>
      </c>
      <c r="N422">
        <f>L422/500</f>
        <v>0</v>
      </c>
      <c r="P422">
        <f>K422/800</f>
        <v>0.79874999999999996</v>
      </c>
    </row>
    <row r="423" spans="1:16" x14ac:dyDescent="0.35">
      <c r="A423">
        <v>1245</v>
      </c>
      <c r="B423">
        <v>583006750</v>
      </c>
      <c r="C423">
        <v>38069</v>
      </c>
      <c r="D423" t="s">
        <v>21</v>
      </c>
      <c r="E423" t="s">
        <v>424</v>
      </c>
      <c r="F423" t="s">
        <v>22</v>
      </c>
      <c r="G423" t="s">
        <v>23</v>
      </c>
      <c r="H423" t="s">
        <v>17</v>
      </c>
      <c r="I423" t="s">
        <v>18</v>
      </c>
      <c r="J423" t="s">
        <v>19</v>
      </c>
      <c r="K423">
        <v>1179</v>
      </c>
      <c r="L423">
        <v>0</v>
      </c>
      <c r="M423" t="s">
        <v>20</v>
      </c>
      <c r="N423">
        <f>L423/500</f>
        <v>0</v>
      </c>
      <c r="P423">
        <f>K423/800</f>
        <v>1.4737499999999999</v>
      </c>
    </row>
    <row r="424" spans="1:16" x14ac:dyDescent="0.35">
      <c r="A424">
        <v>1345</v>
      </c>
      <c r="B424">
        <v>583006776</v>
      </c>
      <c r="C424">
        <v>38112</v>
      </c>
      <c r="D424" t="s">
        <v>21</v>
      </c>
      <c r="E424" t="s">
        <v>434</v>
      </c>
      <c r="F424" t="s">
        <v>22</v>
      </c>
      <c r="G424" t="s">
        <v>23</v>
      </c>
      <c r="H424" t="s">
        <v>17</v>
      </c>
      <c r="I424" t="s">
        <v>18</v>
      </c>
      <c r="J424" t="s">
        <v>19</v>
      </c>
      <c r="K424">
        <v>627</v>
      </c>
      <c r="L424">
        <v>0</v>
      </c>
      <c r="M424" t="s">
        <v>20</v>
      </c>
      <c r="N424">
        <f>L424/500</f>
        <v>0</v>
      </c>
      <c r="P424">
        <f>K424/800</f>
        <v>0.78374999999999995</v>
      </c>
    </row>
    <row r="425" spans="1:16" x14ac:dyDescent="0.35">
      <c r="A425">
        <v>1346</v>
      </c>
      <c r="B425">
        <v>583006776</v>
      </c>
      <c r="C425">
        <v>38112</v>
      </c>
      <c r="D425" t="s">
        <v>21</v>
      </c>
      <c r="E425" t="s">
        <v>434</v>
      </c>
      <c r="F425" t="s">
        <v>22</v>
      </c>
      <c r="G425" t="s">
        <v>23</v>
      </c>
      <c r="H425" t="s">
        <v>17</v>
      </c>
      <c r="I425" t="s">
        <v>18</v>
      </c>
      <c r="J425" t="s">
        <v>19</v>
      </c>
      <c r="K425">
        <v>1314</v>
      </c>
      <c r="L425">
        <v>0</v>
      </c>
      <c r="M425" t="s">
        <v>20</v>
      </c>
      <c r="N425">
        <f>L425/500</f>
        <v>0</v>
      </c>
      <c r="P425">
        <f>K425/800</f>
        <v>1.6425000000000001</v>
      </c>
    </row>
    <row r="426" spans="1:16" x14ac:dyDescent="0.35">
      <c r="A426">
        <v>1347</v>
      </c>
      <c r="B426">
        <v>583006776</v>
      </c>
      <c r="C426">
        <v>38112</v>
      </c>
      <c r="D426" t="s">
        <v>21</v>
      </c>
      <c r="E426" t="s">
        <v>434</v>
      </c>
      <c r="F426" t="s">
        <v>22</v>
      </c>
      <c r="G426" t="s">
        <v>23</v>
      </c>
      <c r="H426" t="s">
        <v>17</v>
      </c>
      <c r="I426" t="s">
        <v>18</v>
      </c>
      <c r="J426" t="s">
        <v>19</v>
      </c>
      <c r="K426">
        <v>270</v>
      </c>
      <c r="L426">
        <v>0</v>
      </c>
      <c r="M426" t="s">
        <v>20</v>
      </c>
      <c r="N426">
        <f>L426/500</f>
        <v>0</v>
      </c>
      <c r="P426">
        <f>K426/800</f>
        <v>0.33750000000000002</v>
      </c>
    </row>
    <row r="427" spans="1:16" x14ac:dyDescent="0.35">
      <c r="A427">
        <v>1351</v>
      </c>
      <c r="B427">
        <v>583006776</v>
      </c>
      <c r="C427">
        <v>38112</v>
      </c>
      <c r="D427" t="s">
        <v>21</v>
      </c>
      <c r="E427" t="s">
        <v>434</v>
      </c>
      <c r="F427" t="s">
        <v>22</v>
      </c>
      <c r="G427" t="s">
        <v>23</v>
      </c>
      <c r="H427" t="s">
        <v>17</v>
      </c>
      <c r="I427" t="s">
        <v>18</v>
      </c>
      <c r="J427" t="s">
        <v>19</v>
      </c>
      <c r="K427">
        <v>1314</v>
      </c>
      <c r="L427">
        <v>0</v>
      </c>
      <c r="M427" t="s">
        <v>20</v>
      </c>
      <c r="N427">
        <f>L427/500</f>
        <v>0</v>
      </c>
      <c r="P427">
        <f>K427/800</f>
        <v>1.6425000000000001</v>
      </c>
    </row>
    <row r="428" spans="1:16" x14ac:dyDescent="0.35">
      <c r="A428">
        <v>1388</v>
      </c>
      <c r="B428">
        <v>583006905</v>
      </c>
      <c r="C428">
        <v>38282</v>
      </c>
      <c r="D428" t="s">
        <v>21</v>
      </c>
      <c r="E428" t="s">
        <v>444</v>
      </c>
      <c r="F428" t="s">
        <v>22</v>
      </c>
      <c r="G428" t="s">
        <v>23</v>
      </c>
      <c r="H428" t="s">
        <v>17</v>
      </c>
      <c r="I428" t="s">
        <v>18</v>
      </c>
      <c r="J428" t="s">
        <v>19</v>
      </c>
      <c r="K428">
        <v>213</v>
      </c>
      <c r="L428">
        <v>0</v>
      </c>
      <c r="M428" t="s">
        <v>20</v>
      </c>
      <c r="N428">
        <f>L428/500</f>
        <v>0</v>
      </c>
      <c r="P428">
        <f>K428/800</f>
        <v>0.26624999999999999</v>
      </c>
    </row>
    <row r="429" spans="1:16" x14ac:dyDescent="0.35">
      <c r="A429">
        <v>1389</v>
      </c>
      <c r="B429">
        <v>583006905</v>
      </c>
      <c r="C429">
        <v>38282</v>
      </c>
      <c r="D429" t="s">
        <v>21</v>
      </c>
      <c r="E429" t="s">
        <v>444</v>
      </c>
      <c r="F429" t="s">
        <v>22</v>
      </c>
      <c r="G429" t="s">
        <v>23</v>
      </c>
      <c r="H429" t="s">
        <v>17</v>
      </c>
      <c r="I429" t="s">
        <v>18</v>
      </c>
      <c r="J429" t="s">
        <v>19</v>
      </c>
      <c r="K429">
        <v>495</v>
      </c>
      <c r="L429">
        <v>0</v>
      </c>
      <c r="M429" t="s">
        <v>20</v>
      </c>
      <c r="N429">
        <f>L429/500</f>
        <v>0</v>
      </c>
      <c r="P429">
        <f>K429/800</f>
        <v>0.61875000000000002</v>
      </c>
    </row>
    <row r="430" spans="1:16" x14ac:dyDescent="0.35">
      <c r="A430">
        <v>1390</v>
      </c>
      <c r="B430">
        <v>583006905</v>
      </c>
      <c r="C430">
        <v>38282</v>
      </c>
      <c r="D430" t="s">
        <v>21</v>
      </c>
      <c r="E430" t="s">
        <v>444</v>
      </c>
      <c r="F430" t="s">
        <v>22</v>
      </c>
      <c r="G430" t="s">
        <v>23</v>
      </c>
      <c r="H430" t="s">
        <v>17</v>
      </c>
      <c r="I430" t="s">
        <v>18</v>
      </c>
      <c r="J430" t="s">
        <v>19</v>
      </c>
      <c r="K430">
        <v>2796</v>
      </c>
      <c r="L430">
        <v>0</v>
      </c>
      <c r="M430" t="s">
        <v>20</v>
      </c>
      <c r="N430">
        <f>L430/500</f>
        <v>0</v>
      </c>
      <c r="P430">
        <f>K430/800</f>
        <v>3.4950000000000001</v>
      </c>
    </row>
    <row r="431" spans="1:16" x14ac:dyDescent="0.35">
      <c r="A431">
        <v>1391</v>
      </c>
      <c r="B431">
        <v>583006888</v>
      </c>
      <c r="C431">
        <v>38265</v>
      </c>
      <c r="D431" t="s">
        <v>21</v>
      </c>
      <c r="E431" t="s">
        <v>444</v>
      </c>
      <c r="F431" t="s">
        <v>22</v>
      </c>
      <c r="G431" t="s">
        <v>23</v>
      </c>
      <c r="H431" t="s">
        <v>17</v>
      </c>
      <c r="I431" t="s">
        <v>18</v>
      </c>
      <c r="J431" t="s">
        <v>19</v>
      </c>
      <c r="K431">
        <v>744</v>
      </c>
      <c r="L431">
        <v>0</v>
      </c>
      <c r="M431" t="s">
        <v>20</v>
      </c>
      <c r="N431">
        <f>L431/500</f>
        <v>0</v>
      </c>
      <c r="P431">
        <f>K431/800</f>
        <v>0.93</v>
      </c>
    </row>
    <row r="432" spans="1:16" x14ac:dyDescent="0.35">
      <c r="A432">
        <v>1392</v>
      </c>
      <c r="B432">
        <v>583006888</v>
      </c>
      <c r="C432">
        <v>38265</v>
      </c>
      <c r="D432" t="s">
        <v>21</v>
      </c>
      <c r="E432" t="s">
        <v>444</v>
      </c>
      <c r="F432" t="s">
        <v>22</v>
      </c>
      <c r="G432" t="s">
        <v>23</v>
      </c>
      <c r="H432" t="s">
        <v>17</v>
      </c>
      <c r="I432" t="s">
        <v>18</v>
      </c>
      <c r="J432" t="s">
        <v>19</v>
      </c>
      <c r="K432">
        <v>1800</v>
      </c>
      <c r="L432">
        <v>0</v>
      </c>
      <c r="M432" t="s">
        <v>20</v>
      </c>
      <c r="N432">
        <f>L432/500</f>
        <v>0</v>
      </c>
      <c r="P432">
        <f>K432/800</f>
        <v>2.25</v>
      </c>
    </row>
    <row r="433" spans="1:16" x14ac:dyDescent="0.35">
      <c r="A433">
        <v>1393</v>
      </c>
      <c r="B433">
        <v>583006888</v>
      </c>
      <c r="C433">
        <v>38265</v>
      </c>
      <c r="D433" t="s">
        <v>21</v>
      </c>
      <c r="E433" t="s">
        <v>444</v>
      </c>
      <c r="F433" t="s">
        <v>22</v>
      </c>
      <c r="G433" t="s">
        <v>23</v>
      </c>
      <c r="H433" t="s">
        <v>17</v>
      </c>
      <c r="I433" t="s">
        <v>18</v>
      </c>
      <c r="J433" t="s">
        <v>19</v>
      </c>
      <c r="K433">
        <v>990</v>
      </c>
      <c r="L433">
        <v>0</v>
      </c>
      <c r="M433" t="s">
        <v>20</v>
      </c>
      <c r="N433">
        <f>L433/500</f>
        <v>0</v>
      </c>
      <c r="P433">
        <f>K433/800</f>
        <v>1.2375</v>
      </c>
    </row>
    <row r="434" spans="1:16" x14ac:dyDescent="0.35">
      <c r="A434">
        <v>1418</v>
      </c>
      <c r="B434">
        <v>583006871</v>
      </c>
      <c r="C434">
        <v>38244</v>
      </c>
      <c r="D434" t="s">
        <v>21</v>
      </c>
      <c r="E434" t="s">
        <v>444</v>
      </c>
      <c r="F434" t="s">
        <v>22</v>
      </c>
      <c r="G434" t="s">
        <v>23</v>
      </c>
      <c r="H434" t="s">
        <v>17</v>
      </c>
      <c r="I434" t="s">
        <v>18</v>
      </c>
      <c r="J434" t="s">
        <v>19</v>
      </c>
      <c r="K434">
        <v>906</v>
      </c>
      <c r="L434">
        <v>0</v>
      </c>
      <c r="M434" t="s">
        <v>20</v>
      </c>
      <c r="N434">
        <f>L434/500</f>
        <v>0</v>
      </c>
      <c r="P434">
        <f>K434/800</f>
        <v>1.1325000000000001</v>
      </c>
    </row>
    <row r="435" spans="1:16" x14ac:dyDescent="0.35">
      <c r="A435">
        <v>1419</v>
      </c>
      <c r="B435">
        <v>583006871</v>
      </c>
      <c r="C435">
        <v>38244</v>
      </c>
      <c r="D435" t="s">
        <v>21</v>
      </c>
      <c r="E435" t="s">
        <v>444</v>
      </c>
      <c r="F435" t="s">
        <v>22</v>
      </c>
      <c r="G435" t="s">
        <v>23</v>
      </c>
      <c r="H435" t="s">
        <v>17</v>
      </c>
      <c r="I435" t="s">
        <v>18</v>
      </c>
      <c r="J435" t="s">
        <v>19</v>
      </c>
      <c r="K435">
        <v>1482</v>
      </c>
      <c r="L435">
        <v>0</v>
      </c>
      <c r="M435" t="s">
        <v>20</v>
      </c>
      <c r="N435">
        <f>L435/500</f>
        <v>0</v>
      </c>
      <c r="P435">
        <f>K435/800</f>
        <v>1.8525</v>
      </c>
    </row>
    <row r="436" spans="1:16" x14ac:dyDescent="0.35">
      <c r="A436">
        <v>1420</v>
      </c>
      <c r="B436">
        <v>583006871</v>
      </c>
      <c r="C436">
        <v>38244</v>
      </c>
      <c r="D436" t="s">
        <v>21</v>
      </c>
      <c r="E436" t="s">
        <v>444</v>
      </c>
      <c r="F436" t="s">
        <v>22</v>
      </c>
      <c r="G436" t="s">
        <v>23</v>
      </c>
      <c r="H436" t="s">
        <v>17</v>
      </c>
      <c r="I436" t="s">
        <v>18</v>
      </c>
      <c r="J436" t="s">
        <v>19</v>
      </c>
      <c r="K436">
        <v>1266</v>
      </c>
      <c r="L436">
        <v>0</v>
      </c>
      <c r="M436" t="s">
        <v>20</v>
      </c>
      <c r="N436">
        <f>L436/500</f>
        <v>0</v>
      </c>
      <c r="P436">
        <f>K436/800</f>
        <v>1.5825</v>
      </c>
    </row>
    <row r="437" spans="1:16" x14ac:dyDescent="0.35">
      <c r="A437">
        <v>1423</v>
      </c>
      <c r="B437">
        <v>583006869</v>
      </c>
      <c r="C437">
        <v>38239</v>
      </c>
      <c r="D437" t="s">
        <v>21</v>
      </c>
      <c r="E437" t="s">
        <v>444</v>
      </c>
      <c r="F437" t="s">
        <v>22</v>
      </c>
      <c r="G437" t="s">
        <v>23</v>
      </c>
      <c r="H437" t="s">
        <v>17</v>
      </c>
      <c r="I437" t="s">
        <v>18</v>
      </c>
      <c r="J437" t="s">
        <v>19</v>
      </c>
      <c r="K437">
        <v>1134</v>
      </c>
      <c r="L437">
        <v>0</v>
      </c>
      <c r="M437" t="s">
        <v>20</v>
      </c>
      <c r="N437">
        <f>L437/500</f>
        <v>0</v>
      </c>
      <c r="P437">
        <f>K437/800</f>
        <v>1.4175</v>
      </c>
    </row>
    <row r="438" spans="1:16" x14ac:dyDescent="0.35">
      <c r="A438">
        <v>1424</v>
      </c>
      <c r="B438">
        <v>583006869</v>
      </c>
      <c r="C438">
        <v>38239</v>
      </c>
      <c r="D438" t="s">
        <v>21</v>
      </c>
      <c r="E438" t="s">
        <v>444</v>
      </c>
      <c r="F438" t="s">
        <v>22</v>
      </c>
      <c r="G438" t="s">
        <v>23</v>
      </c>
      <c r="H438" t="s">
        <v>17</v>
      </c>
      <c r="I438" t="s">
        <v>18</v>
      </c>
      <c r="J438" t="s">
        <v>19</v>
      </c>
      <c r="K438">
        <v>828</v>
      </c>
      <c r="L438">
        <v>0</v>
      </c>
      <c r="M438" t="s">
        <v>20</v>
      </c>
      <c r="N438">
        <f>L438/500</f>
        <v>0</v>
      </c>
      <c r="P438">
        <f>K438/800</f>
        <v>1.0349999999999999</v>
      </c>
    </row>
    <row r="439" spans="1:16" x14ac:dyDescent="0.35">
      <c r="A439">
        <v>1425</v>
      </c>
      <c r="B439">
        <v>583006869</v>
      </c>
      <c r="C439">
        <v>38239</v>
      </c>
      <c r="D439" t="s">
        <v>21</v>
      </c>
      <c r="E439" t="s">
        <v>444</v>
      </c>
      <c r="F439" t="s">
        <v>22</v>
      </c>
      <c r="G439" t="s">
        <v>23</v>
      </c>
      <c r="H439" t="s">
        <v>17</v>
      </c>
      <c r="I439" t="s">
        <v>18</v>
      </c>
      <c r="J439" t="s">
        <v>19</v>
      </c>
      <c r="K439">
        <v>558</v>
      </c>
      <c r="L439">
        <v>0</v>
      </c>
      <c r="M439" t="s">
        <v>20</v>
      </c>
      <c r="N439">
        <f>L439/500</f>
        <v>0</v>
      </c>
      <c r="P439">
        <f>K439/800</f>
        <v>0.69750000000000001</v>
      </c>
    </row>
    <row r="440" spans="1:16" x14ac:dyDescent="0.35">
      <c r="A440">
        <v>1429</v>
      </c>
      <c r="B440">
        <v>583006869</v>
      </c>
      <c r="C440">
        <v>38239</v>
      </c>
      <c r="D440" t="s">
        <v>21</v>
      </c>
      <c r="E440" t="s">
        <v>444</v>
      </c>
      <c r="F440" t="s">
        <v>22</v>
      </c>
      <c r="G440" t="s">
        <v>23</v>
      </c>
      <c r="H440" t="s">
        <v>17</v>
      </c>
      <c r="I440" t="s">
        <v>18</v>
      </c>
      <c r="J440" t="s">
        <v>19</v>
      </c>
      <c r="K440">
        <v>1245</v>
      </c>
      <c r="L440">
        <v>0</v>
      </c>
      <c r="M440" t="s">
        <v>20</v>
      </c>
      <c r="N440">
        <f>L440/500</f>
        <v>0</v>
      </c>
      <c r="P440">
        <f>K440/800</f>
        <v>1.5562499999999999</v>
      </c>
    </row>
    <row r="441" spans="1:16" x14ac:dyDescent="0.35">
      <c r="A441">
        <v>1435</v>
      </c>
      <c r="B441">
        <v>583006941</v>
      </c>
      <c r="C441">
        <v>38336</v>
      </c>
      <c r="D441" t="s">
        <v>21</v>
      </c>
      <c r="E441" t="s">
        <v>451</v>
      </c>
      <c r="F441" t="s">
        <v>22</v>
      </c>
      <c r="G441" t="s">
        <v>23</v>
      </c>
      <c r="H441" t="s">
        <v>17</v>
      </c>
      <c r="I441" t="s">
        <v>18</v>
      </c>
      <c r="J441" t="s">
        <v>19</v>
      </c>
      <c r="K441">
        <v>2256</v>
      </c>
      <c r="L441">
        <v>0</v>
      </c>
      <c r="M441" t="s">
        <v>20</v>
      </c>
      <c r="N441">
        <f>L441/500</f>
        <v>0</v>
      </c>
      <c r="P441">
        <f>K441/800</f>
        <v>2.82</v>
      </c>
    </row>
    <row r="442" spans="1:16" x14ac:dyDescent="0.35">
      <c r="A442">
        <v>1436</v>
      </c>
      <c r="B442">
        <v>583006941</v>
      </c>
      <c r="C442">
        <v>38336</v>
      </c>
      <c r="D442" t="s">
        <v>21</v>
      </c>
      <c r="E442" t="s">
        <v>451</v>
      </c>
      <c r="F442" t="s">
        <v>22</v>
      </c>
      <c r="G442" t="s">
        <v>23</v>
      </c>
      <c r="H442" t="s">
        <v>17</v>
      </c>
      <c r="I442" t="s">
        <v>18</v>
      </c>
      <c r="J442" t="s">
        <v>19</v>
      </c>
      <c r="K442">
        <v>1197</v>
      </c>
      <c r="L442">
        <v>0</v>
      </c>
      <c r="M442" t="s">
        <v>20</v>
      </c>
      <c r="N442">
        <f>L442/500</f>
        <v>0</v>
      </c>
      <c r="P442">
        <f>K442/800</f>
        <v>1.4962500000000001</v>
      </c>
    </row>
    <row r="443" spans="1:16" x14ac:dyDescent="0.35">
      <c r="A443">
        <v>1437</v>
      </c>
      <c r="B443">
        <v>583006943</v>
      </c>
      <c r="C443">
        <v>38341</v>
      </c>
      <c r="D443" t="s">
        <v>21</v>
      </c>
      <c r="E443" t="s">
        <v>451</v>
      </c>
      <c r="F443" t="s">
        <v>22</v>
      </c>
      <c r="G443" t="s">
        <v>23</v>
      </c>
      <c r="H443" t="s">
        <v>17</v>
      </c>
      <c r="I443" t="s">
        <v>18</v>
      </c>
      <c r="J443" t="s">
        <v>19</v>
      </c>
      <c r="K443">
        <v>1524</v>
      </c>
      <c r="L443">
        <v>0</v>
      </c>
      <c r="M443" t="s">
        <v>20</v>
      </c>
      <c r="N443">
        <f>L443/500</f>
        <v>0</v>
      </c>
      <c r="P443">
        <f>K443/800</f>
        <v>1.905</v>
      </c>
    </row>
    <row r="444" spans="1:16" x14ac:dyDescent="0.35">
      <c r="A444">
        <v>1438</v>
      </c>
      <c r="B444">
        <v>583006943</v>
      </c>
      <c r="C444">
        <v>38341</v>
      </c>
      <c r="D444" t="s">
        <v>21</v>
      </c>
      <c r="E444" t="s">
        <v>451</v>
      </c>
      <c r="F444" t="s">
        <v>22</v>
      </c>
      <c r="G444" t="s">
        <v>23</v>
      </c>
      <c r="H444" t="s">
        <v>17</v>
      </c>
      <c r="I444" t="s">
        <v>18</v>
      </c>
      <c r="J444" t="s">
        <v>19</v>
      </c>
      <c r="K444">
        <v>468</v>
      </c>
      <c r="L444">
        <v>0</v>
      </c>
      <c r="M444" t="s">
        <v>20</v>
      </c>
      <c r="N444">
        <f>L444/500</f>
        <v>0</v>
      </c>
      <c r="P444">
        <f>K444/800</f>
        <v>0.58499999999999996</v>
      </c>
    </row>
    <row r="445" spans="1:16" x14ac:dyDescent="0.35">
      <c r="A445">
        <v>1439</v>
      </c>
      <c r="B445">
        <v>583006943</v>
      </c>
      <c r="C445">
        <v>38341</v>
      </c>
      <c r="D445" t="s">
        <v>21</v>
      </c>
      <c r="E445" t="s">
        <v>451</v>
      </c>
      <c r="F445" t="s">
        <v>22</v>
      </c>
      <c r="G445" t="s">
        <v>23</v>
      </c>
      <c r="H445" t="s">
        <v>17</v>
      </c>
      <c r="I445" t="s">
        <v>18</v>
      </c>
      <c r="J445" t="s">
        <v>19</v>
      </c>
      <c r="K445">
        <v>1986</v>
      </c>
      <c r="L445">
        <v>0</v>
      </c>
      <c r="M445" t="s">
        <v>20</v>
      </c>
      <c r="N445">
        <f>L445/500</f>
        <v>0</v>
      </c>
      <c r="P445">
        <f>K445/800</f>
        <v>2.4824999999999999</v>
      </c>
    </row>
    <row r="446" spans="1:16" x14ac:dyDescent="0.35">
      <c r="A446">
        <v>55</v>
      </c>
      <c r="B446">
        <v>583005103</v>
      </c>
      <c r="C446">
        <v>35823</v>
      </c>
      <c r="D446" t="s">
        <v>92</v>
      </c>
      <c r="E446" t="s">
        <v>81</v>
      </c>
      <c r="F446" t="s">
        <v>93</v>
      </c>
      <c r="G446" t="s">
        <v>94</v>
      </c>
      <c r="H446" t="s">
        <v>17</v>
      </c>
      <c r="I446" t="s">
        <v>18</v>
      </c>
      <c r="J446" t="s">
        <v>19</v>
      </c>
      <c r="K446">
        <v>72</v>
      </c>
      <c r="L446">
        <v>0</v>
      </c>
      <c r="M446" t="s">
        <v>20</v>
      </c>
      <c r="N446">
        <f>L446/500</f>
        <v>0</v>
      </c>
      <c r="P446">
        <f>K446/800</f>
        <v>0.09</v>
      </c>
    </row>
    <row r="447" spans="1:16" x14ac:dyDescent="0.35">
      <c r="A447">
        <v>56</v>
      </c>
      <c r="B447">
        <v>583005105</v>
      </c>
      <c r="C447">
        <v>35825</v>
      </c>
      <c r="D447" t="s">
        <v>92</v>
      </c>
      <c r="E447" t="s">
        <v>81</v>
      </c>
      <c r="F447" t="s">
        <v>93</v>
      </c>
      <c r="G447" t="s">
        <v>94</v>
      </c>
      <c r="H447" t="s">
        <v>17</v>
      </c>
      <c r="I447" t="s">
        <v>18</v>
      </c>
      <c r="J447" t="s">
        <v>19</v>
      </c>
      <c r="K447">
        <v>90</v>
      </c>
      <c r="L447">
        <v>0</v>
      </c>
      <c r="M447" t="s">
        <v>20</v>
      </c>
      <c r="N447">
        <f>L447/500</f>
        <v>0</v>
      </c>
      <c r="P447">
        <f>K447/800</f>
        <v>0.1125</v>
      </c>
    </row>
    <row r="448" spans="1:16" x14ac:dyDescent="0.35">
      <c r="A448">
        <v>65</v>
      </c>
      <c r="B448">
        <v>583005107</v>
      </c>
      <c r="C448">
        <v>35827</v>
      </c>
      <c r="D448" t="s">
        <v>92</v>
      </c>
      <c r="E448" t="s">
        <v>81</v>
      </c>
      <c r="F448" t="s">
        <v>93</v>
      </c>
      <c r="G448" t="s">
        <v>94</v>
      </c>
      <c r="H448" t="s">
        <v>17</v>
      </c>
      <c r="I448" t="s">
        <v>18</v>
      </c>
      <c r="J448" t="s">
        <v>19</v>
      </c>
      <c r="K448">
        <v>180</v>
      </c>
      <c r="L448">
        <v>0</v>
      </c>
      <c r="M448" t="s">
        <v>20</v>
      </c>
      <c r="N448">
        <f>L448/500</f>
        <v>0</v>
      </c>
      <c r="P448">
        <f>K448/800</f>
        <v>0.22500000000000001</v>
      </c>
    </row>
    <row r="449" spans="1:16" x14ac:dyDescent="0.35">
      <c r="A449">
        <v>66</v>
      </c>
      <c r="B449">
        <v>583005101</v>
      </c>
      <c r="C449">
        <v>35821</v>
      </c>
      <c r="D449" t="s">
        <v>92</v>
      </c>
      <c r="E449" t="s">
        <v>81</v>
      </c>
      <c r="F449" t="s">
        <v>93</v>
      </c>
      <c r="G449" t="s">
        <v>94</v>
      </c>
      <c r="H449" t="s">
        <v>17</v>
      </c>
      <c r="I449" t="s">
        <v>18</v>
      </c>
      <c r="J449" t="s">
        <v>19</v>
      </c>
      <c r="K449">
        <v>180</v>
      </c>
      <c r="L449">
        <v>0</v>
      </c>
      <c r="M449" t="s">
        <v>20</v>
      </c>
      <c r="N449">
        <f>L449/500</f>
        <v>0</v>
      </c>
      <c r="P449">
        <f>K449/800</f>
        <v>0.22500000000000001</v>
      </c>
    </row>
    <row r="450" spans="1:16" x14ac:dyDescent="0.35">
      <c r="A450">
        <v>185</v>
      </c>
      <c r="B450">
        <v>583005271</v>
      </c>
      <c r="C450">
        <v>36046</v>
      </c>
      <c r="D450" t="s">
        <v>92</v>
      </c>
      <c r="E450" t="s">
        <v>200</v>
      </c>
      <c r="F450" t="s">
        <v>93</v>
      </c>
      <c r="G450" t="s">
        <v>94</v>
      </c>
      <c r="H450" t="s">
        <v>17</v>
      </c>
      <c r="I450" t="s">
        <v>18</v>
      </c>
      <c r="J450" t="s">
        <v>19</v>
      </c>
      <c r="K450">
        <v>72</v>
      </c>
      <c r="L450">
        <v>0</v>
      </c>
      <c r="M450" t="s">
        <v>20</v>
      </c>
      <c r="N450">
        <f>L450/500</f>
        <v>0</v>
      </c>
      <c r="P450">
        <f>K450/800</f>
        <v>0.09</v>
      </c>
    </row>
    <row r="451" spans="1:16" x14ac:dyDescent="0.35">
      <c r="A451">
        <v>195</v>
      </c>
      <c r="B451">
        <v>583005270</v>
      </c>
      <c r="C451">
        <v>36045</v>
      </c>
      <c r="D451" t="s">
        <v>92</v>
      </c>
      <c r="E451" t="s">
        <v>200</v>
      </c>
      <c r="F451" t="s">
        <v>93</v>
      </c>
      <c r="G451" t="s">
        <v>94</v>
      </c>
      <c r="H451" t="s">
        <v>17</v>
      </c>
      <c r="I451" t="s">
        <v>18</v>
      </c>
      <c r="J451" t="s">
        <v>19</v>
      </c>
      <c r="K451">
        <v>18</v>
      </c>
      <c r="L451">
        <v>0</v>
      </c>
      <c r="M451" t="s">
        <v>20</v>
      </c>
      <c r="N451">
        <f>L451/500</f>
        <v>0</v>
      </c>
      <c r="P451">
        <f>K451/800</f>
        <v>2.2499999999999999E-2</v>
      </c>
    </row>
    <row r="452" spans="1:16" x14ac:dyDescent="0.35">
      <c r="A452">
        <v>253</v>
      </c>
      <c r="B452">
        <v>583005372</v>
      </c>
      <c r="C452">
        <v>36192</v>
      </c>
      <c r="D452" t="s">
        <v>92</v>
      </c>
      <c r="E452" t="s">
        <v>237</v>
      </c>
      <c r="F452" t="s">
        <v>93</v>
      </c>
      <c r="G452" t="s">
        <v>94</v>
      </c>
      <c r="H452" t="s">
        <v>17</v>
      </c>
      <c r="I452" t="s">
        <v>18</v>
      </c>
      <c r="J452" t="s">
        <v>19</v>
      </c>
      <c r="K452">
        <v>90</v>
      </c>
      <c r="L452">
        <v>0</v>
      </c>
      <c r="M452" t="s">
        <v>20</v>
      </c>
      <c r="N452">
        <f>L452/500</f>
        <v>0</v>
      </c>
      <c r="P452">
        <f>K452/800</f>
        <v>0.1125</v>
      </c>
    </row>
    <row r="453" spans="1:16" x14ac:dyDescent="0.35">
      <c r="A453">
        <v>254</v>
      </c>
      <c r="B453">
        <v>583005371</v>
      </c>
      <c r="C453">
        <v>36191</v>
      </c>
      <c r="D453" t="s">
        <v>92</v>
      </c>
      <c r="E453" t="s">
        <v>237</v>
      </c>
      <c r="F453" t="s">
        <v>93</v>
      </c>
      <c r="G453" t="s">
        <v>94</v>
      </c>
      <c r="H453" t="s">
        <v>17</v>
      </c>
      <c r="I453" t="s">
        <v>18</v>
      </c>
      <c r="J453" t="s">
        <v>19</v>
      </c>
      <c r="K453">
        <v>90</v>
      </c>
      <c r="L453">
        <v>0</v>
      </c>
      <c r="M453" t="s">
        <v>20</v>
      </c>
      <c r="N453">
        <f>L453/500</f>
        <v>0</v>
      </c>
      <c r="P453">
        <f>K453/800</f>
        <v>0.1125</v>
      </c>
    </row>
    <row r="454" spans="1:16" x14ac:dyDescent="0.35">
      <c r="A454">
        <v>268</v>
      </c>
      <c r="B454">
        <v>583005370</v>
      </c>
      <c r="C454">
        <v>36190</v>
      </c>
      <c r="D454" t="s">
        <v>92</v>
      </c>
      <c r="E454" t="s">
        <v>237</v>
      </c>
      <c r="F454" t="s">
        <v>93</v>
      </c>
      <c r="G454" t="s">
        <v>94</v>
      </c>
      <c r="H454" t="s">
        <v>17</v>
      </c>
      <c r="I454" t="s">
        <v>18</v>
      </c>
      <c r="J454" t="s">
        <v>19</v>
      </c>
      <c r="K454">
        <v>45</v>
      </c>
      <c r="L454">
        <v>0</v>
      </c>
      <c r="M454" t="s">
        <v>20</v>
      </c>
      <c r="N454">
        <f>L454/500</f>
        <v>0</v>
      </c>
      <c r="P454">
        <f>K454/800</f>
        <v>5.6250000000000001E-2</v>
      </c>
    </row>
    <row r="455" spans="1:16" x14ac:dyDescent="0.35">
      <c r="A455">
        <v>275</v>
      </c>
      <c r="B455">
        <v>583005369</v>
      </c>
      <c r="C455">
        <v>36189</v>
      </c>
      <c r="D455" t="s">
        <v>92</v>
      </c>
      <c r="E455" t="s">
        <v>237</v>
      </c>
      <c r="F455" t="s">
        <v>93</v>
      </c>
      <c r="G455" t="s">
        <v>94</v>
      </c>
      <c r="H455" t="s">
        <v>17</v>
      </c>
      <c r="I455" t="s">
        <v>18</v>
      </c>
      <c r="J455" t="s">
        <v>19</v>
      </c>
      <c r="K455">
        <v>225</v>
      </c>
      <c r="L455">
        <v>0</v>
      </c>
      <c r="M455" t="s">
        <v>20</v>
      </c>
      <c r="N455">
        <f>L455/500</f>
        <v>0</v>
      </c>
      <c r="P455">
        <f>K455/800</f>
        <v>0.28125</v>
      </c>
    </row>
    <row r="456" spans="1:16" x14ac:dyDescent="0.35">
      <c r="A456">
        <v>430</v>
      </c>
      <c r="B456">
        <v>583005664</v>
      </c>
      <c r="C456">
        <v>36603</v>
      </c>
      <c r="D456" t="s">
        <v>92</v>
      </c>
      <c r="E456" t="s">
        <v>292</v>
      </c>
      <c r="F456" t="s">
        <v>93</v>
      </c>
      <c r="G456" t="s">
        <v>94</v>
      </c>
      <c r="H456" t="s">
        <v>17</v>
      </c>
      <c r="I456" t="s">
        <v>18</v>
      </c>
      <c r="J456" t="s">
        <v>19</v>
      </c>
      <c r="K456">
        <v>564</v>
      </c>
      <c r="L456">
        <v>0</v>
      </c>
      <c r="M456" t="s">
        <v>20</v>
      </c>
      <c r="N456">
        <f>L456/500</f>
        <v>0</v>
      </c>
      <c r="P456">
        <f>K456/800</f>
        <v>0.70499999999999996</v>
      </c>
    </row>
    <row r="457" spans="1:16" x14ac:dyDescent="0.35">
      <c r="A457">
        <v>431</v>
      </c>
      <c r="B457">
        <v>583005664</v>
      </c>
      <c r="C457">
        <v>36603</v>
      </c>
      <c r="D457" t="s">
        <v>92</v>
      </c>
      <c r="E457" t="s">
        <v>292</v>
      </c>
      <c r="F457" t="s">
        <v>93</v>
      </c>
      <c r="G457" t="s">
        <v>94</v>
      </c>
      <c r="H457" t="s">
        <v>17</v>
      </c>
      <c r="I457" t="s">
        <v>18</v>
      </c>
      <c r="J457" t="s">
        <v>19</v>
      </c>
      <c r="K457">
        <v>135</v>
      </c>
      <c r="L457">
        <v>0</v>
      </c>
      <c r="M457" t="s">
        <v>20</v>
      </c>
      <c r="N457">
        <f>L457/500</f>
        <v>0</v>
      </c>
      <c r="P457">
        <f>K457/800</f>
        <v>0.16875000000000001</v>
      </c>
    </row>
    <row r="458" spans="1:16" x14ac:dyDescent="0.35">
      <c r="A458">
        <v>432</v>
      </c>
      <c r="B458">
        <v>583005664</v>
      </c>
      <c r="C458">
        <v>36603</v>
      </c>
      <c r="D458" t="s">
        <v>92</v>
      </c>
      <c r="E458" t="s">
        <v>292</v>
      </c>
      <c r="F458" t="s">
        <v>93</v>
      </c>
      <c r="G458" t="s">
        <v>94</v>
      </c>
      <c r="H458" t="s">
        <v>17</v>
      </c>
      <c r="I458" t="s">
        <v>18</v>
      </c>
      <c r="J458" t="s">
        <v>19</v>
      </c>
      <c r="K458">
        <v>333</v>
      </c>
      <c r="L458">
        <v>0</v>
      </c>
      <c r="M458" t="s">
        <v>20</v>
      </c>
      <c r="N458">
        <f>L458/500</f>
        <v>0</v>
      </c>
      <c r="P458">
        <f>K458/800</f>
        <v>0.41625000000000001</v>
      </c>
    </row>
    <row r="459" spans="1:16" x14ac:dyDescent="0.35">
      <c r="A459">
        <v>491</v>
      </c>
      <c r="B459">
        <v>583005715</v>
      </c>
      <c r="C459">
        <v>36671</v>
      </c>
      <c r="D459" t="s">
        <v>92</v>
      </c>
      <c r="E459" t="s">
        <v>300</v>
      </c>
      <c r="F459" t="s">
        <v>93</v>
      </c>
      <c r="G459" t="s">
        <v>94</v>
      </c>
      <c r="H459" t="s">
        <v>17</v>
      </c>
      <c r="I459" t="s">
        <v>18</v>
      </c>
      <c r="J459" t="s">
        <v>19</v>
      </c>
      <c r="K459">
        <v>90</v>
      </c>
      <c r="L459">
        <v>0</v>
      </c>
      <c r="M459" t="s">
        <v>20</v>
      </c>
      <c r="N459">
        <f>L459/500</f>
        <v>0</v>
      </c>
      <c r="P459">
        <f>K459/800</f>
        <v>0.1125</v>
      </c>
    </row>
    <row r="460" spans="1:16" x14ac:dyDescent="0.35">
      <c r="A460">
        <v>492</v>
      </c>
      <c r="B460">
        <v>583005712</v>
      </c>
      <c r="C460">
        <v>36668</v>
      </c>
      <c r="D460" t="s">
        <v>92</v>
      </c>
      <c r="E460" t="s">
        <v>300</v>
      </c>
      <c r="F460" t="s">
        <v>93</v>
      </c>
      <c r="G460" t="s">
        <v>94</v>
      </c>
      <c r="H460" t="s">
        <v>17</v>
      </c>
      <c r="I460" t="s">
        <v>18</v>
      </c>
      <c r="J460" t="s">
        <v>19</v>
      </c>
      <c r="K460">
        <v>90</v>
      </c>
      <c r="L460">
        <v>0</v>
      </c>
      <c r="M460" t="s">
        <v>20</v>
      </c>
      <c r="N460">
        <f>L460/500</f>
        <v>0</v>
      </c>
      <c r="P460">
        <f>K460/800</f>
        <v>0.1125</v>
      </c>
    </row>
    <row r="461" spans="1:16" x14ac:dyDescent="0.35">
      <c r="A461">
        <v>493</v>
      </c>
      <c r="B461">
        <v>583005713</v>
      </c>
      <c r="C461">
        <v>36669</v>
      </c>
      <c r="D461" t="s">
        <v>92</v>
      </c>
      <c r="E461" t="s">
        <v>300</v>
      </c>
      <c r="F461" t="s">
        <v>93</v>
      </c>
      <c r="G461" t="s">
        <v>94</v>
      </c>
      <c r="H461" t="s">
        <v>17</v>
      </c>
      <c r="I461" t="s">
        <v>18</v>
      </c>
      <c r="J461" t="s">
        <v>19</v>
      </c>
      <c r="K461">
        <v>90</v>
      </c>
      <c r="L461">
        <v>0</v>
      </c>
      <c r="M461" t="s">
        <v>20</v>
      </c>
      <c r="N461">
        <f>L461/500</f>
        <v>0</v>
      </c>
      <c r="P461">
        <f>K461/800</f>
        <v>0.1125</v>
      </c>
    </row>
    <row r="462" spans="1:16" x14ac:dyDescent="0.35">
      <c r="A462">
        <v>563</v>
      </c>
      <c r="B462">
        <v>583005836</v>
      </c>
      <c r="C462">
        <v>36843</v>
      </c>
      <c r="D462" t="s">
        <v>92</v>
      </c>
      <c r="E462" t="s">
        <v>318</v>
      </c>
      <c r="F462" t="s">
        <v>93</v>
      </c>
      <c r="G462" t="s">
        <v>94</v>
      </c>
      <c r="H462" t="s">
        <v>17</v>
      </c>
      <c r="I462" t="s">
        <v>18</v>
      </c>
      <c r="J462" t="s">
        <v>19</v>
      </c>
      <c r="K462">
        <v>45</v>
      </c>
      <c r="L462">
        <v>0</v>
      </c>
      <c r="M462" t="s">
        <v>20</v>
      </c>
      <c r="N462">
        <f>L462/500</f>
        <v>0</v>
      </c>
      <c r="P462">
        <f>K462/800</f>
        <v>5.6250000000000001E-2</v>
      </c>
    </row>
    <row r="463" spans="1:16" x14ac:dyDescent="0.35">
      <c r="A463">
        <v>596</v>
      </c>
      <c r="B463">
        <v>583005837</v>
      </c>
      <c r="C463">
        <v>36844</v>
      </c>
      <c r="D463" t="s">
        <v>92</v>
      </c>
      <c r="E463" t="s">
        <v>318</v>
      </c>
      <c r="F463" t="s">
        <v>93</v>
      </c>
      <c r="G463" t="s">
        <v>94</v>
      </c>
      <c r="H463" t="s">
        <v>17</v>
      </c>
      <c r="I463" t="s">
        <v>18</v>
      </c>
      <c r="J463" t="s">
        <v>19</v>
      </c>
      <c r="K463">
        <v>72</v>
      </c>
      <c r="L463">
        <v>0</v>
      </c>
      <c r="M463" t="s">
        <v>20</v>
      </c>
      <c r="N463">
        <f>L463/500</f>
        <v>0</v>
      </c>
      <c r="P463">
        <f>K463/800</f>
        <v>0.09</v>
      </c>
    </row>
    <row r="464" spans="1:16" x14ac:dyDescent="0.35">
      <c r="A464">
        <v>598</v>
      </c>
      <c r="B464">
        <v>583005836</v>
      </c>
      <c r="C464">
        <v>36843</v>
      </c>
      <c r="D464" t="s">
        <v>92</v>
      </c>
      <c r="E464" t="s">
        <v>318</v>
      </c>
      <c r="F464" t="s">
        <v>93</v>
      </c>
      <c r="G464" t="s">
        <v>94</v>
      </c>
      <c r="H464" t="s">
        <v>17</v>
      </c>
      <c r="I464" t="s">
        <v>18</v>
      </c>
      <c r="J464" t="s">
        <v>19</v>
      </c>
      <c r="K464">
        <v>108</v>
      </c>
      <c r="L464">
        <v>0</v>
      </c>
      <c r="M464" t="s">
        <v>20</v>
      </c>
      <c r="N464">
        <f>L464/500</f>
        <v>0</v>
      </c>
      <c r="P464">
        <f>K464/800</f>
        <v>0.13500000000000001</v>
      </c>
    </row>
    <row r="465" spans="1:16" x14ac:dyDescent="0.35">
      <c r="A465">
        <v>642</v>
      </c>
      <c r="B465">
        <v>583005915</v>
      </c>
      <c r="C465">
        <v>36967</v>
      </c>
      <c r="D465" t="s">
        <v>92</v>
      </c>
      <c r="E465" t="s">
        <v>324</v>
      </c>
      <c r="F465" t="s">
        <v>93</v>
      </c>
      <c r="G465" t="s">
        <v>94</v>
      </c>
      <c r="H465" t="s">
        <v>17</v>
      </c>
      <c r="I465" t="s">
        <v>18</v>
      </c>
      <c r="J465" t="s">
        <v>19</v>
      </c>
      <c r="K465">
        <v>81</v>
      </c>
      <c r="L465">
        <v>0</v>
      </c>
      <c r="M465" t="s">
        <v>20</v>
      </c>
      <c r="N465">
        <f>L465/500</f>
        <v>0</v>
      </c>
      <c r="P465">
        <f>K465/800</f>
        <v>0.10125000000000001</v>
      </c>
    </row>
    <row r="466" spans="1:16" x14ac:dyDescent="0.35">
      <c r="A466">
        <v>705</v>
      </c>
      <c r="B466">
        <v>583006081</v>
      </c>
      <c r="C466">
        <v>37182</v>
      </c>
      <c r="D466" t="s">
        <v>92</v>
      </c>
      <c r="E466" t="s">
        <v>347</v>
      </c>
      <c r="F466" t="s">
        <v>93</v>
      </c>
      <c r="G466" t="s">
        <v>94</v>
      </c>
      <c r="H466" t="s">
        <v>17</v>
      </c>
      <c r="I466" t="s">
        <v>18</v>
      </c>
      <c r="J466" t="s">
        <v>19</v>
      </c>
      <c r="K466">
        <v>45</v>
      </c>
      <c r="L466">
        <v>0</v>
      </c>
      <c r="M466" t="s">
        <v>20</v>
      </c>
      <c r="N466">
        <f>L466/500</f>
        <v>0</v>
      </c>
      <c r="P466">
        <f>K466/800</f>
        <v>5.6250000000000001E-2</v>
      </c>
    </row>
    <row r="467" spans="1:16" x14ac:dyDescent="0.35">
      <c r="A467">
        <v>706</v>
      </c>
      <c r="B467">
        <v>583006080</v>
      </c>
      <c r="C467">
        <v>37181</v>
      </c>
      <c r="D467" t="s">
        <v>92</v>
      </c>
      <c r="E467" t="s">
        <v>347</v>
      </c>
      <c r="F467" t="s">
        <v>93</v>
      </c>
      <c r="G467" t="s">
        <v>94</v>
      </c>
      <c r="H467" t="s">
        <v>17</v>
      </c>
      <c r="I467" t="s">
        <v>18</v>
      </c>
      <c r="J467" t="s">
        <v>19</v>
      </c>
      <c r="K467">
        <v>216</v>
      </c>
      <c r="L467">
        <v>0</v>
      </c>
      <c r="M467" t="s">
        <v>20</v>
      </c>
      <c r="N467">
        <f>L467/500</f>
        <v>0</v>
      </c>
      <c r="P467">
        <f>K467/800</f>
        <v>0.27</v>
      </c>
    </row>
    <row r="468" spans="1:16" x14ac:dyDescent="0.35">
      <c r="A468">
        <v>707</v>
      </c>
      <c r="B468">
        <v>583006080</v>
      </c>
      <c r="C468">
        <v>37181</v>
      </c>
      <c r="D468" t="s">
        <v>92</v>
      </c>
      <c r="E468" t="s">
        <v>347</v>
      </c>
      <c r="F468" t="s">
        <v>93</v>
      </c>
      <c r="G468" t="s">
        <v>94</v>
      </c>
      <c r="H468" t="s">
        <v>17</v>
      </c>
      <c r="I468" t="s">
        <v>18</v>
      </c>
      <c r="J468" t="s">
        <v>19</v>
      </c>
      <c r="K468">
        <v>72</v>
      </c>
      <c r="L468">
        <v>0</v>
      </c>
      <c r="M468" t="s">
        <v>20</v>
      </c>
      <c r="N468">
        <f>L468/500</f>
        <v>0</v>
      </c>
      <c r="P468">
        <f>K468/800</f>
        <v>0.09</v>
      </c>
    </row>
    <row r="469" spans="1:16" x14ac:dyDescent="0.35">
      <c r="A469">
        <v>963</v>
      </c>
      <c r="B469">
        <v>583006302</v>
      </c>
      <c r="C469">
        <v>37473</v>
      </c>
      <c r="D469" t="s">
        <v>92</v>
      </c>
      <c r="E469" t="s">
        <v>386</v>
      </c>
      <c r="F469" t="s">
        <v>93</v>
      </c>
      <c r="G469" t="s">
        <v>94</v>
      </c>
      <c r="H469" t="s">
        <v>17</v>
      </c>
      <c r="I469" t="s">
        <v>18</v>
      </c>
      <c r="J469" t="s">
        <v>19</v>
      </c>
      <c r="K469">
        <v>144</v>
      </c>
      <c r="L469">
        <v>0</v>
      </c>
      <c r="M469" t="s">
        <v>20</v>
      </c>
      <c r="N469">
        <f>L469/500</f>
        <v>0</v>
      </c>
      <c r="P469">
        <f>K469/800</f>
        <v>0.18</v>
      </c>
    </row>
    <row r="470" spans="1:16" x14ac:dyDescent="0.35">
      <c r="A470">
        <v>992</v>
      </c>
      <c r="B470">
        <v>583006302</v>
      </c>
      <c r="C470">
        <v>37473</v>
      </c>
      <c r="D470" t="s">
        <v>92</v>
      </c>
      <c r="E470" t="s">
        <v>386</v>
      </c>
      <c r="F470" t="s">
        <v>93</v>
      </c>
      <c r="G470" t="s">
        <v>94</v>
      </c>
      <c r="H470" t="s">
        <v>17</v>
      </c>
      <c r="I470" t="s">
        <v>18</v>
      </c>
      <c r="J470" t="s">
        <v>19</v>
      </c>
      <c r="K470">
        <v>45</v>
      </c>
      <c r="L470">
        <v>0</v>
      </c>
      <c r="M470" t="s">
        <v>20</v>
      </c>
      <c r="N470">
        <f>L470/500</f>
        <v>0</v>
      </c>
      <c r="P470">
        <f>K470/800</f>
        <v>5.6250000000000001E-2</v>
      </c>
    </row>
    <row r="471" spans="1:16" x14ac:dyDescent="0.35">
      <c r="A471">
        <v>1289</v>
      </c>
      <c r="B471">
        <v>583006681</v>
      </c>
      <c r="C471">
        <v>37984</v>
      </c>
      <c r="D471" t="s">
        <v>92</v>
      </c>
      <c r="E471" t="s">
        <v>424</v>
      </c>
      <c r="F471" t="s">
        <v>93</v>
      </c>
      <c r="G471" t="s">
        <v>94</v>
      </c>
      <c r="H471" t="s">
        <v>17</v>
      </c>
      <c r="I471" t="s">
        <v>18</v>
      </c>
      <c r="J471" t="s">
        <v>19</v>
      </c>
      <c r="K471">
        <v>144</v>
      </c>
      <c r="L471">
        <v>0</v>
      </c>
      <c r="M471" t="s">
        <v>20</v>
      </c>
      <c r="N471">
        <f>L471/500</f>
        <v>0</v>
      </c>
      <c r="P471">
        <f>K471/800</f>
        <v>0.18</v>
      </c>
    </row>
    <row r="472" spans="1:16" x14ac:dyDescent="0.35">
      <c r="A472">
        <v>1295</v>
      </c>
      <c r="B472">
        <v>583006682</v>
      </c>
      <c r="C472">
        <v>37985</v>
      </c>
      <c r="D472" t="s">
        <v>92</v>
      </c>
      <c r="E472" t="s">
        <v>424</v>
      </c>
      <c r="F472" t="s">
        <v>93</v>
      </c>
      <c r="G472" t="s">
        <v>94</v>
      </c>
      <c r="H472" t="s">
        <v>17</v>
      </c>
      <c r="I472" t="s">
        <v>18</v>
      </c>
      <c r="J472" t="s">
        <v>19</v>
      </c>
      <c r="K472">
        <v>72</v>
      </c>
      <c r="L472">
        <v>0</v>
      </c>
      <c r="M472" t="s">
        <v>20</v>
      </c>
      <c r="N472">
        <f>L472/500</f>
        <v>0</v>
      </c>
      <c r="P472">
        <f>K472/800</f>
        <v>0.09</v>
      </c>
    </row>
    <row r="473" spans="1:16" x14ac:dyDescent="0.35">
      <c r="A473">
        <v>695</v>
      </c>
      <c r="B473">
        <v>583005993</v>
      </c>
      <c r="C473">
        <v>37073</v>
      </c>
      <c r="D473" t="s">
        <v>174</v>
      </c>
      <c r="E473" t="s">
        <v>343</v>
      </c>
      <c r="F473" t="s">
        <v>175</v>
      </c>
      <c r="G473" t="s">
        <v>176</v>
      </c>
      <c r="H473" t="s">
        <v>17</v>
      </c>
      <c r="I473" t="s">
        <v>63</v>
      </c>
      <c r="J473" t="s">
        <v>64</v>
      </c>
      <c r="K473">
        <v>18</v>
      </c>
      <c r="L473">
        <v>31.86</v>
      </c>
      <c r="M473" t="s">
        <v>20</v>
      </c>
      <c r="N473">
        <f>L473/500</f>
        <v>6.3719999999999999E-2</v>
      </c>
    </row>
    <row r="474" spans="1:16" x14ac:dyDescent="0.35">
      <c r="A474">
        <v>899</v>
      </c>
      <c r="B474">
        <v>583006205</v>
      </c>
      <c r="C474">
        <v>37344</v>
      </c>
      <c r="D474" t="s">
        <v>174</v>
      </c>
      <c r="E474" t="s">
        <v>367</v>
      </c>
      <c r="F474" t="s">
        <v>175</v>
      </c>
      <c r="G474" t="s">
        <v>176</v>
      </c>
      <c r="H474" t="s">
        <v>17</v>
      </c>
      <c r="I474" t="s">
        <v>63</v>
      </c>
      <c r="J474" t="s">
        <v>64</v>
      </c>
      <c r="K474">
        <v>22</v>
      </c>
      <c r="L474">
        <v>38.94</v>
      </c>
      <c r="M474" t="s">
        <v>20</v>
      </c>
      <c r="N474">
        <f>L474/500</f>
        <v>7.7879999999999991E-2</v>
      </c>
    </row>
    <row r="475" spans="1:16" x14ac:dyDescent="0.35">
      <c r="A475">
        <v>114</v>
      </c>
      <c r="B475">
        <v>583005165</v>
      </c>
      <c r="C475">
        <v>35903</v>
      </c>
      <c r="D475" t="s">
        <v>174</v>
      </c>
      <c r="E475" t="s">
        <v>126</v>
      </c>
      <c r="F475" t="s">
        <v>175</v>
      </c>
      <c r="G475" t="s">
        <v>176</v>
      </c>
      <c r="H475" t="s">
        <v>17</v>
      </c>
      <c r="I475" t="s">
        <v>18</v>
      </c>
      <c r="J475" t="s">
        <v>19</v>
      </c>
      <c r="K475">
        <v>225</v>
      </c>
      <c r="L475">
        <v>0</v>
      </c>
      <c r="M475" t="s">
        <v>20</v>
      </c>
      <c r="N475">
        <f>L475/500</f>
        <v>0</v>
      </c>
      <c r="P475">
        <f>K475/800</f>
        <v>0.28125</v>
      </c>
    </row>
    <row r="476" spans="1:16" x14ac:dyDescent="0.35">
      <c r="A476">
        <v>238</v>
      </c>
      <c r="B476">
        <v>583005364</v>
      </c>
      <c r="C476">
        <v>36182</v>
      </c>
      <c r="D476" t="s">
        <v>174</v>
      </c>
      <c r="E476" t="s">
        <v>237</v>
      </c>
      <c r="F476" t="s">
        <v>175</v>
      </c>
      <c r="G476" t="s">
        <v>176</v>
      </c>
      <c r="H476" t="s">
        <v>17</v>
      </c>
      <c r="I476" t="s">
        <v>18</v>
      </c>
      <c r="J476" t="s">
        <v>19</v>
      </c>
      <c r="K476">
        <v>1728</v>
      </c>
      <c r="L476">
        <v>0</v>
      </c>
      <c r="M476" t="s">
        <v>20</v>
      </c>
      <c r="N476">
        <f>L476/500</f>
        <v>0</v>
      </c>
      <c r="P476">
        <f>K476/800</f>
        <v>2.16</v>
      </c>
    </row>
    <row r="477" spans="1:16" x14ac:dyDescent="0.35">
      <c r="A477">
        <v>278</v>
      </c>
      <c r="B477">
        <v>583005388</v>
      </c>
      <c r="C477">
        <v>36209</v>
      </c>
      <c r="D477" t="s">
        <v>174</v>
      </c>
      <c r="E477" t="s">
        <v>237</v>
      </c>
      <c r="F477" t="s">
        <v>175</v>
      </c>
      <c r="G477" t="s">
        <v>176</v>
      </c>
      <c r="H477" t="s">
        <v>17</v>
      </c>
      <c r="I477" t="s">
        <v>18</v>
      </c>
      <c r="J477" t="s">
        <v>19</v>
      </c>
      <c r="K477">
        <v>15</v>
      </c>
      <c r="L477">
        <v>0</v>
      </c>
      <c r="M477" t="s">
        <v>20</v>
      </c>
      <c r="N477">
        <f>L477/500</f>
        <v>0</v>
      </c>
      <c r="P477">
        <f>K477/800</f>
        <v>1.8749999999999999E-2</v>
      </c>
    </row>
    <row r="478" spans="1:16" x14ac:dyDescent="0.35">
      <c r="A478">
        <v>381</v>
      </c>
      <c r="B478">
        <v>583005614</v>
      </c>
      <c r="C478">
        <v>36531</v>
      </c>
      <c r="D478" t="s">
        <v>174</v>
      </c>
      <c r="E478" t="s">
        <v>270</v>
      </c>
      <c r="F478" t="s">
        <v>175</v>
      </c>
      <c r="G478" t="s">
        <v>176</v>
      </c>
      <c r="H478" t="s">
        <v>17</v>
      </c>
      <c r="I478" t="s">
        <v>18</v>
      </c>
      <c r="J478" t="s">
        <v>19</v>
      </c>
      <c r="K478">
        <v>135</v>
      </c>
      <c r="L478">
        <v>0</v>
      </c>
      <c r="M478" t="s">
        <v>20</v>
      </c>
      <c r="N478">
        <f>L478/500</f>
        <v>0</v>
      </c>
      <c r="P478">
        <f>K478/800</f>
        <v>0.16875000000000001</v>
      </c>
    </row>
    <row r="479" spans="1:16" x14ac:dyDescent="0.35">
      <c r="A479">
        <v>536</v>
      </c>
      <c r="B479">
        <v>583005775</v>
      </c>
      <c r="C479">
        <v>36759</v>
      </c>
      <c r="D479" t="s">
        <v>174</v>
      </c>
      <c r="E479" t="s">
        <v>310</v>
      </c>
      <c r="F479" t="s">
        <v>175</v>
      </c>
      <c r="G479" t="s">
        <v>176</v>
      </c>
      <c r="H479" t="s">
        <v>17</v>
      </c>
      <c r="I479" t="s">
        <v>18</v>
      </c>
      <c r="J479" t="s">
        <v>19</v>
      </c>
      <c r="K479">
        <v>96</v>
      </c>
      <c r="L479">
        <v>0</v>
      </c>
      <c r="M479" t="s">
        <v>20</v>
      </c>
      <c r="N479">
        <f>L479/500</f>
        <v>0</v>
      </c>
      <c r="P479">
        <f>K479/800</f>
        <v>0.12</v>
      </c>
    </row>
    <row r="480" spans="1:16" x14ac:dyDescent="0.35">
      <c r="A480">
        <v>537</v>
      </c>
      <c r="B480">
        <v>583005774</v>
      </c>
      <c r="C480">
        <v>36758</v>
      </c>
      <c r="D480" t="s">
        <v>174</v>
      </c>
      <c r="E480" t="s">
        <v>310</v>
      </c>
      <c r="F480" t="s">
        <v>175</v>
      </c>
      <c r="G480" t="s">
        <v>176</v>
      </c>
      <c r="H480" t="s">
        <v>17</v>
      </c>
      <c r="I480" t="s">
        <v>18</v>
      </c>
      <c r="J480" t="s">
        <v>19</v>
      </c>
      <c r="K480">
        <v>135</v>
      </c>
      <c r="L480">
        <v>0</v>
      </c>
      <c r="M480" t="s">
        <v>20</v>
      </c>
      <c r="N480">
        <f>L480/500</f>
        <v>0</v>
      </c>
      <c r="P480">
        <f>K480/800</f>
        <v>0.16875000000000001</v>
      </c>
    </row>
    <row r="481" spans="1:16" x14ac:dyDescent="0.35">
      <c r="A481">
        <v>538</v>
      </c>
      <c r="B481">
        <v>583005777</v>
      </c>
      <c r="C481">
        <v>36761</v>
      </c>
      <c r="D481" t="s">
        <v>174</v>
      </c>
      <c r="E481" t="s">
        <v>310</v>
      </c>
      <c r="F481" t="s">
        <v>175</v>
      </c>
      <c r="G481" t="s">
        <v>176</v>
      </c>
      <c r="H481" t="s">
        <v>17</v>
      </c>
      <c r="I481" t="s">
        <v>18</v>
      </c>
      <c r="J481" t="s">
        <v>19</v>
      </c>
      <c r="K481">
        <v>90</v>
      </c>
      <c r="L481">
        <v>0</v>
      </c>
      <c r="M481" t="s">
        <v>20</v>
      </c>
      <c r="N481">
        <f>L481/500</f>
        <v>0</v>
      </c>
      <c r="P481">
        <f>K481/800</f>
        <v>0.1125</v>
      </c>
    </row>
    <row r="482" spans="1:16" x14ac:dyDescent="0.35">
      <c r="A482">
        <v>541</v>
      </c>
      <c r="B482">
        <v>583005779</v>
      </c>
      <c r="C482">
        <v>36763</v>
      </c>
      <c r="D482" t="s">
        <v>174</v>
      </c>
      <c r="E482" t="s">
        <v>310</v>
      </c>
      <c r="F482" t="s">
        <v>175</v>
      </c>
      <c r="G482" t="s">
        <v>176</v>
      </c>
      <c r="H482" t="s">
        <v>17</v>
      </c>
      <c r="I482" t="s">
        <v>18</v>
      </c>
      <c r="J482" t="s">
        <v>19</v>
      </c>
      <c r="K482">
        <v>45</v>
      </c>
      <c r="L482">
        <v>0</v>
      </c>
      <c r="M482" t="s">
        <v>20</v>
      </c>
      <c r="N482">
        <f>L482/500</f>
        <v>0</v>
      </c>
      <c r="P482">
        <f>K482/800</f>
        <v>5.6250000000000001E-2</v>
      </c>
    </row>
    <row r="483" spans="1:16" x14ac:dyDescent="0.35">
      <c r="A483">
        <v>542</v>
      </c>
      <c r="B483">
        <v>583005776</v>
      </c>
      <c r="C483">
        <v>36760</v>
      </c>
      <c r="D483" t="s">
        <v>174</v>
      </c>
      <c r="E483" t="s">
        <v>310</v>
      </c>
      <c r="F483" t="s">
        <v>175</v>
      </c>
      <c r="G483" t="s">
        <v>176</v>
      </c>
      <c r="H483" t="s">
        <v>17</v>
      </c>
      <c r="I483" t="s">
        <v>18</v>
      </c>
      <c r="J483" t="s">
        <v>19</v>
      </c>
      <c r="K483">
        <v>45</v>
      </c>
      <c r="L483">
        <v>0</v>
      </c>
      <c r="M483" t="s">
        <v>20</v>
      </c>
      <c r="N483">
        <f>L483/500</f>
        <v>0</v>
      </c>
      <c r="P483">
        <f>K483/800</f>
        <v>5.6250000000000001E-2</v>
      </c>
    </row>
    <row r="484" spans="1:16" x14ac:dyDescent="0.35">
      <c r="A484">
        <v>544</v>
      </c>
      <c r="B484">
        <v>583005784</v>
      </c>
      <c r="C484">
        <v>36769</v>
      </c>
      <c r="D484" t="s">
        <v>174</v>
      </c>
      <c r="E484" t="s">
        <v>310</v>
      </c>
      <c r="F484" t="s">
        <v>175</v>
      </c>
      <c r="G484" t="s">
        <v>176</v>
      </c>
      <c r="H484" t="s">
        <v>17</v>
      </c>
      <c r="I484" t="s">
        <v>18</v>
      </c>
      <c r="J484" t="s">
        <v>19</v>
      </c>
      <c r="K484">
        <v>9</v>
      </c>
      <c r="L484">
        <v>0</v>
      </c>
      <c r="M484" t="s">
        <v>20</v>
      </c>
      <c r="N484">
        <f>L484/500</f>
        <v>0</v>
      </c>
      <c r="P484">
        <f>K484/800</f>
        <v>1.125E-2</v>
      </c>
    </row>
    <row r="485" spans="1:16" x14ac:dyDescent="0.35">
      <c r="A485">
        <v>545</v>
      </c>
      <c r="B485">
        <v>583005778</v>
      </c>
      <c r="C485">
        <v>36762</v>
      </c>
      <c r="D485" t="s">
        <v>174</v>
      </c>
      <c r="E485" t="s">
        <v>310</v>
      </c>
      <c r="F485" t="s">
        <v>175</v>
      </c>
      <c r="G485" t="s">
        <v>176</v>
      </c>
      <c r="H485" t="s">
        <v>17</v>
      </c>
      <c r="I485" t="s">
        <v>18</v>
      </c>
      <c r="J485" t="s">
        <v>19</v>
      </c>
      <c r="K485">
        <v>9</v>
      </c>
      <c r="L485">
        <v>0</v>
      </c>
      <c r="M485" t="s">
        <v>20</v>
      </c>
      <c r="N485">
        <f>L485/500</f>
        <v>0</v>
      </c>
      <c r="P485">
        <f>K485/800</f>
        <v>1.125E-2</v>
      </c>
    </row>
    <row r="486" spans="1:16" x14ac:dyDescent="0.35">
      <c r="A486">
        <v>1028</v>
      </c>
      <c r="B486">
        <v>583006421</v>
      </c>
      <c r="C486">
        <v>37629</v>
      </c>
      <c r="D486" t="s">
        <v>174</v>
      </c>
      <c r="E486" t="s">
        <v>393</v>
      </c>
      <c r="F486" t="s">
        <v>175</v>
      </c>
      <c r="G486" t="s">
        <v>176</v>
      </c>
      <c r="H486" t="s">
        <v>17</v>
      </c>
      <c r="I486" t="s">
        <v>18</v>
      </c>
      <c r="J486" t="s">
        <v>19</v>
      </c>
      <c r="K486">
        <v>12</v>
      </c>
      <c r="L486">
        <v>0</v>
      </c>
      <c r="M486" t="s">
        <v>20</v>
      </c>
      <c r="N486">
        <f>L486/500</f>
        <v>0</v>
      </c>
      <c r="P486">
        <f>K486/800</f>
        <v>1.4999999999999999E-2</v>
      </c>
    </row>
    <row r="487" spans="1:16" x14ac:dyDescent="0.35">
      <c r="A487">
        <v>1029</v>
      </c>
      <c r="B487">
        <v>583006419</v>
      </c>
      <c r="C487">
        <v>37627</v>
      </c>
      <c r="D487" t="s">
        <v>174</v>
      </c>
      <c r="E487" t="s">
        <v>393</v>
      </c>
      <c r="F487" t="s">
        <v>175</v>
      </c>
      <c r="G487" t="s">
        <v>176</v>
      </c>
      <c r="H487" t="s">
        <v>17</v>
      </c>
      <c r="I487" t="s">
        <v>18</v>
      </c>
      <c r="J487" t="s">
        <v>19</v>
      </c>
      <c r="K487">
        <v>144</v>
      </c>
      <c r="L487">
        <v>0</v>
      </c>
      <c r="M487" t="s">
        <v>20</v>
      </c>
      <c r="N487">
        <f>L487/500</f>
        <v>0</v>
      </c>
      <c r="P487">
        <f>K487/800</f>
        <v>0.18</v>
      </c>
    </row>
    <row r="488" spans="1:16" x14ac:dyDescent="0.35">
      <c r="A488">
        <v>1058</v>
      </c>
      <c r="B488">
        <v>583006424</v>
      </c>
      <c r="C488">
        <v>37632</v>
      </c>
      <c r="D488" t="s">
        <v>174</v>
      </c>
      <c r="E488" t="s">
        <v>393</v>
      </c>
      <c r="F488" t="s">
        <v>175</v>
      </c>
      <c r="G488" t="s">
        <v>176</v>
      </c>
      <c r="H488" t="s">
        <v>17</v>
      </c>
      <c r="I488" t="s">
        <v>18</v>
      </c>
      <c r="J488" t="s">
        <v>19</v>
      </c>
      <c r="K488">
        <v>72</v>
      </c>
      <c r="L488">
        <v>0</v>
      </c>
      <c r="M488" t="s">
        <v>20</v>
      </c>
      <c r="N488">
        <f>L488/500</f>
        <v>0</v>
      </c>
      <c r="P488">
        <f>K488/800</f>
        <v>0.09</v>
      </c>
    </row>
    <row r="489" spans="1:16" x14ac:dyDescent="0.35">
      <c r="A489">
        <v>1062</v>
      </c>
      <c r="B489">
        <v>583006423</v>
      </c>
      <c r="C489">
        <v>37631</v>
      </c>
      <c r="D489" t="s">
        <v>174</v>
      </c>
      <c r="E489" t="s">
        <v>393</v>
      </c>
      <c r="F489" t="s">
        <v>175</v>
      </c>
      <c r="G489" t="s">
        <v>176</v>
      </c>
      <c r="H489" t="s">
        <v>17</v>
      </c>
      <c r="I489" t="s">
        <v>18</v>
      </c>
      <c r="J489" t="s">
        <v>19</v>
      </c>
      <c r="K489">
        <v>72</v>
      </c>
      <c r="L489">
        <v>0</v>
      </c>
      <c r="M489" t="s">
        <v>20</v>
      </c>
      <c r="N489">
        <f>L489/500</f>
        <v>0</v>
      </c>
      <c r="P489">
        <f>K489/800</f>
        <v>0.09</v>
      </c>
    </row>
    <row r="490" spans="1:16" x14ac:dyDescent="0.35">
      <c r="A490">
        <v>696</v>
      </c>
      <c r="B490">
        <v>583006000</v>
      </c>
      <c r="C490">
        <v>37080</v>
      </c>
      <c r="D490" t="s">
        <v>328</v>
      </c>
      <c r="E490" t="s">
        <v>343</v>
      </c>
      <c r="F490" t="s">
        <v>329</v>
      </c>
      <c r="G490" t="s">
        <v>330</v>
      </c>
      <c r="H490" t="s">
        <v>17</v>
      </c>
      <c r="I490" t="s">
        <v>18</v>
      </c>
      <c r="J490" t="s">
        <v>19</v>
      </c>
      <c r="K490">
        <v>12</v>
      </c>
      <c r="L490">
        <v>0</v>
      </c>
      <c r="M490" t="s">
        <v>20</v>
      </c>
      <c r="N490">
        <f>L490/500</f>
        <v>0</v>
      </c>
      <c r="P490">
        <f>K490/800</f>
        <v>1.4999999999999999E-2</v>
      </c>
    </row>
    <row r="491" spans="1:16" x14ac:dyDescent="0.35">
      <c r="A491">
        <v>869</v>
      </c>
      <c r="B491">
        <v>583006233</v>
      </c>
      <c r="C491">
        <v>37378</v>
      </c>
      <c r="D491" t="s">
        <v>328</v>
      </c>
      <c r="E491" t="s">
        <v>367</v>
      </c>
      <c r="F491" t="s">
        <v>329</v>
      </c>
      <c r="G491" t="s">
        <v>330</v>
      </c>
      <c r="H491" t="s">
        <v>17</v>
      </c>
      <c r="I491" t="s">
        <v>18</v>
      </c>
      <c r="J491" t="s">
        <v>19</v>
      </c>
      <c r="K491">
        <v>2943</v>
      </c>
      <c r="L491">
        <v>0</v>
      </c>
      <c r="M491" t="s">
        <v>20</v>
      </c>
      <c r="N491">
        <f>L491/500</f>
        <v>0</v>
      </c>
      <c r="P491">
        <f>K491/800</f>
        <v>3.67875</v>
      </c>
    </row>
    <row r="492" spans="1:16" x14ac:dyDescent="0.35">
      <c r="A492">
        <v>876</v>
      </c>
      <c r="B492">
        <v>583006233</v>
      </c>
      <c r="C492">
        <v>37378</v>
      </c>
      <c r="D492" t="s">
        <v>328</v>
      </c>
      <c r="E492" t="s">
        <v>367</v>
      </c>
      <c r="F492" t="s">
        <v>329</v>
      </c>
      <c r="G492" t="s">
        <v>330</v>
      </c>
      <c r="H492" t="s">
        <v>17</v>
      </c>
      <c r="I492" t="s">
        <v>18</v>
      </c>
      <c r="J492" t="s">
        <v>19</v>
      </c>
      <c r="K492">
        <v>684</v>
      </c>
      <c r="L492">
        <v>0</v>
      </c>
      <c r="M492" t="s">
        <v>20</v>
      </c>
      <c r="N492">
        <f>L492/500</f>
        <v>0</v>
      </c>
      <c r="P492">
        <f>K492/800</f>
        <v>0.85499999999999998</v>
      </c>
    </row>
    <row r="493" spans="1:16" x14ac:dyDescent="0.35">
      <c r="A493">
        <v>877</v>
      </c>
      <c r="B493">
        <v>583006233</v>
      </c>
      <c r="C493">
        <v>37378</v>
      </c>
      <c r="D493" t="s">
        <v>328</v>
      </c>
      <c r="E493" t="s">
        <v>367</v>
      </c>
      <c r="F493" t="s">
        <v>329</v>
      </c>
      <c r="G493" t="s">
        <v>330</v>
      </c>
      <c r="H493" t="s">
        <v>17</v>
      </c>
      <c r="I493" t="s">
        <v>18</v>
      </c>
      <c r="J493" t="s">
        <v>19</v>
      </c>
      <c r="K493">
        <v>252</v>
      </c>
      <c r="L493">
        <v>0</v>
      </c>
      <c r="M493" t="s">
        <v>20</v>
      </c>
      <c r="N493">
        <f>L493/500</f>
        <v>0</v>
      </c>
      <c r="P493">
        <f>K493/800</f>
        <v>0.315</v>
      </c>
    </row>
    <row r="494" spans="1:16" x14ac:dyDescent="0.35">
      <c r="A494">
        <v>1160</v>
      </c>
      <c r="B494">
        <v>583006575</v>
      </c>
      <c r="C494">
        <v>37837</v>
      </c>
      <c r="D494" t="s">
        <v>328</v>
      </c>
      <c r="E494" t="s">
        <v>413</v>
      </c>
      <c r="F494" t="s">
        <v>329</v>
      </c>
      <c r="G494" t="s">
        <v>330</v>
      </c>
      <c r="H494" t="s">
        <v>17</v>
      </c>
      <c r="I494" t="s">
        <v>18</v>
      </c>
      <c r="J494" t="s">
        <v>19</v>
      </c>
      <c r="K494">
        <v>27</v>
      </c>
      <c r="L494">
        <v>0</v>
      </c>
      <c r="M494" t="s">
        <v>20</v>
      </c>
      <c r="N494">
        <f>L494/500</f>
        <v>0</v>
      </c>
      <c r="P494">
        <f>K494/800</f>
        <v>3.3750000000000002E-2</v>
      </c>
    </row>
    <row r="495" spans="1:16" x14ac:dyDescent="0.35">
      <c r="A495">
        <v>1</v>
      </c>
      <c r="B495">
        <v>583005049</v>
      </c>
      <c r="C495">
        <v>35743</v>
      </c>
      <c r="D495" t="s">
        <v>13</v>
      </c>
      <c r="E495" t="s">
        <v>14</v>
      </c>
      <c r="F495" t="s">
        <v>15</v>
      </c>
      <c r="G495" t="s">
        <v>16</v>
      </c>
      <c r="H495" t="s">
        <v>17</v>
      </c>
      <c r="I495" t="s">
        <v>18</v>
      </c>
      <c r="J495" t="s">
        <v>19</v>
      </c>
      <c r="K495">
        <v>90</v>
      </c>
      <c r="L495">
        <v>0</v>
      </c>
      <c r="M495" t="s">
        <v>20</v>
      </c>
      <c r="N495">
        <f>L495/500</f>
        <v>0</v>
      </c>
      <c r="P495">
        <f>K495/800</f>
        <v>0.1125</v>
      </c>
    </row>
    <row r="496" spans="1:16" x14ac:dyDescent="0.35">
      <c r="A496">
        <v>258</v>
      </c>
      <c r="B496">
        <v>583005385</v>
      </c>
      <c r="C496">
        <v>36206</v>
      </c>
      <c r="D496" t="s">
        <v>13</v>
      </c>
      <c r="E496" t="s">
        <v>237</v>
      </c>
      <c r="F496" t="s">
        <v>15</v>
      </c>
      <c r="G496" t="s">
        <v>16</v>
      </c>
      <c r="H496" t="s">
        <v>17</v>
      </c>
      <c r="I496" t="s">
        <v>18</v>
      </c>
      <c r="J496" t="s">
        <v>19</v>
      </c>
      <c r="K496">
        <v>90</v>
      </c>
      <c r="L496">
        <v>0</v>
      </c>
      <c r="M496" t="s">
        <v>20</v>
      </c>
      <c r="N496">
        <f>L496/500</f>
        <v>0</v>
      </c>
      <c r="P496">
        <f>K496/800</f>
        <v>0.1125</v>
      </c>
    </row>
    <row r="497" spans="1:16" x14ac:dyDescent="0.35">
      <c r="A497">
        <v>651</v>
      </c>
      <c r="B497">
        <v>583005924</v>
      </c>
      <c r="C497">
        <v>36976</v>
      </c>
      <c r="D497" t="s">
        <v>13</v>
      </c>
      <c r="E497" t="s">
        <v>324</v>
      </c>
      <c r="F497" t="s">
        <v>15</v>
      </c>
      <c r="G497" t="s">
        <v>16</v>
      </c>
      <c r="H497" t="s">
        <v>17</v>
      </c>
      <c r="I497" t="s">
        <v>18</v>
      </c>
      <c r="J497" t="s">
        <v>19</v>
      </c>
      <c r="K497">
        <v>72</v>
      </c>
      <c r="L497">
        <v>0</v>
      </c>
      <c r="M497" t="s">
        <v>20</v>
      </c>
      <c r="N497">
        <f>L497/500</f>
        <v>0</v>
      </c>
      <c r="P497">
        <f>K497/800</f>
        <v>0.09</v>
      </c>
    </row>
    <row r="498" spans="1:16" x14ac:dyDescent="0.35">
      <c r="A498">
        <v>652</v>
      </c>
      <c r="B498">
        <v>583005923</v>
      </c>
      <c r="C498">
        <v>36975</v>
      </c>
      <c r="D498" t="s">
        <v>13</v>
      </c>
      <c r="E498" t="s">
        <v>324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>
        <v>276</v>
      </c>
      <c r="L498">
        <v>0</v>
      </c>
      <c r="M498" t="s">
        <v>20</v>
      </c>
      <c r="N498">
        <f>L498/500</f>
        <v>0</v>
      </c>
      <c r="P498">
        <f>K498/800</f>
        <v>0.34499999999999997</v>
      </c>
    </row>
    <row r="499" spans="1:16" x14ac:dyDescent="0.35">
      <c r="A499">
        <v>979</v>
      </c>
      <c r="B499">
        <v>583006300</v>
      </c>
      <c r="C499">
        <v>37471</v>
      </c>
      <c r="D499" t="s">
        <v>13</v>
      </c>
      <c r="E499" t="s">
        <v>386</v>
      </c>
      <c r="F499" t="s">
        <v>15</v>
      </c>
      <c r="G499" t="s">
        <v>16</v>
      </c>
      <c r="H499" t="s">
        <v>17</v>
      </c>
      <c r="I499" t="s">
        <v>18</v>
      </c>
      <c r="J499" t="s">
        <v>19</v>
      </c>
      <c r="K499">
        <v>360</v>
      </c>
      <c r="L499">
        <v>0</v>
      </c>
      <c r="M499" t="s">
        <v>20</v>
      </c>
      <c r="N499">
        <f>L499/500</f>
        <v>0</v>
      </c>
      <c r="P499">
        <f>K499/800</f>
        <v>0.45</v>
      </c>
    </row>
    <row r="500" spans="1:16" x14ac:dyDescent="0.35">
      <c r="A500">
        <v>240</v>
      </c>
      <c r="B500">
        <v>583005384</v>
      </c>
      <c r="C500">
        <v>36205</v>
      </c>
      <c r="D500" t="s">
        <v>238</v>
      </c>
      <c r="E500" t="s">
        <v>237</v>
      </c>
      <c r="F500" t="s">
        <v>239</v>
      </c>
      <c r="G500" t="s">
        <v>240</v>
      </c>
      <c r="H500" t="s">
        <v>17</v>
      </c>
      <c r="I500" t="s">
        <v>18</v>
      </c>
      <c r="J500" t="s">
        <v>19</v>
      </c>
      <c r="K500">
        <v>2715</v>
      </c>
      <c r="L500">
        <v>0</v>
      </c>
      <c r="M500" t="s">
        <v>20</v>
      </c>
      <c r="N500">
        <f>L500/500</f>
        <v>0</v>
      </c>
      <c r="P500">
        <f>K500/800</f>
        <v>3.3937499999999998</v>
      </c>
    </row>
    <row r="501" spans="1:16" x14ac:dyDescent="0.35">
      <c r="A501">
        <v>241</v>
      </c>
      <c r="B501">
        <v>583005384</v>
      </c>
      <c r="C501">
        <v>36205</v>
      </c>
      <c r="D501" t="s">
        <v>238</v>
      </c>
      <c r="E501" t="s">
        <v>237</v>
      </c>
      <c r="F501" t="s">
        <v>239</v>
      </c>
      <c r="G501" t="s">
        <v>240</v>
      </c>
      <c r="H501" t="s">
        <v>17</v>
      </c>
      <c r="I501" t="s">
        <v>18</v>
      </c>
      <c r="J501" t="s">
        <v>19</v>
      </c>
      <c r="K501">
        <v>468</v>
      </c>
      <c r="L501">
        <v>0</v>
      </c>
      <c r="M501" t="s">
        <v>20</v>
      </c>
      <c r="N501">
        <f>L501/500</f>
        <v>0</v>
      </c>
      <c r="P501">
        <f>K501/800</f>
        <v>0.58499999999999996</v>
      </c>
    </row>
    <row r="502" spans="1:16" x14ac:dyDescent="0.35">
      <c r="A502">
        <v>242</v>
      </c>
      <c r="B502">
        <v>583005384</v>
      </c>
      <c r="C502">
        <v>36205</v>
      </c>
      <c r="D502" t="s">
        <v>238</v>
      </c>
      <c r="E502" t="s">
        <v>237</v>
      </c>
      <c r="F502" t="s">
        <v>239</v>
      </c>
      <c r="G502" t="s">
        <v>240</v>
      </c>
      <c r="H502" t="s">
        <v>17</v>
      </c>
      <c r="I502" t="s">
        <v>18</v>
      </c>
      <c r="J502" t="s">
        <v>19</v>
      </c>
      <c r="K502">
        <v>360</v>
      </c>
      <c r="L502">
        <v>0</v>
      </c>
      <c r="M502" t="s">
        <v>20</v>
      </c>
      <c r="N502">
        <f>L502/500</f>
        <v>0</v>
      </c>
      <c r="P502">
        <f>K502/800</f>
        <v>0.45</v>
      </c>
    </row>
    <row r="503" spans="1:16" x14ac:dyDescent="0.35">
      <c r="A503">
        <v>1075</v>
      </c>
      <c r="B503">
        <v>583006426</v>
      </c>
      <c r="C503">
        <v>37635</v>
      </c>
      <c r="D503" t="s">
        <v>238</v>
      </c>
      <c r="E503" t="s">
        <v>393</v>
      </c>
      <c r="F503" t="s">
        <v>239</v>
      </c>
      <c r="G503" t="s">
        <v>240</v>
      </c>
      <c r="H503" t="s">
        <v>17</v>
      </c>
      <c r="I503" t="s">
        <v>18</v>
      </c>
      <c r="J503" t="s">
        <v>19</v>
      </c>
      <c r="K503">
        <v>222</v>
      </c>
      <c r="L503">
        <v>0</v>
      </c>
      <c r="M503" t="s">
        <v>20</v>
      </c>
      <c r="N503">
        <f>L503/500</f>
        <v>0</v>
      </c>
      <c r="P503">
        <f>K503/800</f>
        <v>0.27750000000000002</v>
      </c>
    </row>
    <row r="504" spans="1:16" x14ac:dyDescent="0.35">
      <c r="A504">
        <v>1076</v>
      </c>
      <c r="B504">
        <v>583006426</v>
      </c>
      <c r="C504">
        <v>37635</v>
      </c>
      <c r="D504" t="s">
        <v>238</v>
      </c>
      <c r="E504" t="s">
        <v>393</v>
      </c>
      <c r="F504" t="s">
        <v>239</v>
      </c>
      <c r="G504" t="s">
        <v>240</v>
      </c>
      <c r="H504" t="s">
        <v>17</v>
      </c>
      <c r="I504" t="s">
        <v>18</v>
      </c>
      <c r="J504" t="s">
        <v>19</v>
      </c>
      <c r="K504">
        <v>729</v>
      </c>
      <c r="L504">
        <v>0</v>
      </c>
      <c r="M504" t="s">
        <v>20</v>
      </c>
      <c r="N504">
        <f>L504/500</f>
        <v>0</v>
      </c>
      <c r="P504">
        <f>K504/800</f>
        <v>0.91125</v>
      </c>
    </row>
    <row r="505" spans="1:16" x14ac:dyDescent="0.35">
      <c r="A505">
        <v>1078</v>
      </c>
      <c r="B505">
        <v>583006426</v>
      </c>
      <c r="C505">
        <v>37635</v>
      </c>
      <c r="D505" t="s">
        <v>238</v>
      </c>
      <c r="E505" t="s">
        <v>393</v>
      </c>
      <c r="F505" t="s">
        <v>239</v>
      </c>
      <c r="G505" t="s">
        <v>240</v>
      </c>
      <c r="H505" t="s">
        <v>17</v>
      </c>
      <c r="I505" t="s">
        <v>18</v>
      </c>
      <c r="J505" t="s">
        <v>19</v>
      </c>
      <c r="K505">
        <v>270</v>
      </c>
      <c r="L505">
        <v>0</v>
      </c>
      <c r="M505" t="s">
        <v>20</v>
      </c>
      <c r="N505">
        <f>L505/500</f>
        <v>0</v>
      </c>
      <c r="P505">
        <f>K505/800</f>
        <v>0.33750000000000002</v>
      </c>
    </row>
    <row r="506" spans="1:16" x14ac:dyDescent="0.35">
      <c r="A506">
        <v>1079</v>
      </c>
      <c r="B506">
        <v>583006426</v>
      </c>
      <c r="C506">
        <v>37635</v>
      </c>
      <c r="D506" t="s">
        <v>238</v>
      </c>
      <c r="E506" t="s">
        <v>393</v>
      </c>
      <c r="F506" t="s">
        <v>239</v>
      </c>
      <c r="G506" t="s">
        <v>240</v>
      </c>
      <c r="H506" t="s">
        <v>17</v>
      </c>
      <c r="I506" t="s">
        <v>18</v>
      </c>
      <c r="J506" t="s">
        <v>19</v>
      </c>
      <c r="K506">
        <v>585</v>
      </c>
      <c r="L506">
        <v>0</v>
      </c>
      <c r="M506" t="s">
        <v>20</v>
      </c>
      <c r="N506">
        <f>L506/500</f>
        <v>0</v>
      </c>
      <c r="P506">
        <f>K506/800</f>
        <v>0.73124999999999996</v>
      </c>
    </row>
    <row r="507" spans="1:16" x14ac:dyDescent="0.35">
      <c r="A507">
        <v>89</v>
      </c>
      <c r="B507">
        <v>583005125</v>
      </c>
      <c r="C507">
        <v>35854</v>
      </c>
      <c r="D507" t="s">
        <v>139</v>
      </c>
      <c r="E507" t="s">
        <v>126</v>
      </c>
      <c r="F507" t="s">
        <v>140</v>
      </c>
      <c r="G507" t="s">
        <v>141</v>
      </c>
      <c r="H507" t="s">
        <v>17</v>
      </c>
      <c r="I507" t="s">
        <v>18</v>
      </c>
      <c r="J507" t="s">
        <v>19</v>
      </c>
      <c r="K507">
        <v>12</v>
      </c>
      <c r="L507">
        <v>0</v>
      </c>
      <c r="M507" t="s">
        <v>20</v>
      </c>
      <c r="N507">
        <f>L507/500</f>
        <v>0</v>
      </c>
      <c r="P507">
        <f>K507/800</f>
        <v>1.4999999999999999E-2</v>
      </c>
    </row>
    <row r="508" spans="1:16" x14ac:dyDescent="0.35">
      <c r="A508">
        <v>586</v>
      </c>
      <c r="B508">
        <v>583005832</v>
      </c>
      <c r="C508">
        <v>36839</v>
      </c>
      <c r="D508" t="s">
        <v>139</v>
      </c>
      <c r="E508" t="s">
        <v>318</v>
      </c>
      <c r="F508" t="s">
        <v>140</v>
      </c>
      <c r="G508" t="s">
        <v>141</v>
      </c>
      <c r="H508" t="s">
        <v>17</v>
      </c>
      <c r="I508" t="s">
        <v>18</v>
      </c>
      <c r="J508" t="s">
        <v>19</v>
      </c>
      <c r="K508">
        <v>12</v>
      </c>
      <c r="L508">
        <v>0</v>
      </c>
      <c r="M508" t="s">
        <v>20</v>
      </c>
      <c r="N508">
        <f>L508/500</f>
        <v>0</v>
      </c>
      <c r="P508">
        <f>K508/800</f>
        <v>1.4999999999999999E-2</v>
      </c>
    </row>
    <row r="509" spans="1:16" x14ac:dyDescent="0.35">
      <c r="A509">
        <v>16</v>
      </c>
      <c r="B509">
        <v>583005046</v>
      </c>
      <c r="C509">
        <v>35740</v>
      </c>
      <c r="D509" t="s">
        <v>56</v>
      </c>
      <c r="E509" t="s">
        <v>14</v>
      </c>
      <c r="F509" t="s">
        <v>57</v>
      </c>
      <c r="G509" t="s">
        <v>58</v>
      </c>
      <c r="H509" t="s">
        <v>17</v>
      </c>
      <c r="I509" t="s">
        <v>18</v>
      </c>
      <c r="J509" t="s">
        <v>19</v>
      </c>
      <c r="K509">
        <v>42</v>
      </c>
      <c r="L509">
        <v>0</v>
      </c>
      <c r="M509" t="s">
        <v>20</v>
      </c>
      <c r="N509">
        <f>L509/500</f>
        <v>0</v>
      </c>
      <c r="P509">
        <f>K509/800</f>
        <v>5.2499999999999998E-2</v>
      </c>
    </row>
    <row r="510" spans="1:16" x14ac:dyDescent="0.35">
      <c r="A510">
        <v>30</v>
      </c>
      <c r="B510">
        <v>583005047</v>
      </c>
      <c r="C510">
        <v>35741</v>
      </c>
      <c r="D510" t="s">
        <v>56</v>
      </c>
      <c r="E510" t="s">
        <v>14</v>
      </c>
      <c r="F510" t="s">
        <v>57</v>
      </c>
      <c r="G510" t="s">
        <v>58</v>
      </c>
      <c r="H510" t="s">
        <v>17</v>
      </c>
      <c r="I510" t="s">
        <v>18</v>
      </c>
      <c r="J510" t="s">
        <v>19</v>
      </c>
      <c r="K510">
        <v>81</v>
      </c>
      <c r="L510">
        <v>0</v>
      </c>
      <c r="M510" t="s">
        <v>20</v>
      </c>
      <c r="N510">
        <f>L510/500</f>
        <v>0</v>
      </c>
      <c r="P510">
        <f>K510/800</f>
        <v>0.10125000000000001</v>
      </c>
    </row>
    <row r="511" spans="1:16" x14ac:dyDescent="0.35">
      <c r="A511">
        <v>92</v>
      </c>
      <c r="B511">
        <v>583005171</v>
      </c>
      <c r="C511">
        <v>35909</v>
      </c>
      <c r="D511" t="s">
        <v>56</v>
      </c>
      <c r="E511" t="s">
        <v>126</v>
      </c>
      <c r="F511" t="s">
        <v>57</v>
      </c>
      <c r="G511" t="s">
        <v>58</v>
      </c>
      <c r="H511" t="s">
        <v>17</v>
      </c>
      <c r="I511" t="s">
        <v>18</v>
      </c>
      <c r="J511" t="s">
        <v>19</v>
      </c>
      <c r="K511">
        <v>57</v>
      </c>
      <c r="L511">
        <v>0</v>
      </c>
      <c r="M511" t="s">
        <v>20</v>
      </c>
      <c r="N511">
        <f>L511/500</f>
        <v>0</v>
      </c>
      <c r="P511">
        <f>K511/800</f>
        <v>7.1249999999999994E-2</v>
      </c>
    </row>
    <row r="512" spans="1:16" x14ac:dyDescent="0.35">
      <c r="A512">
        <v>123</v>
      </c>
      <c r="B512">
        <v>583005170</v>
      </c>
      <c r="C512">
        <v>35908</v>
      </c>
      <c r="D512" t="s">
        <v>56</v>
      </c>
      <c r="E512" t="s">
        <v>126</v>
      </c>
      <c r="F512" t="s">
        <v>57</v>
      </c>
      <c r="G512" t="s">
        <v>58</v>
      </c>
      <c r="H512" t="s">
        <v>17</v>
      </c>
      <c r="I512" t="s">
        <v>18</v>
      </c>
      <c r="J512" t="s">
        <v>19</v>
      </c>
      <c r="K512">
        <v>36</v>
      </c>
      <c r="L512">
        <v>0</v>
      </c>
      <c r="M512" t="s">
        <v>20</v>
      </c>
      <c r="N512">
        <f>L512/500</f>
        <v>0</v>
      </c>
      <c r="P512">
        <f>K512/800</f>
        <v>4.4999999999999998E-2</v>
      </c>
    </row>
    <row r="513" spans="1:16" x14ac:dyDescent="0.35">
      <c r="A513">
        <v>345</v>
      </c>
      <c r="B513">
        <v>583005464</v>
      </c>
      <c r="C513">
        <v>36322</v>
      </c>
      <c r="D513" t="s">
        <v>56</v>
      </c>
      <c r="E513" t="s">
        <v>266</v>
      </c>
      <c r="F513" t="s">
        <v>57</v>
      </c>
      <c r="G513" t="s">
        <v>58</v>
      </c>
      <c r="H513" t="s">
        <v>17</v>
      </c>
      <c r="I513" t="s">
        <v>18</v>
      </c>
      <c r="J513" t="s">
        <v>19</v>
      </c>
      <c r="K513">
        <v>30</v>
      </c>
      <c r="L513">
        <v>0</v>
      </c>
      <c r="M513" t="s">
        <v>20</v>
      </c>
      <c r="N513">
        <f>L513/500</f>
        <v>0</v>
      </c>
      <c r="P513">
        <f>K513/800</f>
        <v>3.7499999999999999E-2</v>
      </c>
    </row>
    <row r="514" spans="1:16" x14ac:dyDescent="0.35">
      <c r="A514">
        <v>351</v>
      </c>
      <c r="B514">
        <v>583005463</v>
      </c>
      <c r="C514">
        <v>36321</v>
      </c>
      <c r="D514" t="s">
        <v>56</v>
      </c>
      <c r="E514" t="s">
        <v>266</v>
      </c>
      <c r="F514" t="s">
        <v>57</v>
      </c>
      <c r="G514" t="s">
        <v>58</v>
      </c>
      <c r="H514" t="s">
        <v>17</v>
      </c>
      <c r="I514" t="s">
        <v>18</v>
      </c>
      <c r="J514" t="s">
        <v>19</v>
      </c>
      <c r="K514">
        <v>45</v>
      </c>
      <c r="L514">
        <v>0</v>
      </c>
      <c r="M514" t="s">
        <v>20</v>
      </c>
      <c r="N514">
        <f>L514/500</f>
        <v>0</v>
      </c>
      <c r="P514">
        <f>K514/800</f>
        <v>5.6250000000000001E-2</v>
      </c>
    </row>
    <row r="515" spans="1:16" x14ac:dyDescent="0.35">
      <c r="A515">
        <v>352</v>
      </c>
      <c r="B515">
        <v>583005462</v>
      </c>
      <c r="C515">
        <v>36320</v>
      </c>
      <c r="D515" t="s">
        <v>56</v>
      </c>
      <c r="E515" t="s">
        <v>266</v>
      </c>
      <c r="F515" t="s">
        <v>57</v>
      </c>
      <c r="G515" t="s">
        <v>58</v>
      </c>
      <c r="H515" t="s">
        <v>17</v>
      </c>
      <c r="I515" t="s">
        <v>18</v>
      </c>
      <c r="J515" t="s">
        <v>19</v>
      </c>
      <c r="K515">
        <v>90</v>
      </c>
      <c r="L515">
        <v>0</v>
      </c>
      <c r="M515" t="s">
        <v>20</v>
      </c>
      <c r="N515">
        <f>L515/500</f>
        <v>0</v>
      </c>
      <c r="P515">
        <f>K515/800</f>
        <v>0.1125</v>
      </c>
    </row>
    <row r="516" spans="1:16" x14ac:dyDescent="0.35">
      <c r="A516">
        <v>372</v>
      </c>
      <c r="B516">
        <v>583005610</v>
      </c>
      <c r="C516">
        <v>36527</v>
      </c>
      <c r="D516" t="s">
        <v>56</v>
      </c>
      <c r="E516" t="s">
        <v>270</v>
      </c>
      <c r="F516" t="s">
        <v>57</v>
      </c>
      <c r="G516" t="s">
        <v>58</v>
      </c>
      <c r="H516" t="s">
        <v>17</v>
      </c>
      <c r="I516" t="s">
        <v>18</v>
      </c>
      <c r="J516" t="s">
        <v>19</v>
      </c>
      <c r="K516">
        <v>24</v>
      </c>
      <c r="L516">
        <v>0</v>
      </c>
      <c r="M516" t="s">
        <v>20</v>
      </c>
      <c r="N516">
        <f>L516/500</f>
        <v>0</v>
      </c>
      <c r="P516">
        <f>K516/800</f>
        <v>0.03</v>
      </c>
    </row>
    <row r="517" spans="1:16" x14ac:dyDescent="0.35">
      <c r="A517">
        <v>531</v>
      </c>
      <c r="B517">
        <v>583005819</v>
      </c>
      <c r="C517">
        <v>36812</v>
      </c>
      <c r="D517" t="s">
        <v>56</v>
      </c>
      <c r="E517" t="s">
        <v>310</v>
      </c>
      <c r="F517" t="s">
        <v>57</v>
      </c>
      <c r="G517" t="s">
        <v>58</v>
      </c>
      <c r="H517" t="s">
        <v>17</v>
      </c>
      <c r="I517" t="s">
        <v>18</v>
      </c>
      <c r="J517" t="s">
        <v>19</v>
      </c>
      <c r="K517">
        <v>630</v>
      </c>
      <c r="L517">
        <v>0</v>
      </c>
      <c r="M517" t="s">
        <v>20</v>
      </c>
      <c r="N517">
        <f>L517/500</f>
        <v>0</v>
      </c>
      <c r="P517">
        <f>K517/800</f>
        <v>0.78749999999999998</v>
      </c>
    </row>
    <row r="518" spans="1:16" x14ac:dyDescent="0.35">
      <c r="A518">
        <v>532</v>
      </c>
      <c r="B518">
        <v>583005819</v>
      </c>
      <c r="C518">
        <v>36812</v>
      </c>
      <c r="D518" t="s">
        <v>56</v>
      </c>
      <c r="E518" t="s">
        <v>310</v>
      </c>
      <c r="F518" t="s">
        <v>57</v>
      </c>
      <c r="G518" t="s">
        <v>58</v>
      </c>
      <c r="H518" t="s">
        <v>17</v>
      </c>
      <c r="I518" t="s">
        <v>18</v>
      </c>
      <c r="J518" t="s">
        <v>19</v>
      </c>
      <c r="K518">
        <v>264</v>
      </c>
      <c r="L518">
        <v>0</v>
      </c>
      <c r="M518" t="s">
        <v>20</v>
      </c>
      <c r="N518">
        <f>L518/500</f>
        <v>0</v>
      </c>
      <c r="P518">
        <f>K518/800</f>
        <v>0.33</v>
      </c>
    </row>
    <row r="519" spans="1:16" x14ac:dyDescent="0.35">
      <c r="A519">
        <v>533</v>
      </c>
      <c r="B519">
        <v>583005819</v>
      </c>
      <c r="C519">
        <v>36812</v>
      </c>
      <c r="D519" t="s">
        <v>56</v>
      </c>
      <c r="E519" t="s">
        <v>310</v>
      </c>
      <c r="F519" t="s">
        <v>57</v>
      </c>
      <c r="G519" t="s">
        <v>58</v>
      </c>
      <c r="H519" t="s">
        <v>17</v>
      </c>
      <c r="I519" t="s">
        <v>18</v>
      </c>
      <c r="J519" t="s">
        <v>19</v>
      </c>
      <c r="K519">
        <v>120</v>
      </c>
      <c r="L519">
        <v>0</v>
      </c>
      <c r="M519" t="s">
        <v>20</v>
      </c>
      <c r="N519">
        <f>L519/500</f>
        <v>0</v>
      </c>
      <c r="P519">
        <f>K519/800</f>
        <v>0.15</v>
      </c>
    </row>
    <row r="520" spans="1:16" x14ac:dyDescent="0.35">
      <c r="A520">
        <v>570</v>
      </c>
      <c r="B520">
        <v>583005871</v>
      </c>
      <c r="C520">
        <v>36897</v>
      </c>
      <c r="D520" t="s">
        <v>56</v>
      </c>
      <c r="E520" t="s">
        <v>318</v>
      </c>
      <c r="F520" t="s">
        <v>57</v>
      </c>
      <c r="G520" t="s">
        <v>58</v>
      </c>
      <c r="H520" t="s">
        <v>17</v>
      </c>
      <c r="I520" t="s">
        <v>18</v>
      </c>
      <c r="J520" t="s">
        <v>19</v>
      </c>
      <c r="K520">
        <v>270</v>
      </c>
      <c r="L520">
        <v>0</v>
      </c>
      <c r="M520" t="s">
        <v>20</v>
      </c>
      <c r="N520">
        <f>L520/500</f>
        <v>0</v>
      </c>
      <c r="P520">
        <f>K520/800</f>
        <v>0.33750000000000002</v>
      </c>
    </row>
    <row r="521" spans="1:16" x14ac:dyDescent="0.35">
      <c r="A521">
        <v>1171</v>
      </c>
      <c r="B521">
        <v>583006585</v>
      </c>
      <c r="C521">
        <v>37847</v>
      </c>
      <c r="D521" t="s">
        <v>56</v>
      </c>
      <c r="E521" t="s">
        <v>413</v>
      </c>
      <c r="F521" t="s">
        <v>57</v>
      </c>
      <c r="G521" t="s">
        <v>58</v>
      </c>
      <c r="H521" t="s">
        <v>17</v>
      </c>
      <c r="I521" t="s">
        <v>18</v>
      </c>
      <c r="J521" t="s">
        <v>19</v>
      </c>
      <c r="K521">
        <v>12</v>
      </c>
      <c r="L521">
        <v>0</v>
      </c>
      <c r="M521" t="s">
        <v>20</v>
      </c>
      <c r="N521">
        <f>L521/500</f>
        <v>0</v>
      </c>
      <c r="P521">
        <f>K521/800</f>
        <v>1.4999999999999999E-2</v>
      </c>
    </row>
    <row r="522" spans="1:16" x14ac:dyDescent="0.35">
      <c r="A522">
        <v>1173</v>
      </c>
      <c r="B522">
        <v>583006586</v>
      </c>
      <c r="C522">
        <v>37848</v>
      </c>
      <c r="D522" t="s">
        <v>56</v>
      </c>
      <c r="E522" t="s">
        <v>413</v>
      </c>
      <c r="F522" t="s">
        <v>57</v>
      </c>
      <c r="G522" t="s">
        <v>58</v>
      </c>
      <c r="H522" t="s">
        <v>17</v>
      </c>
      <c r="I522" t="s">
        <v>18</v>
      </c>
      <c r="J522" t="s">
        <v>19</v>
      </c>
      <c r="K522">
        <v>126</v>
      </c>
      <c r="L522">
        <v>0</v>
      </c>
      <c r="M522" t="s">
        <v>20</v>
      </c>
      <c r="N522">
        <f>L522/500</f>
        <v>0</v>
      </c>
      <c r="P522">
        <f>K522/800</f>
        <v>0.1575</v>
      </c>
    </row>
    <row r="523" spans="1:16" x14ac:dyDescent="0.35">
      <c r="A523">
        <v>1349</v>
      </c>
      <c r="B523">
        <v>583006779</v>
      </c>
      <c r="C523">
        <v>38116</v>
      </c>
      <c r="D523" t="s">
        <v>56</v>
      </c>
      <c r="E523" t="s">
        <v>434</v>
      </c>
      <c r="F523" t="s">
        <v>57</v>
      </c>
      <c r="G523" t="s">
        <v>58</v>
      </c>
      <c r="H523" t="s">
        <v>17</v>
      </c>
      <c r="I523" t="s">
        <v>18</v>
      </c>
      <c r="J523" t="s">
        <v>19</v>
      </c>
      <c r="K523">
        <v>234</v>
      </c>
      <c r="L523">
        <v>0</v>
      </c>
      <c r="M523" t="s">
        <v>20</v>
      </c>
      <c r="N523">
        <f>L523/500</f>
        <v>0</v>
      </c>
      <c r="P523">
        <f>K523/800</f>
        <v>0.29249999999999998</v>
      </c>
    </row>
    <row r="524" spans="1:16" x14ac:dyDescent="0.35">
      <c r="A524">
        <v>1350</v>
      </c>
      <c r="B524">
        <v>583006779</v>
      </c>
      <c r="C524">
        <v>38116</v>
      </c>
      <c r="D524" t="s">
        <v>56</v>
      </c>
      <c r="E524" t="s">
        <v>434</v>
      </c>
      <c r="F524" t="s">
        <v>57</v>
      </c>
      <c r="G524" t="s">
        <v>58</v>
      </c>
      <c r="H524" t="s">
        <v>17</v>
      </c>
      <c r="I524" t="s">
        <v>18</v>
      </c>
      <c r="J524" t="s">
        <v>19</v>
      </c>
      <c r="K524">
        <v>21</v>
      </c>
      <c r="L524">
        <v>0</v>
      </c>
      <c r="M524" t="s">
        <v>20</v>
      </c>
      <c r="N524">
        <f>L524/500</f>
        <v>0</v>
      </c>
      <c r="P524">
        <f>K524/800</f>
        <v>2.6249999999999999E-2</v>
      </c>
    </row>
    <row r="525" spans="1:16" x14ac:dyDescent="0.35">
      <c r="A525">
        <v>1353</v>
      </c>
      <c r="B525">
        <v>583006779</v>
      </c>
      <c r="C525">
        <v>38116</v>
      </c>
      <c r="D525" t="s">
        <v>56</v>
      </c>
      <c r="E525" t="s">
        <v>434</v>
      </c>
      <c r="F525" t="s">
        <v>57</v>
      </c>
      <c r="G525" t="s">
        <v>58</v>
      </c>
      <c r="H525" t="s">
        <v>17</v>
      </c>
      <c r="I525" t="s">
        <v>18</v>
      </c>
      <c r="J525" t="s">
        <v>19</v>
      </c>
      <c r="K525">
        <v>591</v>
      </c>
      <c r="L525">
        <v>0</v>
      </c>
      <c r="M525" t="s">
        <v>20</v>
      </c>
      <c r="N525">
        <f>L525/500</f>
        <v>0</v>
      </c>
      <c r="P525">
        <f>K525/800</f>
        <v>0.73875000000000002</v>
      </c>
    </row>
    <row r="526" spans="1:16" x14ac:dyDescent="0.35">
      <c r="A526">
        <v>1354</v>
      </c>
      <c r="B526">
        <v>583006779</v>
      </c>
      <c r="C526">
        <v>38116</v>
      </c>
      <c r="D526" t="s">
        <v>56</v>
      </c>
      <c r="E526" t="s">
        <v>434</v>
      </c>
      <c r="F526" t="s">
        <v>57</v>
      </c>
      <c r="G526" t="s">
        <v>58</v>
      </c>
      <c r="H526" t="s">
        <v>17</v>
      </c>
      <c r="I526" t="s">
        <v>18</v>
      </c>
      <c r="J526" t="s">
        <v>19</v>
      </c>
      <c r="K526">
        <v>72</v>
      </c>
      <c r="L526">
        <v>0</v>
      </c>
      <c r="M526" t="s">
        <v>20</v>
      </c>
      <c r="N526">
        <f>L526/500</f>
        <v>0</v>
      </c>
      <c r="P526">
        <f>K526/800</f>
        <v>0.09</v>
      </c>
    </row>
    <row r="527" spans="1:16" x14ac:dyDescent="0.35">
      <c r="A527">
        <v>617</v>
      </c>
      <c r="B527">
        <v>583005937</v>
      </c>
      <c r="C527">
        <v>36992</v>
      </c>
      <c r="D527" t="s">
        <v>337</v>
      </c>
      <c r="E527" t="s">
        <v>324</v>
      </c>
      <c r="F527" t="s">
        <v>338</v>
      </c>
      <c r="G527" t="s">
        <v>339</v>
      </c>
      <c r="H527" t="s">
        <v>17</v>
      </c>
      <c r="I527" t="s">
        <v>18</v>
      </c>
      <c r="J527" t="s">
        <v>19</v>
      </c>
      <c r="K527">
        <v>288</v>
      </c>
      <c r="L527">
        <v>0</v>
      </c>
      <c r="M527" t="s">
        <v>20</v>
      </c>
      <c r="N527">
        <f>L527/500</f>
        <v>0</v>
      </c>
      <c r="P527">
        <f>K527/800</f>
        <v>0.36</v>
      </c>
    </row>
    <row r="528" spans="1:16" x14ac:dyDescent="0.35">
      <c r="A528">
        <v>245</v>
      </c>
      <c r="B528">
        <v>583005360</v>
      </c>
      <c r="C528">
        <v>36176</v>
      </c>
      <c r="D528" t="s">
        <v>241</v>
      </c>
      <c r="E528" t="s">
        <v>237</v>
      </c>
      <c r="F528" t="s">
        <v>242</v>
      </c>
      <c r="G528" t="s">
        <v>243</v>
      </c>
      <c r="H528" t="s">
        <v>17</v>
      </c>
      <c r="I528" t="s">
        <v>18</v>
      </c>
      <c r="J528" t="s">
        <v>19</v>
      </c>
      <c r="K528">
        <v>2859</v>
      </c>
      <c r="L528">
        <v>0</v>
      </c>
      <c r="M528" t="s">
        <v>20</v>
      </c>
      <c r="N528">
        <f>L528/500</f>
        <v>0</v>
      </c>
      <c r="P528">
        <f>K528/800</f>
        <v>3.57375</v>
      </c>
    </row>
    <row r="529" spans="1:16" x14ac:dyDescent="0.35">
      <c r="A529">
        <v>246</v>
      </c>
      <c r="B529">
        <v>583005360</v>
      </c>
      <c r="C529">
        <v>36176</v>
      </c>
      <c r="D529" t="s">
        <v>241</v>
      </c>
      <c r="E529" t="s">
        <v>237</v>
      </c>
      <c r="F529" t="s">
        <v>242</v>
      </c>
      <c r="G529" t="s">
        <v>243</v>
      </c>
      <c r="H529" t="s">
        <v>17</v>
      </c>
      <c r="I529" t="s">
        <v>18</v>
      </c>
      <c r="J529" t="s">
        <v>19</v>
      </c>
      <c r="K529">
        <v>180</v>
      </c>
      <c r="L529">
        <v>0</v>
      </c>
      <c r="M529" t="s">
        <v>20</v>
      </c>
      <c r="N529">
        <f>L529/500</f>
        <v>0</v>
      </c>
      <c r="P529">
        <f>K529/800</f>
        <v>0.22500000000000001</v>
      </c>
    </row>
    <row r="530" spans="1:16" x14ac:dyDescent="0.35">
      <c r="A530">
        <v>247</v>
      </c>
      <c r="B530">
        <v>583005360</v>
      </c>
      <c r="C530">
        <v>36176</v>
      </c>
      <c r="D530" t="s">
        <v>241</v>
      </c>
      <c r="E530" t="s">
        <v>237</v>
      </c>
      <c r="F530" t="s">
        <v>242</v>
      </c>
      <c r="G530" t="s">
        <v>243</v>
      </c>
      <c r="H530" t="s">
        <v>17</v>
      </c>
      <c r="I530" t="s">
        <v>18</v>
      </c>
      <c r="J530" t="s">
        <v>19</v>
      </c>
      <c r="K530">
        <v>495</v>
      </c>
      <c r="L530">
        <v>0</v>
      </c>
      <c r="M530" t="s">
        <v>20</v>
      </c>
      <c r="N530">
        <f>L530/500</f>
        <v>0</v>
      </c>
      <c r="P530">
        <f>K530/800</f>
        <v>0.61875000000000002</v>
      </c>
    </row>
    <row r="531" spans="1:16" x14ac:dyDescent="0.35">
      <c r="A531">
        <v>248</v>
      </c>
      <c r="B531">
        <v>583005360</v>
      </c>
      <c r="C531">
        <v>36176</v>
      </c>
      <c r="D531" t="s">
        <v>241</v>
      </c>
      <c r="E531" t="s">
        <v>237</v>
      </c>
      <c r="F531" t="s">
        <v>242</v>
      </c>
      <c r="G531" t="s">
        <v>243</v>
      </c>
      <c r="H531" t="s">
        <v>17</v>
      </c>
      <c r="I531" t="s">
        <v>18</v>
      </c>
      <c r="J531" t="s">
        <v>19</v>
      </c>
      <c r="K531">
        <v>468</v>
      </c>
      <c r="L531">
        <v>0</v>
      </c>
      <c r="M531" t="s">
        <v>20</v>
      </c>
      <c r="N531">
        <f>L531/500</f>
        <v>0</v>
      </c>
      <c r="P531">
        <f>K531/800</f>
        <v>0.58499999999999996</v>
      </c>
    </row>
    <row r="532" spans="1:16" x14ac:dyDescent="0.35">
      <c r="A532">
        <v>843</v>
      </c>
      <c r="B532">
        <v>583006112</v>
      </c>
      <c r="C532">
        <v>37229</v>
      </c>
      <c r="D532" t="s">
        <v>364</v>
      </c>
      <c r="E532" t="s">
        <v>360</v>
      </c>
      <c r="F532" t="s">
        <v>365</v>
      </c>
      <c r="G532" t="s">
        <v>366</v>
      </c>
      <c r="H532" t="s">
        <v>17</v>
      </c>
      <c r="I532" t="s">
        <v>18</v>
      </c>
      <c r="J532" t="s">
        <v>19</v>
      </c>
      <c r="K532">
        <v>36</v>
      </c>
      <c r="L532">
        <v>0</v>
      </c>
      <c r="M532" t="s">
        <v>20</v>
      </c>
      <c r="N532">
        <f>L532/500</f>
        <v>0</v>
      </c>
      <c r="P532">
        <f>K532/800</f>
        <v>4.4999999999999998E-2</v>
      </c>
    </row>
    <row r="533" spans="1:16" x14ac:dyDescent="0.35">
      <c r="A533">
        <v>281</v>
      </c>
      <c r="B533">
        <v>583005432</v>
      </c>
      <c r="C533">
        <v>36277</v>
      </c>
      <c r="D533" t="s">
        <v>257</v>
      </c>
      <c r="E533" t="s">
        <v>254</v>
      </c>
      <c r="F533" t="s">
        <v>258</v>
      </c>
      <c r="G533" t="s">
        <v>259</v>
      </c>
      <c r="H533" t="s">
        <v>17</v>
      </c>
      <c r="I533" t="s">
        <v>18</v>
      </c>
      <c r="J533" t="s">
        <v>19</v>
      </c>
      <c r="K533">
        <v>273</v>
      </c>
      <c r="L533">
        <v>0</v>
      </c>
      <c r="M533" t="s">
        <v>20</v>
      </c>
      <c r="N533">
        <f>L533/500</f>
        <v>0</v>
      </c>
      <c r="P533">
        <f>K533/800</f>
        <v>0.34125</v>
      </c>
    </row>
    <row r="534" spans="1:16" x14ac:dyDescent="0.35">
      <c r="A534">
        <v>285</v>
      </c>
      <c r="B534">
        <v>583005433</v>
      </c>
      <c r="C534">
        <v>36279</v>
      </c>
      <c r="D534" t="s">
        <v>257</v>
      </c>
      <c r="E534" t="s">
        <v>254</v>
      </c>
      <c r="F534" t="s">
        <v>258</v>
      </c>
      <c r="G534" t="s">
        <v>259</v>
      </c>
      <c r="H534" t="s">
        <v>17</v>
      </c>
      <c r="I534" t="s">
        <v>18</v>
      </c>
      <c r="J534" t="s">
        <v>19</v>
      </c>
      <c r="K534">
        <v>414</v>
      </c>
      <c r="L534">
        <v>0</v>
      </c>
      <c r="M534" t="s">
        <v>20</v>
      </c>
      <c r="N534">
        <f>L534/500</f>
        <v>0</v>
      </c>
      <c r="P534">
        <f>K534/800</f>
        <v>0.51749999999999996</v>
      </c>
    </row>
    <row r="535" spans="1:16" x14ac:dyDescent="0.35">
      <c r="A535">
        <v>298</v>
      </c>
      <c r="B535">
        <v>583005432</v>
      </c>
      <c r="C535">
        <v>36277</v>
      </c>
      <c r="D535" t="s">
        <v>257</v>
      </c>
      <c r="E535" t="s">
        <v>254</v>
      </c>
      <c r="F535" t="s">
        <v>258</v>
      </c>
      <c r="G535" t="s">
        <v>259</v>
      </c>
      <c r="H535" t="s">
        <v>17</v>
      </c>
      <c r="I535" t="s">
        <v>18</v>
      </c>
      <c r="J535" t="s">
        <v>19</v>
      </c>
      <c r="K535">
        <v>360</v>
      </c>
      <c r="L535">
        <v>0</v>
      </c>
      <c r="M535" t="s">
        <v>20</v>
      </c>
      <c r="N535">
        <f>L535/500</f>
        <v>0</v>
      </c>
      <c r="P535">
        <f>K535/800</f>
        <v>0.45</v>
      </c>
    </row>
    <row r="536" spans="1:16" x14ac:dyDescent="0.35">
      <c r="A536">
        <v>309</v>
      </c>
      <c r="B536">
        <v>583005432</v>
      </c>
      <c r="C536">
        <v>36277</v>
      </c>
      <c r="D536" t="s">
        <v>257</v>
      </c>
      <c r="E536" t="s">
        <v>254</v>
      </c>
      <c r="F536" t="s">
        <v>258</v>
      </c>
      <c r="G536" t="s">
        <v>259</v>
      </c>
      <c r="H536" t="s">
        <v>17</v>
      </c>
      <c r="I536" t="s">
        <v>18</v>
      </c>
      <c r="J536" t="s">
        <v>19</v>
      </c>
      <c r="K536">
        <v>2430</v>
      </c>
      <c r="L536">
        <v>0</v>
      </c>
      <c r="M536" t="s">
        <v>20</v>
      </c>
      <c r="N536">
        <f>L536/500</f>
        <v>0</v>
      </c>
      <c r="P536">
        <f>K536/800</f>
        <v>3.0375000000000001</v>
      </c>
    </row>
    <row r="537" spans="1:16" x14ac:dyDescent="0.35">
      <c r="A537">
        <v>611</v>
      </c>
      <c r="B537">
        <v>583005936</v>
      </c>
      <c r="C537">
        <v>36991</v>
      </c>
      <c r="D537" t="s">
        <v>331</v>
      </c>
      <c r="E537" t="s">
        <v>324</v>
      </c>
      <c r="F537" t="s">
        <v>332</v>
      </c>
      <c r="G537" t="s">
        <v>333</v>
      </c>
      <c r="H537" t="s">
        <v>17</v>
      </c>
      <c r="I537" t="s">
        <v>18</v>
      </c>
      <c r="J537" t="s">
        <v>19</v>
      </c>
      <c r="K537">
        <v>45</v>
      </c>
      <c r="L537">
        <v>0</v>
      </c>
      <c r="M537" t="s">
        <v>20</v>
      </c>
      <c r="N537">
        <f>L537/500</f>
        <v>0</v>
      </c>
      <c r="P537">
        <f>K537/800</f>
        <v>5.6250000000000001E-2</v>
      </c>
    </row>
    <row r="538" spans="1:16" x14ac:dyDescent="0.35">
      <c r="A538">
        <v>1017</v>
      </c>
      <c r="B538">
        <v>583006406</v>
      </c>
      <c r="C538">
        <v>37613</v>
      </c>
      <c r="D538" t="s">
        <v>331</v>
      </c>
      <c r="E538" t="s">
        <v>393</v>
      </c>
      <c r="F538" t="s">
        <v>332</v>
      </c>
      <c r="G538" t="s">
        <v>333</v>
      </c>
      <c r="H538" t="s">
        <v>17</v>
      </c>
      <c r="I538" t="s">
        <v>18</v>
      </c>
      <c r="J538" t="s">
        <v>19</v>
      </c>
      <c r="K538">
        <v>45</v>
      </c>
      <c r="L538">
        <v>0</v>
      </c>
      <c r="M538" t="s">
        <v>20</v>
      </c>
      <c r="N538">
        <f>L538/500</f>
        <v>0</v>
      </c>
      <c r="P538">
        <f>K538/800</f>
        <v>5.6250000000000001E-2</v>
      </c>
    </row>
    <row r="539" spans="1:16" x14ac:dyDescent="0.35">
      <c r="A539">
        <v>31</v>
      </c>
      <c r="B539">
        <v>583005039</v>
      </c>
      <c r="C539">
        <v>35733</v>
      </c>
      <c r="D539" t="s">
        <v>71</v>
      </c>
      <c r="E539" t="s">
        <v>14</v>
      </c>
      <c r="F539" t="s">
        <v>72</v>
      </c>
      <c r="G539" t="s">
        <v>73</v>
      </c>
      <c r="H539" t="s">
        <v>17</v>
      </c>
      <c r="I539" t="s">
        <v>18</v>
      </c>
      <c r="J539" t="s">
        <v>19</v>
      </c>
      <c r="K539">
        <v>36</v>
      </c>
      <c r="L539">
        <v>0</v>
      </c>
      <c r="M539" t="s">
        <v>20</v>
      </c>
      <c r="N539">
        <f>L539/500</f>
        <v>0</v>
      </c>
      <c r="P539">
        <f>K539/800</f>
        <v>4.4999999999999998E-2</v>
      </c>
    </row>
    <row r="540" spans="1:16" x14ac:dyDescent="0.35">
      <c r="A540">
        <v>639</v>
      </c>
      <c r="B540">
        <v>583005902</v>
      </c>
      <c r="C540">
        <v>36952</v>
      </c>
      <c r="D540" t="s">
        <v>71</v>
      </c>
      <c r="E540" t="s">
        <v>324</v>
      </c>
      <c r="F540" t="s">
        <v>72</v>
      </c>
      <c r="G540" t="s">
        <v>73</v>
      </c>
      <c r="H540" t="s">
        <v>17</v>
      </c>
      <c r="I540" t="s">
        <v>18</v>
      </c>
      <c r="J540" t="s">
        <v>19</v>
      </c>
      <c r="K540">
        <v>36</v>
      </c>
      <c r="L540">
        <v>0</v>
      </c>
      <c r="M540" t="s">
        <v>20</v>
      </c>
      <c r="N540">
        <f>L540/500</f>
        <v>0</v>
      </c>
      <c r="P540">
        <f>K540/800</f>
        <v>4.4999999999999998E-2</v>
      </c>
    </row>
    <row r="541" spans="1:16" x14ac:dyDescent="0.35">
      <c r="A541">
        <v>1162</v>
      </c>
      <c r="B541">
        <v>583006574</v>
      </c>
      <c r="C541">
        <v>37836</v>
      </c>
      <c r="D541" t="s">
        <v>71</v>
      </c>
      <c r="E541" t="s">
        <v>413</v>
      </c>
      <c r="F541" t="s">
        <v>72</v>
      </c>
      <c r="G541" t="s">
        <v>73</v>
      </c>
      <c r="H541" t="s">
        <v>17</v>
      </c>
      <c r="I541" t="s">
        <v>18</v>
      </c>
      <c r="J541" t="s">
        <v>19</v>
      </c>
      <c r="K541">
        <v>36</v>
      </c>
      <c r="L541">
        <v>0</v>
      </c>
      <c r="M541" t="s">
        <v>20</v>
      </c>
      <c r="N541">
        <f>L541/500</f>
        <v>0</v>
      </c>
      <c r="P541">
        <f>K541/800</f>
        <v>4.4999999999999998E-2</v>
      </c>
    </row>
    <row r="542" spans="1:16" x14ac:dyDescent="0.35">
      <c r="A542">
        <v>1167</v>
      </c>
      <c r="B542">
        <v>583006573</v>
      </c>
      <c r="C542">
        <v>37835</v>
      </c>
      <c r="D542" t="s">
        <v>71</v>
      </c>
      <c r="E542" t="s">
        <v>413</v>
      </c>
      <c r="F542" t="s">
        <v>72</v>
      </c>
      <c r="G542" t="s">
        <v>73</v>
      </c>
      <c r="H542" t="s">
        <v>17</v>
      </c>
      <c r="I542" t="s">
        <v>18</v>
      </c>
      <c r="J542" t="s">
        <v>19</v>
      </c>
      <c r="K542">
        <v>198</v>
      </c>
      <c r="L542">
        <v>0</v>
      </c>
      <c r="M542" t="s">
        <v>20</v>
      </c>
      <c r="N542">
        <f>L542/500</f>
        <v>0</v>
      </c>
      <c r="P542">
        <f>K542/800</f>
        <v>0.2475</v>
      </c>
    </row>
    <row r="543" spans="1:16" x14ac:dyDescent="0.35">
      <c r="A543">
        <v>1272</v>
      </c>
      <c r="B543">
        <v>583006684</v>
      </c>
      <c r="C543">
        <v>37987</v>
      </c>
      <c r="D543" t="s">
        <v>71</v>
      </c>
      <c r="E543" t="s">
        <v>424</v>
      </c>
      <c r="F543" t="s">
        <v>72</v>
      </c>
      <c r="G543" t="s">
        <v>73</v>
      </c>
      <c r="H543" t="s">
        <v>17</v>
      </c>
      <c r="I543" t="s">
        <v>18</v>
      </c>
      <c r="J543" t="s">
        <v>19</v>
      </c>
      <c r="K543">
        <v>12</v>
      </c>
      <c r="L543">
        <v>0</v>
      </c>
      <c r="M543" t="s">
        <v>20</v>
      </c>
      <c r="N543">
        <f>L543/500</f>
        <v>0</v>
      </c>
      <c r="P543">
        <f>K543/800</f>
        <v>1.4999999999999999E-2</v>
      </c>
    </row>
    <row r="544" spans="1:16" x14ac:dyDescent="0.35">
      <c r="A544">
        <v>1448</v>
      </c>
      <c r="B544">
        <v>583006931</v>
      </c>
      <c r="C544">
        <v>38324</v>
      </c>
      <c r="D544" t="s">
        <v>71</v>
      </c>
      <c r="E544" t="s">
        <v>451</v>
      </c>
      <c r="F544" t="s">
        <v>72</v>
      </c>
      <c r="G544" t="s">
        <v>73</v>
      </c>
      <c r="H544" t="s">
        <v>17</v>
      </c>
      <c r="I544" t="s">
        <v>18</v>
      </c>
      <c r="J544" t="s">
        <v>19</v>
      </c>
      <c r="K544">
        <v>126</v>
      </c>
      <c r="L544">
        <v>0</v>
      </c>
      <c r="M544" t="s">
        <v>20</v>
      </c>
      <c r="N544">
        <f>L544/500</f>
        <v>0</v>
      </c>
      <c r="P544">
        <f>K544/800</f>
        <v>0.1575</v>
      </c>
    </row>
    <row r="545" spans="1:16" x14ac:dyDescent="0.35">
      <c r="A545">
        <v>105</v>
      </c>
      <c r="B545">
        <v>583005163</v>
      </c>
      <c r="C545">
        <v>35901</v>
      </c>
      <c r="D545" t="s">
        <v>159</v>
      </c>
      <c r="E545" t="s">
        <v>126</v>
      </c>
      <c r="F545" t="s">
        <v>160</v>
      </c>
      <c r="G545" t="s">
        <v>161</v>
      </c>
      <c r="H545" t="s">
        <v>17</v>
      </c>
      <c r="I545" t="s">
        <v>18</v>
      </c>
      <c r="J545" t="s">
        <v>19</v>
      </c>
      <c r="K545">
        <v>36</v>
      </c>
      <c r="L545">
        <v>0</v>
      </c>
      <c r="M545" t="s">
        <v>20</v>
      </c>
      <c r="N545">
        <f>L545/500</f>
        <v>0</v>
      </c>
      <c r="P545">
        <f>K545/800</f>
        <v>4.4999999999999998E-2</v>
      </c>
    </row>
    <row r="546" spans="1:16" x14ac:dyDescent="0.35">
      <c r="A546">
        <v>108</v>
      </c>
      <c r="B546">
        <v>583005163</v>
      </c>
      <c r="C546">
        <v>35901</v>
      </c>
      <c r="D546" t="s">
        <v>159</v>
      </c>
      <c r="E546" t="s">
        <v>126</v>
      </c>
      <c r="F546" t="s">
        <v>160</v>
      </c>
      <c r="G546" t="s">
        <v>161</v>
      </c>
      <c r="H546" t="s">
        <v>17</v>
      </c>
      <c r="I546" t="s">
        <v>18</v>
      </c>
      <c r="J546" t="s">
        <v>19</v>
      </c>
      <c r="K546">
        <v>45</v>
      </c>
      <c r="L546">
        <v>0</v>
      </c>
      <c r="M546" t="s">
        <v>20</v>
      </c>
      <c r="N546">
        <f>L546/500</f>
        <v>0</v>
      </c>
      <c r="P546">
        <f>K546/800</f>
        <v>5.6250000000000001E-2</v>
      </c>
    </row>
    <row r="547" spans="1:16" x14ac:dyDescent="0.35">
      <c r="A547">
        <v>109</v>
      </c>
      <c r="B547">
        <v>583005163</v>
      </c>
      <c r="C547">
        <v>35901</v>
      </c>
      <c r="D547" t="s">
        <v>159</v>
      </c>
      <c r="E547" t="s">
        <v>126</v>
      </c>
      <c r="F547" t="s">
        <v>160</v>
      </c>
      <c r="G547" t="s">
        <v>161</v>
      </c>
      <c r="H547" t="s">
        <v>17</v>
      </c>
      <c r="I547" t="s">
        <v>18</v>
      </c>
      <c r="J547" t="s">
        <v>19</v>
      </c>
      <c r="K547">
        <v>21</v>
      </c>
      <c r="L547">
        <v>0</v>
      </c>
      <c r="M547" t="s">
        <v>20</v>
      </c>
      <c r="N547">
        <f>L547/500</f>
        <v>0</v>
      </c>
      <c r="P547">
        <f>K547/800</f>
        <v>2.6249999999999999E-2</v>
      </c>
    </row>
    <row r="548" spans="1:16" x14ac:dyDescent="0.35">
      <c r="A548">
        <v>180</v>
      </c>
      <c r="B548">
        <v>583005274</v>
      </c>
      <c r="C548">
        <v>36050</v>
      </c>
      <c r="D548" t="s">
        <v>159</v>
      </c>
      <c r="E548" t="s">
        <v>200</v>
      </c>
      <c r="F548" t="s">
        <v>160</v>
      </c>
      <c r="G548" t="s">
        <v>161</v>
      </c>
      <c r="H548" t="s">
        <v>17</v>
      </c>
      <c r="I548" t="s">
        <v>18</v>
      </c>
      <c r="J548" t="s">
        <v>19</v>
      </c>
      <c r="K548">
        <v>117</v>
      </c>
      <c r="L548">
        <v>0</v>
      </c>
      <c r="M548" t="s">
        <v>20</v>
      </c>
      <c r="N548">
        <f>L548/500</f>
        <v>0</v>
      </c>
      <c r="P548">
        <f>K548/800</f>
        <v>0.14624999999999999</v>
      </c>
    </row>
    <row r="549" spans="1:16" x14ac:dyDescent="0.35">
      <c r="A549">
        <v>269</v>
      </c>
      <c r="B549">
        <v>583005367</v>
      </c>
      <c r="C549">
        <v>36187</v>
      </c>
      <c r="D549" t="s">
        <v>159</v>
      </c>
      <c r="E549" t="s">
        <v>237</v>
      </c>
      <c r="F549" t="s">
        <v>160</v>
      </c>
      <c r="G549" t="s">
        <v>161</v>
      </c>
      <c r="H549" t="s">
        <v>17</v>
      </c>
      <c r="I549" t="s">
        <v>18</v>
      </c>
      <c r="J549" t="s">
        <v>19</v>
      </c>
      <c r="K549">
        <v>33</v>
      </c>
      <c r="L549">
        <v>0</v>
      </c>
      <c r="M549" t="s">
        <v>20</v>
      </c>
      <c r="N549">
        <f>L549/500</f>
        <v>0</v>
      </c>
      <c r="P549">
        <f>K549/800</f>
        <v>4.1250000000000002E-2</v>
      </c>
    </row>
    <row r="550" spans="1:16" x14ac:dyDescent="0.35">
      <c r="A550">
        <v>590</v>
      </c>
      <c r="B550">
        <v>583005835</v>
      </c>
      <c r="C550">
        <v>36842</v>
      </c>
      <c r="D550" t="s">
        <v>159</v>
      </c>
      <c r="E550" t="s">
        <v>318</v>
      </c>
      <c r="F550" t="s">
        <v>160</v>
      </c>
      <c r="G550" t="s">
        <v>161</v>
      </c>
      <c r="H550" t="s">
        <v>17</v>
      </c>
      <c r="I550" t="s">
        <v>18</v>
      </c>
      <c r="J550" t="s">
        <v>19</v>
      </c>
      <c r="K550">
        <v>36</v>
      </c>
      <c r="L550">
        <v>0</v>
      </c>
      <c r="M550" t="s">
        <v>20</v>
      </c>
      <c r="N550">
        <f>L550/500</f>
        <v>0</v>
      </c>
      <c r="P550">
        <f>K550/800</f>
        <v>4.4999999999999998E-2</v>
      </c>
    </row>
    <row r="551" spans="1:16" x14ac:dyDescent="0.35">
      <c r="A551">
        <v>1051</v>
      </c>
      <c r="B551">
        <v>583006416</v>
      </c>
      <c r="C551">
        <v>37624</v>
      </c>
      <c r="D551" t="s">
        <v>159</v>
      </c>
      <c r="E551" t="s">
        <v>393</v>
      </c>
      <c r="F551" t="s">
        <v>160</v>
      </c>
      <c r="G551" t="s">
        <v>161</v>
      </c>
      <c r="H551" t="s">
        <v>17</v>
      </c>
      <c r="I551" t="s">
        <v>18</v>
      </c>
      <c r="J551" t="s">
        <v>19</v>
      </c>
      <c r="K551">
        <v>21</v>
      </c>
      <c r="L551">
        <v>0</v>
      </c>
      <c r="M551" t="s">
        <v>20</v>
      </c>
      <c r="N551">
        <f>L551/500</f>
        <v>0</v>
      </c>
      <c r="P551">
        <f>K551/800</f>
        <v>2.6249999999999999E-2</v>
      </c>
    </row>
    <row r="552" spans="1:16" x14ac:dyDescent="0.35">
      <c r="A552">
        <v>1052</v>
      </c>
      <c r="B552">
        <v>583006416</v>
      </c>
      <c r="C552">
        <v>37624</v>
      </c>
      <c r="D552" t="s">
        <v>159</v>
      </c>
      <c r="E552" t="s">
        <v>393</v>
      </c>
      <c r="F552" t="s">
        <v>160</v>
      </c>
      <c r="G552" t="s">
        <v>161</v>
      </c>
      <c r="H552" t="s">
        <v>17</v>
      </c>
      <c r="I552" t="s">
        <v>18</v>
      </c>
      <c r="J552" t="s">
        <v>19</v>
      </c>
      <c r="K552">
        <v>15</v>
      </c>
      <c r="L552">
        <v>0</v>
      </c>
      <c r="M552" t="s">
        <v>20</v>
      </c>
      <c r="N552">
        <f>L552/500</f>
        <v>0</v>
      </c>
      <c r="P552">
        <f>K552/800</f>
        <v>1.8749999999999999E-2</v>
      </c>
    </row>
    <row r="553" spans="1:16" x14ac:dyDescent="0.35">
      <c r="A553">
        <v>1059</v>
      </c>
      <c r="B553">
        <v>583006415</v>
      </c>
      <c r="C553">
        <v>37623</v>
      </c>
      <c r="D553" t="s">
        <v>159</v>
      </c>
      <c r="E553" t="s">
        <v>393</v>
      </c>
      <c r="F553" t="s">
        <v>160</v>
      </c>
      <c r="G553" t="s">
        <v>161</v>
      </c>
      <c r="H553" t="s">
        <v>17</v>
      </c>
      <c r="I553" t="s">
        <v>18</v>
      </c>
      <c r="J553" t="s">
        <v>19</v>
      </c>
      <c r="K553">
        <v>36</v>
      </c>
      <c r="L553">
        <v>0</v>
      </c>
      <c r="M553" t="s">
        <v>20</v>
      </c>
      <c r="N553">
        <f>L553/500</f>
        <v>0</v>
      </c>
      <c r="P553">
        <f>K553/800</f>
        <v>4.4999999999999998E-2</v>
      </c>
    </row>
    <row r="554" spans="1:16" x14ac:dyDescent="0.35">
      <c r="A554">
        <v>1264</v>
      </c>
      <c r="B554">
        <v>583006677</v>
      </c>
      <c r="C554">
        <v>37980</v>
      </c>
      <c r="D554" t="s">
        <v>159</v>
      </c>
      <c r="E554" t="s">
        <v>424</v>
      </c>
      <c r="F554" t="s">
        <v>160</v>
      </c>
      <c r="G554" t="s">
        <v>161</v>
      </c>
      <c r="H554" t="s">
        <v>17</v>
      </c>
      <c r="I554" t="s">
        <v>18</v>
      </c>
      <c r="J554" t="s">
        <v>19</v>
      </c>
      <c r="K554">
        <v>60</v>
      </c>
      <c r="L554">
        <v>0</v>
      </c>
      <c r="M554" t="s">
        <v>20</v>
      </c>
      <c r="N554">
        <f>L554/500</f>
        <v>0</v>
      </c>
      <c r="P554">
        <f>K554/800</f>
        <v>7.4999999999999997E-2</v>
      </c>
    </row>
    <row r="555" spans="1:16" x14ac:dyDescent="0.35">
      <c r="A555">
        <v>1325</v>
      </c>
      <c r="B555">
        <v>583006763</v>
      </c>
      <c r="C555">
        <v>38097</v>
      </c>
      <c r="D555" t="s">
        <v>159</v>
      </c>
      <c r="E555" t="s">
        <v>434</v>
      </c>
      <c r="F555" t="s">
        <v>160</v>
      </c>
      <c r="G555" t="s">
        <v>161</v>
      </c>
      <c r="H555" t="s">
        <v>17</v>
      </c>
      <c r="I555" t="s">
        <v>18</v>
      </c>
      <c r="J555" t="s">
        <v>19</v>
      </c>
      <c r="K555">
        <v>36</v>
      </c>
      <c r="L555">
        <v>0</v>
      </c>
      <c r="M555" t="s">
        <v>20</v>
      </c>
      <c r="N555">
        <f>L555/500</f>
        <v>0</v>
      </c>
      <c r="P555">
        <f>K555/800</f>
        <v>4.4999999999999998E-2</v>
      </c>
    </row>
    <row r="556" spans="1:16" x14ac:dyDescent="0.35">
      <c r="A556">
        <v>338</v>
      </c>
      <c r="B556">
        <v>583005541</v>
      </c>
      <c r="C556">
        <v>36425</v>
      </c>
      <c r="D556" t="s">
        <v>29</v>
      </c>
      <c r="E556" t="s">
        <v>266</v>
      </c>
      <c r="F556" t="s">
        <v>30</v>
      </c>
      <c r="G556" t="s">
        <v>31</v>
      </c>
      <c r="H556" t="s">
        <v>17</v>
      </c>
      <c r="I556" t="s">
        <v>63</v>
      </c>
      <c r="J556" t="s">
        <v>64</v>
      </c>
      <c r="K556">
        <v>369</v>
      </c>
      <c r="L556">
        <v>653.13</v>
      </c>
      <c r="M556" t="s">
        <v>20</v>
      </c>
      <c r="N556">
        <f>L556/500</f>
        <v>1.30626</v>
      </c>
    </row>
    <row r="557" spans="1:16" x14ac:dyDescent="0.35">
      <c r="A557">
        <v>787</v>
      </c>
      <c r="B557">
        <v>583006156</v>
      </c>
      <c r="C557">
        <v>37286</v>
      </c>
      <c r="D557" t="s">
        <v>29</v>
      </c>
      <c r="E557" t="s">
        <v>360</v>
      </c>
      <c r="F557" t="s">
        <v>30</v>
      </c>
      <c r="G557" t="s">
        <v>31</v>
      </c>
      <c r="H557" t="s">
        <v>17</v>
      </c>
      <c r="I557" t="s">
        <v>63</v>
      </c>
      <c r="J557" t="s">
        <v>64</v>
      </c>
      <c r="K557">
        <v>50</v>
      </c>
      <c r="L557">
        <v>88.5</v>
      </c>
      <c r="M557" t="s">
        <v>20</v>
      </c>
      <c r="N557">
        <f>L557/500</f>
        <v>0.17699999999999999</v>
      </c>
    </row>
    <row r="558" spans="1:16" x14ac:dyDescent="0.35">
      <c r="A558">
        <v>796</v>
      </c>
      <c r="B558">
        <v>583006152</v>
      </c>
      <c r="C558">
        <v>37282</v>
      </c>
      <c r="D558" t="s">
        <v>29</v>
      </c>
      <c r="E558" t="s">
        <v>360</v>
      </c>
      <c r="F558" t="s">
        <v>30</v>
      </c>
      <c r="G558" t="s">
        <v>31</v>
      </c>
      <c r="H558" t="s">
        <v>17</v>
      </c>
      <c r="I558" t="s">
        <v>63</v>
      </c>
      <c r="J558" t="s">
        <v>64</v>
      </c>
      <c r="K558">
        <v>19</v>
      </c>
      <c r="L558">
        <v>33.630000000000003</v>
      </c>
      <c r="M558" t="s">
        <v>20</v>
      </c>
      <c r="N558">
        <f>L558/500</f>
        <v>6.726E-2</v>
      </c>
    </row>
    <row r="559" spans="1:16" x14ac:dyDescent="0.35">
      <c r="A559">
        <v>812</v>
      </c>
      <c r="B559">
        <v>583006154</v>
      </c>
      <c r="C559">
        <v>37284</v>
      </c>
      <c r="D559" t="s">
        <v>29</v>
      </c>
      <c r="E559" t="s">
        <v>360</v>
      </c>
      <c r="F559" t="s">
        <v>30</v>
      </c>
      <c r="G559" t="s">
        <v>31</v>
      </c>
      <c r="H559" t="s">
        <v>17</v>
      </c>
      <c r="I559" t="s">
        <v>63</v>
      </c>
      <c r="J559" t="s">
        <v>64</v>
      </c>
      <c r="K559">
        <v>100</v>
      </c>
      <c r="L559">
        <v>165</v>
      </c>
      <c r="M559" t="s">
        <v>20</v>
      </c>
      <c r="N559">
        <f>L559/500</f>
        <v>0.33</v>
      </c>
    </row>
    <row r="560" spans="1:16" x14ac:dyDescent="0.35">
      <c r="A560">
        <v>817</v>
      </c>
      <c r="B560">
        <v>583006158</v>
      </c>
      <c r="C560">
        <v>37288</v>
      </c>
      <c r="D560" t="s">
        <v>29</v>
      </c>
      <c r="E560" t="s">
        <v>360</v>
      </c>
      <c r="F560" t="s">
        <v>30</v>
      </c>
      <c r="G560" t="s">
        <v>31</v>
      </c>
      <c r="H560" t="s">
        <v>17</v>
      </c>
      <c r="I560" t="s">
        <v>63</v>
      </c>
      <c r="J560" t="s">
        <v>64</v>
      </c>
      <c r="K560">
        <v>112</v>
      </c>
      <c r="L560">
        <v>184.8</v>
      </c>
      <c r="M560" t="s">
        <v>20</v>
      </c>
      <c r="N560">
        <f>L560/500</f>
        <v>0.36960000000000004</v>
      </c>
    </row>
    <row r="561" spans="1:16" x14ac:dyDescent="0.35">
      <c r="A561">
        <v>818</v>
      </c>
      <c r="B561">
        <v>583006150</v>
      </c>
      <c r="C561">
        <v>37280</v>
      </c>
      <c r="D561" t="s">
        <v>29</v>
      </c>
      <c r="E561" t="s">
        <v>360</v>
      </c>
      <c r="F561" t="s">
        <v>30</v>
      </c>
      <c r="G561" t="s">
        <v>31</v>
      </c>
      <c r="H561" t="s">
        <v>17</v>
      </c>
      <c r="I561" t="s">
        <v>63</v>
      </c>
      <c r="J561" t="s">
        <v>64</v>
      </c>
      <c r="K561">
        <v>112</v>
      </c>
      <c r="L561">
        <v>184.8</v>
      </c>
      <c r="M561" t="s">
        <v>20</v>
      </c>
      <c r="N561">
        <f>L561/500</f>
        <v>0.36960000000000004</v>
      </c>
    </row>
    <row r="562" spans="1:16" x14ac:dyDescent="0.35">
      <c r="A562">
        <v>826</v>
      </c>
      <c r="B562">
        <v>583006155</v>
      </c>
      <c r="C562">
        <v>37285</v>
      </c>
      <c r="D562" t="s">
        <v>29</v>
      </c>
      <c r="E562" t="s">
        <v>360</v>
      </c>
      <c r="F562" t="s">
        <v>30</v>
      </c>
      <c r="G562" t="s">
        <v>31</v>
      </c>
      <c r="H562" t="s">
        <v>17</v>
      </c>
      <c r="I562" t="s">
        <v>63</v>
      </c>
      <c r="J562" t="s">
        <v>64</v>
      </c>
      <c r="K562">
        <v>84</v>
      </c>
      <c r="L562">
        <v>138.6</v>
      </c>
      <c r="M562" t="s">
        <v>20</v>
      </c>
      <c r="N562">
        <f>L562/500</f>
        <v>0.2772</v>
      </c>
    </row>
    <row r="563" spans="1:16" x14ac:dyDescent="0.35">
      <c r="A563">
        <v>4</v>
      </c>
      <c r="B563">
        <v>583005056</v>
      </c>
      <c r="C563">
        <v>35754</v>
      </c>
      <c r="D563" t="s">
        <v>29</v>
      </c>
      <c r="E563" t="s">
        <v>14</v>
      </c>
      <c r="F563" t="s">
        <v>30</v>
      </c>
      <c r="G563" t="s">
        <v>31</v>
      </c>
      <c r="H563" t="s">
        <v>17</v>
      </c>
      <c r="I563" t="s">
        <v>18</v>
      </c>
      <c r="J563" t="s">
        <v>19</v>
      </c>
      <c r="K563">
        <v>51</v>
      </c>
      <c r="L563">
        <v>0</v>
      </c>
      <c r="M563" t="s">
        <v>20</v>
      </c>
      <c r="N563">
        <f>L563/500</f>
        <v>0</v>
      </c>
      <c r="P563">
        <f>K563/800</f>
        <v>6.3750000000000001E-2</v>
      </c>
    </row>
    <row r="564" spans="1:16" x14ac:dyDescent="0.35">
      <c r="A564">
        <v>21</v>
      </c>
      <c r="B564">
        <v>583005056</v>
      </c>
      <c r="C564">
        <v>35754</v>
      </c>
      <c r="D564" t="s">
        <v>29</v>
      </c>
      <c r="E564" t="s">
        <v>14</v>
      </c>
      <c r="F564" t="s">
        <v>30</v>
      </c>
      <c r="G564" t="s">
        <v>31</v>
      </c>
      <c r="H564" t="s">
        <v>17</v>
      </c>
      <c r="I564" t="s">
        <v>18</v>
      </c>
      <c r="J564" t="s">
        <v>19</v>
      </c>
      <c r="K564">
        <v>3144</v>
      </c>
      <c r="L564">
        <v>0</v>
      </c>
      <c r="M564" t="s">
        <v>20</v>
      </c>
      <c r="N564">
        <f>L564/500</f>
        <v>0</v>
      </c>
      <c r="P564">
        <f>K564/800</f>
        <v>3.93</v>
      </c>
    </row>
    <row r="565" spans="1:16" x14ac:dyDescent="0.35">
      <c r="A565">
        <v>23</v>
      </c>
      <c r="B565">
        <v>583005056</v>
      </c>
      <c r="C565">
        <v>35754</v>
      </c>
      <c r="D565" t="s">
        <v>29</v>
      </c>
      <c r="E565" t="s">
        <v>14</v>
      </c>
      <c r="F565" t="s">
        <v>30</v>
      </c>
      <c r="G565" t="s">
        <v>31</v>
      </c>
      <c r="H565" t="s">
        <v>17</v>
      </c>
      <c r="I565" t="s">
        <v>18</v>
      </c>
      <c r="J565" t="s">
        <v>19</v>
      </c>
      <c r="K565">
        <v>1203</v>
      </c>
      <c r="L565">
        <v>0</v>
      </c>
      <c r="M565" t="s">
        <v>20</v>
      </c>
      <c r="N565">
        <f>L565/500</f>
        <v>0</v>
      </c>
      <c r="P565">
        <f>K565/800</f>
        <v>1.5037499999999999</v>
      </c>
    </row>
    <row r="566" spans="1:16" x14ac:dyDescent="0.35">
      <c r="A566">
        <v>26</v>
      </c>
      <c r="B566">
        <v>583005042</v>
      </c>
      <c r="C566">
        <v>35736</v>
      </c>
      <c r="D566" t="s">
        <v>29</v>
      </c>
      <c r="E566" t="s">
        <v>14</v>
      </c>
      <c r="F566" t="s">
        <v>30</v>
      </c>
      <c r="G566" t="s">
        <v>31</v>
      </c>
      <c r="H566" t="s">
        <v>17</v>
      </c>
      <c r="I566" t="s">
        <v>18</v>
      </c>
      <c r="J566" t="s">
        <v>19</v>
      </c>
      <c r="K566">
        <v>24</v>
      </c>
      <c r="L566">
        <v>0</v>
      </c>
      <c r="M566" t="s">
        <v>20</v>
      </c>
      <c r="N566">
        <f>L566/500</f>
        <v>0</v>
      </c>
      <c r="P566">
        <f>K566/800</f>
        <v>0.03</v>
      </c>
    </row>
    <row r="567" spans="1:16" x14ac:dyDescent="0.35">
      <c r="A567">
        <v>36</v>
      </c>
      <c r="B567">
        <v>583005056</v>
      </c>
      <c r="C567">
        <v>35754</v>
      </c>
      <c r="D567" t="s">
        <v>29</v>
      </c>
      <c r="E567" t="s">
        <v>14</v>
      </c>
      <c r="F567" t="s">
        <v>30</v>
      </c>
      <c r="G567" t="s">
        <v>31</v>
      </c>
      <c r="H567" t="s">
        <v>17</v>
      </c>
      <c r="I567" t="s">
        <v>18</v>
      </c>
      <c r="J567" t="s">
        <v>19</v>
      </c>
      <c r="K567">
        <v>90</v>
      </c>
      <c r="L567">
        <v>0</v>
      </c>
      <c r="M567" t="s">
        <v>20</v>
      </c>
      <c r="N567">
        <f>L567/500</f>
        <v>0</v>
      </c>
      <c r="P567">
        <f>K567/800</f>
        <v>0.1125</v>
      </c>
    </row>
    <row r="568" spans="1:16" x14ac:dyDescent="0.35">
      <c r="A568">
        <v>106</v>
      </c>
      <c r="B568">
        <v>583005149</v>
      </c>
      <c r="C568">
        <v>35886</v>
      </c>
      <c r="D568" t="s">
        <v>29</v>
      </c>
      <c r="E568" t="s">
        <v>126</v>
      </c>
      <c r="F568" t="s">
        <v>30</v>
      </c>
      <c r="G568" t="s">
        <v>31</v>
      </c>
      <c r="H568" t="s">
        <v>17</v>
      </c>
      <c r="I568" t="s">
        <v>18</v>
      </c>
      <c r="J568" t="s">
        <v>19</v>
      </c>
      <c r="K568">
        <v>111</v>
      </c>
      <c r="L568">
        <v>0</v>
      </c>
      <c r="M568" t="s">
        <v>20</v>
      </c>
      <c r="N568">
        <f>L568/500</f>
        <v>0</v>
      </c>
      <c r="P568">
        <f>K568/800</f>
        <v>0.13875000000000001</v>
      </c>
    </row>
    <row r="569" spans="1:16" x14ac:dyDescent="0.35">
      <c r="A569">
        <v>122</v>
      </c>
      <c r="B569">
        <v>583005149</v>
      </c>
      <c r="C569">
        <v>35886</v>
      </c>
      <c r="D569" t="s">
        <v>29</v>
      </c>
      <c r="E569" t="s">
        <v>126</v>
      </c>
      <c r="F569" t="s">
        <v>30</v>
      </c>
      <c r="G569" t="s">
        <v>31</v>
      </c>
      <c r="H569" t="s">
        <v>17</v>
      </c>
      <c r="I569" t="s">
        <v>18</v>
      </c>
      <c r="J569" t="s">
        <v>19</v>
      </c>
      <c r="K569">
        <v>108</v>
      </c>
      <c r="L569">
        <v>0</v>
      </c>
      <c r="M569" t="s">
        <v>20</v>
      </c>
      <c r="N569">
        <f>L569/500</f>
        <v>0</v>
      </c>
      <c r="P569">
        <f>K569/800</f>
        <v>0.13500000000000001</v>
      </c>
    </row>
    <row r="570" spans="1:16" x14ac:dyDescent="0.35">
      <c r="A570">
        <v>124</v>
      </c>
      <c r="B570">
        <v>583005149</v>
      </c>
      <c r="C570">
        <v>35886</v>
      </c>
      <c r="D570" t="s">
        <v>29</v>
      </c>
      <c r="E570" t="s">
        <v>126</v>
      </c>
      <c r="F570" t="s">
        <v>30</v>
      </c>
      <c r="G570" t="s">
        <v>31</v>
      </c>
      <c r="H570" t="s">
        <v>17</v>
      </c>
      <c r="I570" t="s">
        <v>18</v>
      </c>
      <c r="J570" t="s">
        <v>19</v>
      </c>
      <c r="K570">
        <v>2253</v>
      </c>
      <c r="L570">
        <v>0</v>
      </c>
      <c r="M570" t="s">
        <v>20</v>
      </c>
      <c r="N570">
        <f>L570/500</f>
        <v>0</v>
      </c>
      <c r="P570">
        <f>K570/800</f>
        <v>2.8162500000000001</v>
      </c>
    </row>
    <row r="571" spans="1:16" x14ac:dyDescent="0.35">
      <c r="A571">
        <v>126</v>
      </c>
      <c r="B571">
        <v>583005149</v>
      </c>
      <c r="C571">
        <v>35886</v>
      </c>
      <c r="D571" t="s">
        <v>29</v>
      </c>
      <c r="E571" t="s">
        <v>126</v>
      </c>
      <c r="F571" t="s">
        <v>30</v>
      </c>
      <c r="G571" t="s">
        <v>31</v>
      </c>
      <c r="H571" t="s">
        <v>17</v>
      </c>
      <c r="I571" t="s">
        <v>18</v>
      </c>
      <c r="J571" t="s">
        <v>19</v>
      </c>
      <c r="K571">
        <v>1500</v>
      </c>
      <c r="L571">
        <v>0</v>
      </c>
      <c r="M571" t="s">
        <v>20</v>
      </c>
      <c r="N571">
        <f>L571/500</f>
        <v>0</v>
      </c>
      <c r="P571">
        <f>K571/800</f>
        <v>1.875</v>
      </c>
    </row>
    <row r="572" spans="1:16" x14ac:dyDescent="0.35">
      <c r="A572">
        <v>230</v>
      </c>
      <c r="B572">
        <v>583005314</v>
      </c>
      <c r="C572">
        <v>36115</v>
      </c>
      <c r="D572" t="s">
        <v>29</v>
      </c>
      <c r="E572" t="s">
        <v>217</v>
      </c>
      <c r="F572" t="s">
        <v>30</v>
      </c>
      <c r="G572" t="s">
        <v>31</v>
      </c>
      <c r="H572" t="s">
        <v>17</v>
      </c>
      <c r="I572" t="s">
        <v>18</v>
      </c>
      <c r="J572" t="s">
        <v>19</v>
      </c>
      <c r="K572">
        <v>90</v>
      </c>
      <c r="L572">
        <v>0</v>
      </c>
      <c r="M572" t="s">
        <v>20</v>
      </c>
      <c r="N572">
        <f>L572/500</f>
        <v>0</v>
      </c>
      <c r="P572">
        <f>K572/800</f>
        <v>0.1125</v>
      </c>
    </row>
    <row r="573" spans="1:16" x14ac:dyDescent="0.35">
      <c r="A573">
        <v>231</v>
      </c>
      <c r="B573">
        <v>583005314</v>
      </c>
      <c r="C573">
        <v>36115</v>
      </c>
      <c r="D573" t="s">
        <v>29</v>
      </c>
      <c r="E573" t="s">
        <v>217</v>
      </c>
      <c r="F573" t="s">
        <v>30</v>
      </c>
      <c r="G573" t="s">
        <v>31</v>
      </c>
      <c r="H573" t="s">
        <v>17</v>
      </c>
      <c r="I573" t="s">
        <v>18</v>
      </c>
      <c r="J573" t="s">
        <v>19</v>
      </c>
      <c r="K573">
        <v>168</v>
      </c>
      <c r="L573">
        <v>0</v>
      </c>
      <c r="M573" t="s">
        <v>20</v>
      </c>
      <c r="N573">
        <f>L573/500</f>
        <v>0</v>
      </c>
      <c r="P573">
        <f>K573/800</f>
        <v>0.21</v>
      </c>
    </row>
    <row r="574" spans="1:16" x14ac:dyDescent="0.35">
      <c r="A574">
        <v>232</v>
      </c>
      <c r="B574">
        <v>583005315</v>
      </c>
      <c r="C574">
        <v>36116</v>
      </c>
      <c r="D574" t="s">
        <v>29</v>
      </c>
      <c r="E574" t="s">
        <v>217</v>
      </c>
      <c r="F574" t="s">
        <v>30</v>
      </c>
      <c r="G574" t="s">
        <v>31</v>
      </c>
      <c r="H574" t="s">
        <v>17</v>
      </c>
      <c r="I574" t="s">
        <v>18</v>
      </c>
      <c r="J574" t="s">
        <v>19</v>
      </c>
      <c r="K574">
        <v>153</v>
      </c>
      <c r="L574">
        <v>0</v>
      </c>
      <c r="M574" t="s">
        <v>20</v>
      </c>
      <c r="N574">
        <f>L574/500</f>
        <v>0</v>
      </c>
      <c r="P574">
        <f>K574/800</f>
        <v>0.19125</v>
      </c>
    </row>
    <row r="575" spans="1:16" x14ac:dyDescent="0.35">
      <c r="A575">
        <v>316</v>
      </c>
      <c r="B575">
        <v>583005506</v>
      </c>
      <c r="C575">
        <v>36381</v>
      </c>
      <c r="D575" t="s">
        <v>29</v>
      </c>
      <c r="E575" t="s">
        <v>266</v>
      </c>
      <c r="F575" t="s">
        <v>30</v>
      </c>
      <c r="G575" t="s">
        <v>31</v>
      </c>
      <c r="H575" t="s">
        <v>17</v>
      </c>
      <c r="I575" t="s">
        <v>18</v>
      </c>
      <c r="J575" t="s">
        <v>19</v>
      </c>
      <c r="K575">
        <v>720</v>
      </c>
      <c r="L575">
        <v>0</v>
      </c>
      <c r="M575" t="s">
        <v>20</v>
      </c>
      <c r="N575">
        <f>L575/500</f>
        <v>0</v>
      </c>
      <c r="P575">
        <f>K575/800</f>
        <v>0.9</v>
      </c>
    </row>
    <row r="576" spans="1:16" x14ac:dyDescent="0.35">
      <c r="A576">
        <v>317</v>
      </c>
      <c r="B576">
        <v>583005506</v>
      </c>
      <c r="C576">
        <v>36381</v>
      </c>
      <c r="D576" t="s">
        <v>29</v>
      </c>
      <c r="E576" t="s">
        <v>266</v>
      </c>
      <c r="F576" t="s">
        <v>30</v>
      </c>
      <c r="G576" t="s">
        <v>31</v>
      </c>
      <c r="H576" t="s">
        <v>17</v>
      </c>
      <c r="I576" t="s">
        <v>18</v>
      </c>
      <c r="J576" t="s">
        <v>19</v>
      </c>
      <c r="K576">
        <v>1080</v>
      </c>
      <c r="L576">
        <v>0</v>
      </c>
      <c r="M576" t="s">
        <v>20</v>
      </c>
      <c r="N576">
        <f>L576/500</f>
        <v>0</v>
      </c>
      <c r="P576">
        <f>K576/800</f>
        <v>1.35</v>
      </c>
    </row>
    <row r="577" spans="1:16" x14ac:dyDescent="0.35">
      <c r="A577">
        <v>318</v>
      </c>
      <c r="B577">
        <v>583005529</v>
      </c>
      <c r="C577">
        <v>36413</v>
      </c>
      <c r="D577" t="s">
        <v>29</v>
      </c>
      <c r="E577" t="s">
        <v>266</v>
      </c>
      <c r="F577" t="s">
        <v>30</v>
      </c>
      <c r="G577" t="s">
        <v>31</v>
      </c>
      <c r="H577" t="s">
        <v>17</v>
      </c>
      <c r="I577" t="s">
        <v>18</v>
      </c>
      <c r="J577" t="s">
        <v>19</v>
      </c>
      <c r="K577">
        <v>45</v>
      </c>
      <c r="L577">
        <v>0</v>
      </c>
      <c r="M577" t="s">
        <v>20</v>
      </c>
      <c r="N577">
        <f>L577/500</f>
        <v>0</v>
      </c>
      <c r="P577">
        <f>K577/800</f>
        <v>5.6250000000000001E-2</v>
      </c>
    </row>
    <row r="578" spans="1:16" x14ac:dyDescent="0.35">
      <c r="A578">
        <v>321</v>
      </c>
      <c r="B578">
        <v>583005529</v>
      </c>
      <c r="C578">
        <v>36413</v>
      </c>
      <c r="D578" t="s">
        <v>29</v>
      </c>
      <c r="E578" t="s">
        <v>266</v>
      </c>
      <c r="F578" t="s">
        <v>30</v>
      </c>
      <c r="G578" t="s">
        <v>31</v>
      </c>
      <c r="H578" t="s">
        <v>17</v>
      </c>
      <c r="I578" t="s">
        <v>18</v>
      </c>
      <c r="J578" t="s">
        <v>19</v>
      </c>
      <c r="K578">
        <v>123</v>
      </c>
      <c r="L578">
        <v>0</v>
      </c>
      <c r="M578" t="s">
        <v>20</v>
      </c>
      <c r="N578">
        <f>L578/500</f>
        <v>0</v>
      </c>
      <c r="P578">
        <f>K578/800</f>
        <v>0.15375</v>
      </c>
    </row>
    <row r="579" spans="1:16" x14ac:dyDescent="0.35">
      <c r="A579">
        <v>322</v>
      </c>
      <c r="B579">
        <v>583005534</v>
      </c>
      <c r="C579">
        <v>36418</v>
      </c>
      <c r="D579" t="s">
        <v>29</v>
      </c>
      <c r="E579" t="s">
        <v>266</v>
      </c>
      <c r="F579" t="s">
        <v>30</v>
      </c>
      <c r="G579" t="s">
        <v>31</v>
      </c>
      <c r="H579" t="s">
        <v>17</v>
      </c>
      <c r="I579" t="s">
        <v>18</v>
      </c>
      <c r="J579" t="s">
        <v>19</v>
      </c>
      <c r="K579">
        <v>225</v>
      </c>
      <c r="L579">
        <v>0</v>
      </c>
      <c r="M579" t="s">
        <v>20</v>
      </c>
      <c r="N579">
        <f>L579/500</f>
        <v>0</v>
      </c>
      <c r="P579">
        <f>K579/800</f>
        <v>0.28125</v>
      </c>
    </row>
    <row r="580" spans="1:16" x14ac:dyDescent="0.35">
      <c r="A580">
        <v>325</v>
      </c>
      <c r="B580">
        <v>583005535</v>
      </c>
      <c r="C580">
        <v>36419</v>
      </c>
      <c r="D580" t="s">
        <v>29</v>
      </c>
      <c r="E580" t="s">
        <v>266</v>
      </c>
      <c r="F580" t="s">
        <v>30</v>
      </c>
      <c r="G580" t="s">
        <v>31</v>
      </c>
      <c r="H580" t="s">
        <v>17</v>
      </c>
      <c r="I580" t="s">
        <v>18</v>
      </c>
      <c r="J580" t="s">
        <v>19</v>
      </c>
      <c r="K580">
        <v>90</v>
      </c>
      <c r="L580">
        <v>0</v>
      </c>
      <c r="M580" t="s">
        <v>20</v>
      </c>
      <c r="N580">
        <f>L580/500</f>
        <v>0</v>
      </c>
      <c r="P580">
        <f>K580/800</f>
        <v>0.1125</v>
      </c>
    </row>
    <row r="581" spans="1:16" x14ac:dyDescent="0.35">
      <c r="A581">
        <v>326</v>
      </c>
      <c r="B581">
        <v>583005530</v>
      </c>
      <c r="C581">
        <v>36414</v>
      </c>
      <c r="D581" t="s">
        <v>29</v>
      </c>
      <c r="E581" t="s">
        <v>266</v>
      </c>
      <c r="F581" t="s">
        <v>30</v>
      </c>
      <c r="G581" t="s">
        <v>31</v>
      </c>
      <c r="H581" t="s">
        <v>17</v>
      </c>
      <c r="I581" t="s">
        <v>18</v>
      </c>
      <c r="J581" t="s">
        <v>19</v>
      </c>
      <c r="K581">
        <v>90</v>
      </c>
      <c r="L581">
        <v>0</v>
      </c>
      <c r="M581" t="s">
        <v>20</v>
      </c>
      <c r="N581">
        <f>L581/500</f>
        <v>0</v>
      </c>
      <c r="P581">
        <f>K581/800</f>
        <v>0.1125</v>
      </c>
    </row>
    <row r="582" spans="1:16" x14ac:dyDescent="0.35">
      <c r="A582">
        <v>327</v>
      </c>
      <c r="B582">
        <v>583005532</v>
      </c>
      <c r="C582">
        <v>36416</v>
      </c>
      <c r="D582" t="s">
        <v>29</v>
      </c>
      <c r="E582" t="s">
        <v>266</v>
      </c>
      <c r="F582" t="s">
        <v>30</v>
      </c>
      <c r="G582" t="s">
        <v>31</v>
      </c>
      <c r="H582" t="s">
        <v>17</v>
      </c>
      <c r="I582" t="s">
        <v>18</v>
      </c>
      <c r="J582" t="s">
        <v>19</v>
      </c>
      <c r="K582">
        <v>315</v>
      </c>
      <c r="L582">
        <v>0</v>
      </c>
      <c r="M582" t="s">
        <v>20</v>
      </c>
      <c r="N582">
        <f>L582/500</f>
        <v>0</v>
      </c>
      <c r="P582">
        <f>K582/800</f>
        <v>0.39374999999999999</v>
      </c>
    </row>
    <row r="583" spans="1:16" x14ac:dyDescent="0.35">
      <c r="A583">
        <v>328</v>
      </c>
      <c r="B583">
        <v>583005537</v>
      </c>
      <c r="C583">
        <v>36421</v>
      </c>
      <c r="D583" t="s">
        <v>29</v>
      </c>
      <c r="E583" t="s">
        <v>266</v>
      </c>
      <c r="F583" t="s">
        <v>30</v>
      </c>
      <c r="G583" t="s">
        <v>31</v>
      </c>
      <c r="H583" t="s">
        <v>17</v>
      </c>
      <c r="I583" t="s">
        <v>18</v>
      </c>
      <c r="J583" t="s">
        <v>19</v>
      </c>
      <c r="K583">
        <v>180</v>
      </c>
      <c r="L583">
        <v>0</v>
      </c>
      <c r="M583" t="s">
        <v>20</v>
      </c>
      <c r="N583">
        <f>L583/500</f>
        <v>0</v>
      </c>
      <c r="P583">
        <f>K583/800</f>
        <v>0.22500000000000001</v>
      </c>
    </row>
    <row r="584" spans="1:16" x14ac:dyDescent="0.35">
      <c r="A584">
        <v>331</v>
      </c>
      <c r="B584">
        <v>583005544</v>
      </c>
      <c r="C584">
        <v>36428</v>
      </c>
      <c r="D584" t="s">
        <v>29</v>
      </c>
      <c r="E584" t="s">
        <v>266</v>
      </c>
      <c r="F584" t="s">
        <v>30</v>
      </c>
      <c r="G584" t="s">
        <v>31</v>
      </c>
      <c r="H584" t="s">
        <v>17</v>
      </c>
      <c r="I584" t="s">
        <v>18</v>
      </c>
      <c r="J584" t="s">
        <v>19</v>
      </c>
      <c r="K584">
        <v>180</v>
      </c>
      <c r="L584">
        <v>0</v>
      </c>
      <c r="M584" t="s">
        <v>20</v>
      </c>
      <c r="N584">
        <f>L584/500</f>
        <v>0</v>
      </c>
      <c r="P584">
        <f>K584/800</f>
        <v>0.22500000000000001</v>
      </c>
    </row>
    <row r="585" spans="1:16" x14ac:dyDescent="0.35">
      <c r="A585">
        <v>332</v>
      </c>
      <c r="B585">
        <v>583005543</v>
      </c>
      <c r="C585">
        <v>36427</v>
      </c>
      <c r="D585" t="s">
        <v>29</v>
      </c>
      <c r="E585" t="s">
        <v>266</v>
      </c>
      <c r="F585" t="s">
        <v>30</v>
      </c>
      <c r="G585" t="s">
        <v>31</v>
      </c>
      <c r="H585" t="s">
        <v>17</v>
      </c>
      <c r="I585" t="s">
        <v>18</v>
      </c>
      <c r="J585" t="s">
        <v>19</v>
      </c>
      <c r="K585">
        <v>90</v>
      </c>
      <c r="L585">
        <v>0</v>
      </c>
      <c r="M585" t="s">
        <v>20</v>
      </c>
      <c r="N585">
        <f>L585/500</f>
        <v>0</v>
      </c>
      <c r="P585">
        <f>K585/800</f>
        <v>0.1125</v>
      </c>
    </row>
    <row r="586" spans="1:16" x14ac:dyDescent="0.35">
      <c r="A586">
        <v>333</v>
      </c>
      <c r="B586">
        <v>583005543</v>
      </c>
      <c r="C586">
        <v>36427</v>
      </c>
      <c r="D586" t="s">
        <v>29</v>
      </c>
      <c r="E586" t="s">
        <v>266</v>
      </c>
      <c r="F586" t="s">
        <v>30</v>
      </c>
      <c r="G586" t="s">
        <v>31</v>
      </c>
      <c r="H586" t="s">
        <v>17</v>
      </c>
      <c r="I586" t="s">
        <v>18</v>
      </c>
      <c r="J586" t="s">
        <v>19</v>
      </c>
      <c r="K586">
        <v>90</v>
      </c>
      <c r="L586">
        <v>0</v>
      </c>
      <c r="M586" t="s">
        <v>20</v>
      </c>
      <c r="N586">
        <f>L586/500</f>
        <v>0</v>
      </c>
      <c r="P586">
        <f>K586/800</f>
        <v>0.1125</v>
      </c>
    </row>
    <row r="587" spans="1:16" x14ac:dyDescent="0.35">
      <c r="A587">
        <v>334</v>
      </c>
      <c r="B587">
        <v>583005542</v>
      </c>
      <c r="C587">
        <v>36426</v>
      </c>
      <c r="D587" t="s">
        <v>29</v>
      </c>
      <c r="E587" t="s">
        <v>266</v>
      </c>
      <c r="F587" t="s">
        <v>30</v>
      </c>
      <c r="G587" t="s">
        <v>31</v>
      </c>
      <c r="H587" t="s">
        <v>17</v>
      </c>
      <c r="I587" t="s">
        <v>18</v>
      </c>
      <c r="J587" t="s">
        <v>19</v>
      </c>
      <c r="K587">
        <v>270</v>
      </c>
      <c r="L587">
        <v>0</v>
      </c>
      <c r="M587" t="s">
        <v>20</v>
      </c>
      <c r="N587">
        <f>L587/500</f>
        <v>0</v>
      </c>
      <c r="P587">
        <f>K587/800</f>
        <v>0.33750000000000002</v>
      </c>
    </row>
    <row r="588" spans="1:16" x14ac:dyDescent="0.35">
      <c r="A588">
        <v>335</v>
      </c>
      <c r="B588">
        <v>583005538</v>
      </c>
      <c r="C588">
        <v>36422</v>
      </c>
      <c r="D588" t="s">
        <v>29</v>
      </c>
      <c r="E588" t="s">
        <v>266</v>
      </c>
      <c r="F588" t="s">
        <v>30</v>
      </c>
      <c r="G588" t="s">
        <v>31</v>
      </c>
      <c r="H588" t="s">
        <v>17</v>
      </c>
      <c r="I588" t="s">
        <v>18</v>
      </c>
      <c r="J588" t="s">
        <v>19</v>
      </c>
      <c r="K588">
        <v>135</v>
      </c>
      <c r="L588">
        <v>0</v>
      </c>
      <c r="M588" t="s">
        <v>20</v>
      </c>
      <c r="N588">
        <f>L588/500</f>
        <v>0</v>
      </c>
      <c r="P588">
        <f>K588/800</f>
        <v>0.16875000000000001</v>
      </c>
    </row>
    <row r="589" spans="1:16" x14ac:dyDescent="0.35">
      <c r="A589">
        <v>336</v>
      </c>
      <c r="B589">
        <v>583005539</v>
      </c>
      <c r="C589">
        <v>36423</v>
      </c>
      <c r="D589" t="s">
        <v>29</v>
      </c>
      <c r="E589" t="s">
        <v>266</v>
      </c>
      <c r="F589" t="s">
        <v>30</v>
      </c>
      <c r="G589" t="s">
        <v>31</v>
      </c>
      <c r="H589" t="s">
        <v>17</v>
      </c>
      <c r="I589" t="s">
        <v>18</v>
      </c>
      <c r="J589" t="s">
        <v>19</v>
      </c>
      <c r="K589">
        <v>270</v>
      </c>
      <c r="L589">
        <v>0</v>
      </c>
      <c r="M589" t="s">
        <v>20</v>
      </c>
      <c r="N589">
        <f>L589/500</f>
        <v>0</v>
      </c>
      <c r="P589">
        <f>K589/800</f>
        <v>0.33750000000000002</v>
      </c>
    </row>
    <row r="590" spans="1:16" x14ac:dyDescent="0.35">
      <c r="A590">
        <v>337</v>
      </c>
      <c r="B590">
        <v>583005540</v>
      </c>
      <c r="C590">
        <v>36424</v>
      </c>
      <c r="D590" t="s">
        <v>29</v>
      </c>
      <c r="E590" t="s">
        <v>266</v>
      </c>
      <c r="F590" t="s">
        <v>30</v>
      </c>
      <c r="G590" t="s">
        <v>31</v>
      </c>
      <c r="H590" t="s">
        <v>17</v>
      </c>
      <c r="I590" t="s">
        <v>18</v>
      </c>
      <c r="J590" t="s">
        <v>19</v>
      </c>
      <c r="K590">
        <v>180</v>
      </c>
      <c r="L590">
        <v>0</v>
      </c>
      <c r="M590" t="s">
        <v>20</v>
      </c>
      <c r="N590">
        <f>L590/500</f>
        <v>0</v>
      </c>
      <c r="P590">
        <f>K590/800</f>
        <v>0.22500000000000001</v>
      </c>
    </row>
    <row r="591" spans="1:16" x14ac:dyDescent="0.35">
      <c r="A591">
        <v>356</v>
      </c>
      <c r="B591">
        <v>583005506</v>
      </c>
      <c r="C591">
        <v>36381</v>
      </c>
      <c r="D591" t="s">
        <v>29</v>
      </c>
      <c r="E591" t="s">
        <v>266</v>
      </c>
      <c r="F591" t="s">
        <v>30</v>
      </c>
      <c r="G591" t="s">
        <v>31</v>
      </c>
      <c r="H591" t="s">
        <v>17</v>
      </c>
      <c r="I591" t="s">
        <v>18</v>
      </c>
      <c r="J591" t="s">
        <v>19</v>
      </c>
      <c r="K591">
        <v>2178</v>
      </c>
      <c r="L591">
        <v>0</v>
      </c>
      <c r="M591" t="s">
        <v>20</v>
      </c>
      <c r="N591">
        <f>L591/500</f>
        <v>0</v>
      </c>
      <c r="P591">
        <f>K591/800</f>
        <v>2.7225000000000001</v>
      </c>
    </row>
    <row r="592" spans="1:16" x14ac:dyDescent="0.35">
      <c r="A592">
        <v>357</v>
      </c>
      <c r="B592">
        <v>583005506</v>
      </c>
      <c r="C592">
        <v>36381</v>
      </c>
      <c r="D592" t="s">
        <v>29</v>
      </c>
      <c r="E592" t="s">
        <v>266</v>
      </c>
      <c r="F592" t="s">
        <v>30</v>
      </c>
      <c r="G592" t="s">
        <v>31</v>
      </c>
      <c r="H592" t="s">
        <v>17</v>
      </c>
      <c r="I592" t="s">
        <v>18</v>
      </c>
      <c r="J592" t="s">
        <v>19</v>
      </c>
      <c r="K592">
        <v>231</v>
      </c>
      <c r="L592">
        <v>0</v>
      </c>
      <c r="M592" t="s">
        <v>20</v>
      </c>
      <c r="N592">
        <f>L592/500</f>
        <v>0</v>
      </c>
      <c r="P592">
        <f>K592/800</f>
        <v>0.28875000000000001</v>
      </c>
    </row>
    <row r="593" spans="1:16" x14ac:dyDescent="0.35">
      <c r="A593">
        <v>384</v>
      </c>
      <c r="B593">
        <v>583005620</v>
      </c>
      <c r="C593">
        <v>36537</v>
      </c>
      <c r="D593" t="s">
        <v>29</v>
      </c>
      <c r="E593" t="s">
        <v>270</v>
      </c>
      <c r="F593" t="s">
        <v>30</v>
      </c>
      <c r="G593" t="s">
        <v>31</v>
      </c>
      <c r="H593" t="s">
        <v>17</v>
      </c>
      <c r="I593" t="s">
        <v>18</v>
      </c>
      <c r="J593" t="s">
        <v>19</v>
      </c>
      <c r="K593">
        <v>135</v>
      </c>
      <c r="L593">
        <v>0</v>
      </c>
      <c r="M593" t="s">
        <v>20</v>
      </c>
      <c r="N593">
        <f>L593/500</f>
        <v>0</v>
      </c>
      <c r="P593">
        <f>K593/800</f>
        <v>0.16875000000000001</v>
      </c>
    </row>
    <row r="594" spans="1:16" x14ac:dyDescent="0.35">
      <c r="A594">
        <v>385</v>
      </c>
      <c r="B594">
        <v>583005618</v>
      </c>
      <c r="C594">
        <v>36535</v>
      </c>
      <c r="D594" t="s">
        <v>29</v>
      </c>
      <c r="E594" t="s">
        <v>270</v>
      </c>
      <c r="F594" t="s">
        <v>30</v>
      </c>
      <c r="G594" t="s">
        <v>31</v>
      </c>
      <c r="H594" t="s">
        <v>17</v>
      </c>
      <c r="I594" t="s">
        <v>18</v>
      </c>
      <c r="J594" t="s">
        <v>19</v>
      </c>
      <c r="K594">
        <v>72</v>
      </c>
      <c r="L594">
        <v>0</v>
      </c>
      <c r="M594" t="s">
        <v>20</v>
      </c>
      <c r="N594">
        <f>L594/500</f>
        <v>0</v>
      </c>
      <c r="P594">
        <f>K594/800</f>
        <v>0.09</v>
      </c>
    </row>
    <row r="595" spans="1:16" x14ac:dyDescent="0.35">
      <c r="A595">
        <v>386</v>
      </c>
      <c r="B595">
        <v>583005619</v>
      </c>
      <c r="C595">
        <v>36536</v>
      </c>
      <c r="D595" t="s">
        <v>29</v>
      </c>
      <c r="E595" t="s">
        <v>270</v>
      </c>
      <c r="F595" t="s">
        <v>30</v>
      </c>
      <c r="G595" t="s">
        <v>31</v>
      </c>
      <c r="H595" t="s">
        <v>17</v>
      </c>
      <c r="I595" t="s">
        <v>18</v>
      </c>
      <c r="J595" t="s">
        <v>19</v>
      </c>
      <c r="K595">
        <v>72</v>
      </c>
      <c r="L595">
        <v>0</v>
      </c>
      <c r="M595" t="s">
        <v>20</v>
      </c>
      <c r="N595">
        <f>L595/500</f>
        <v>0</v>
      </c>
      <c r="P595">
        <f>K595/800</f>
        <v>0.09</v>
      </c>
    </row>
    <row r="596" spans="1:16" x14ac:dyDescent="0.35">
      <c r="A596">
        <v>387</v>
      </c>
      <c r="B596">
        <v>583005621</v>
      </c>
      <c r="C596">
        <v>36538</v>
      </c>
      <c r="D596" t="s">
        <v>29</v>
      </c>
      <c r="E596" t="s">
        <v>270</v>
      </c>
      <c r="F596" t="s">
        <v>30</v>
      </c>
      <c r="G596" t="s">
        <v>31</v>
      </c>
      <c r="H596" t="s">
        <v>17</v>
      </c>
      <c r="I596" t="s">
        <v>18</v>
      </c>
      <c r="J596" t="s">
        <v>19</v>
      </c>
      <c r="K596">
        <v>108</v>
      </c>
      <c r="L596">
        <v>0</v>
      </c>
      <c r="M596" t="s">
        <v>20</v>
      </c>
      <c r="N596">
        <f>L596/500</f>
        <v>0</v>
      </c>
      <c r="P596">
        <f>K596/800</f>
        <v>0.13500000000000001</v>
      </c>
    </row>
    <row r="597" spans="1:16" x14ac:dyDescent="0.35">
      <c r="A597">
        <v>401</v>
      </c>
      <c r="B597">
        <v>583005622</v>
      </c>
      <c r="C597">
        <v>36539</v>
      </c>
      <c r="D597" t="s">
        <v>29</v>
      </c>
      <c r="E597" t="s">
        <v>270</v>
      </c>
      <c r="F597" t="s">
        <v>30</v>
      </c>
      <c r="G597" t="s">
        <v>31</v>
      </c>
      <c r="H597" t="s">
        <v>17</v>
      </c>
      <c r="I597" t="s">
        <v>18</v>
      </c>
      <c r="J597" t="s">
        <v>19</v>
      </c>
      <c r="K597">
        <v>135</v>
      </c>
      <c r="L597">
        <v>0</v>
      </c>
      <c r="M597" t="s">
        <v>20</v>
      </c>
      <c r="N597">
        <f>L597/500</f>
        <v>0</v>
      </c>
      <c r="P597">
        <f>K597/800</f>
        <v>0.16875000000000001</v>
      </c>
    </row>
    <row r="598" spans="1:16" x14ac:dyDescent="0.35">
      <c r="A598">
        <v>420</v>
      </c>
      <c r="B598">
        <v>583005656</v>
      </c>
      <c r="C598">
        <v>36592</v>
      </c>
      <c r="D598" t="s">
        <v>29</v>
      </c>
      <c r="E598" t="s">
        <v>292</v>
      </c>
      <c r="F598" t="s">
        <v>30</v>
      </c>
      <c r="G598" t="s">
        <v>31</v>
      </c>
      <c r="H598" t="s">
        <v>17</v>
      </c>
      <c r="I598" t="s">
        <v>18</v>
      </c>
      <c r="J598" t="s">
        <v>19</v>
      </c>
      <c r="K598">
        <v>3336</v>
      </c>
      <c r="L598">
        <v>0</v>
      </c>
      <c r="M598" t="s">
        <v>20</v>
      </c>
      <c r="N598">
        <f>L598/500</f>
        <v>0</v>
      </c>
      <c r="P598">
        <f>K598/800</f>
        <v>4.17</v>
      </c>
    </row>
    <row r="599" spans="1:16" x14ac:dyDescent="0.35">
      <c r="A599">
        <v>421</v>
      </c>
      <c r="B599">
        <v>583005656</v>
      </c>
      <c r="C599">
        <v>36592</v>
      </c>
      <c r="D599" t="s">
        <v>29</v>
      </c>
      <c r="E599" t="s">
        <v>292</v>
      </c>
      <c r="F599" t="s">
        <v>30</v>
      </c>
      <c r="G599" t="s">
        <v>31</v>
      </c>
      <c r="H599" t="s">
        <v>17</v>
      </c>
      <c r="I599" t="s">
        <v>18</v>
      </c>
      <c r="J599" t="s">
        <v>19</v>
      </c>
      <c r="K599">
        <v>228</v>
      </c>
      <c r="L599">
        <v>0</v>
      </c>
      <c r="M599" t="s">
        <v>20</v>
      </c>
      <c r="N599">
        <f>L599/500</f>
        <v>0</v>
      </c>
      <c r="P599">
        <f>K599/800</f>
        <v>0.28499999999999998</v>
      </c>
    </row>
    <row r="600" spans="1:16" x14ac:dyDescent="0.35">
      <c r="A600">
        <v>422</v>
      </c>
      <c r="B600">
        <v>583005656</v>
      </c>
      <c r="C600">
        <v>36592</v>
      </c>
      <c r="D600" t="s">
        <v>29</v>
      </c>
      <c r="E600" t="s">
        <v>292</v>
      </c>
      <c r="F600" t="s">
        <v>30</v>
      </c>
      <c r="G600" t="s">
        <v>31</v>
      </c>
      <c r="H600" t="s">
        <v>17</v>
      </c>
      <c r="I600" t="s">
        <v>18</v>
      </c>
      <c r="J600" t="s">
        <v>19</v>
      </c>
      <c r="K600">
        <v>435</v>
      </c>
      <c r="L600">
        <v>0</v>
      </c>
      <c r="M600" t="s">
        <v>20</v>
      </c>
      <c r="N600">
        <f>L600/500</f>
        <v>0</v>
      </c>
      <c r="P600">
        <f>K600/800</f>
        <v>0.54374999999999996</v>
      </c>
    </row>
    <row r="601" spans="1:16" x14ac:dyDescent="0.35">
      <c r="A601">
        <v>559</v>
      </c>
      <c r="B601">
        <v>583005843</v>
      </c>
      <c r="C601">
        <v>36852</v>
      </c>
      <c r="D601" t="s">
        <v>29</v>
      </c>
      <c r="E601" t="s">
        <v>318</v>
      </c>
      <c r="F601" t="s">
        <v>30</v>
      </c>
      <c r="G601" t="s">
        <v>31</v>
      </c>
      <c r="H601" t="s">
        <v>17</v>
      </c>
      <c r="I601" t="s">
        <v>18</v>
      </c>
      <c r="J601" t="s">
        <v>19</v>
      </c>
      <c r="K601">
        <v>444</v>
      </c>
      <c r="L601">
        <v>0</v>
      </c>
      <c r="M601" t="s">
        <v>20</v>
      </c>
      <c r="N601">
        <f>L601/500</f>
        <v>0</v>
      </c>
      <c r="P601">
        <f>K601/800</f>
        <v>0.55500000000000005</v>
      </c>
    </row>
    <row r="602" spans="1:16" x14ac:dyDescent="0.35">
      <c r="A602">
        <v>560</v>
      </c>
      <c r="B602">
        <v>583005843</v>
      </c>
      <c r="C602">
        <v>36852</v>
      </c>
      <c r="D602" t="s">
        <v>29</v>
      </c>
      <c r="E602" t="s">
        <v>318</v>
      </c>
      <c r="F602" t="s">
        <v>30</v>
      </c>
      <c r="G602" t="s">
        <v>31</v>
      </c>
      <c r="H602" t="s">
        <v>17</v>
      </c>
      <c r="I602" t="s">
        <v>18</v>
      </c>
      <c r="J602" t="s">
        <v>19</v>
      </c>
      <c r="K602">
        <v>1455</v>
      </c>
      <c r="L602">
        <v>0</v>
      </c>
      <c r="M602" t="s">
        <v>20</v>
      </c>
      <c r="N602">
        <f>L602/500</f>
        <v>0</v>
      </c>
      <c r="P602">
        <f>K602/800</f>
        <v>1.8187500000000001</v>
      </c>
    </row>
    <row r="603" spans="1:16" x14ac:dyDescent="0.35">
      <c r="A603">
        <v>561</v>
      </c>
      <c r="B603">
        <v>583005843</v>
      </c>
      <c r="C603">
        <v>36852</v>
      </c>
      <c r="D603" t="s">
        <v>29</v>
      </c>
      <c r="E603" t="s">
        <v>318</v>
      </c>
      <c r="F603" t="s">
        <v>30</v>
      </c>
      <c r="G603" t="s">
        <v>31</v>
      </c>
      <c r="H603" t="s">
        <v>17</v>
      </c>
      <c r="I603" t="s">
        <v>18</v>
      </c>
      <c r="J603" t="s">
        <v>19</v>
      </c>
      <c r="K603">
        <v>2112</v>
      </c>
      <c r="L603">
        <v>0</v>
      </c>
      <c r="M603" t="s">
        <v>20</v>
      </c>
      <c r="N603">
        <f>L603/500</f>
        <v>0</v>
      </c>
      <c r="P603">
        <f>K603/800</f>
        <v>2.64</v>
      </c>
    </row>
    <row r="604" spans="1:16" x14ac:dyDescent="0.35">
      <c r="A604">
        <v>780</v>
      </c>
      <c r="B604">
        <v>583006179</v>
      </c>
      <c r="C604">
        <v>37310</v>
      </c>
      <c r="D604" t="s">
        <v>29</v>
      </c>
      <c r="E604" t="s">
        <v>360</v>
      </c>
      <c r="F604" t="s">
        <v>30</v>
      </c>
      <c r="G604" t="s">
        <v>31</v>
      </c>
      <c r="H604" t="s">
        <v>17</v>
      </c>
      <c r="I604" t="s">
        <v>18</v>
      </c>
      <c r="J604" t="s">
        <v>19</v>
      </c>
      <c r="K604">
        <v>105</v>
      </c>
      <c r="L604">
        <v>0</v>
      </c>
      <c r="M604" t="s">
        <v>20</v>
      </c>
      <c r="N604">
        <f>L604/500</f>
        <v>0</v>
      </c>
      <c r="P604">
        <f>K604/800</f>
        <v>0.13125000000000001</v>
      </c>
    </row>
    <row r="605" spans="1:16" x14ac:dyDescent="0.35">
      <c r="A605">
        <v>781</v>
      </c>
      <c r="B605">
        <v>583006178</v>
      </c>
      <c r="C605">
        <v>37309</v>
      </c>
      <c r="D605" t="s">
        <v>29</v>
      </c>
      <c r="E605" t="s">
        <v>360</v>
      </c>
      <c r="F605" t="s">
        <v>30</v>
      </c>
      <c r="G605" t="s">
        <v>31</v>
      </c>
      <c r="H605" t="s">
        <v>17</v>
      </c>
      <c r="I605" t="s">
        <v>18</v>
      </c>
      <c r="J605" t="s">
        <v>19</v>
      </c>
      <c r="K605">
        <v>102</v>
      </c>
      <c r="L605">
        <v>0</v>
      </c>
      <c r="M605" t="s">
        <v>20</v>
      </c>
      <c r="N605">
        <f>L605/500</f>
        <v>0</v>
      </c>
      <c r="P605">
        <f>K605/800</f>
        <v>0.1275</v>
      </c>
    </row>
    <row r="606" spans="1:16" x14ac:dyDescent="0.35">
      <c r="A606">
        <v>782</v>
      </c>
      <c r="B606">
        <v>583006176</v>
      </c>
      <c r="C606">
        <v>37307</v>
      </c>
      <c r="D606" t="s">
        <v>29</v>
      </c>
      <c r="E606" t="s">
        <v>360</v>
      </c>
      <c r="F606" t="s">
        <v>30</v>
      </c>
      <c r="G606" t="s">
        <v>31</v>
      </c>
      <c r="H606" t="s">
        <v>17</v>
      </c>
      <c r="I606" t="s">
        <v>18</v>
      </c>
      <c r="J606" t="s">
        <v>19</v>
      </c>
      <c r="K606">
        <v>135</v>
      </c>
      <c r="L606">
        <v>0</v>
      </c>
      <c r="M606" t="s">
        <v>20</v>
      </c>
      <c r="N606">
        <f>L606/500</f>
        <v>0</v>
      </c>
      <c r="P606">
        <f>K606/800</f>
        <v>0.16875000000000001</v>
      </c>
    </row>
    <row r="607" spans="1:16" x14ac:dyDescent="0.35">
      <c r="A607">
        <v>783</v>
      </c>
      <c r="B607">
        <v>583006176</v>
      </c>
      <c r="C607">
        <v>37307</v>
      </c>
      <c r="D607" t="s">
        <v>29</v>
      </c>
      <c r="E607" t="s">
        <v>360</v>
      </c>
      <c r="F607" t="s">
        <v>30</v>
      </c>
      <c r="G607" t="s">
        <v>31</v>
      </c>
      <c r="H607" t="s">
        <v>17</v>
      </c>
      <c r="I607" t="s">
        <v>18</v>
      </c>
      <c r="J607" t="s">
        <v>19</v>
      </c>
      <c r="K607">
        <v>90</v>
      </c>
      <c r="L607">
        <v>0</v>
      </c>
      <c r="M607" t="s">
        <v>20</v>
      </c>
      <c r="N607">
        <f>L607/500</f>
        <v>0</v>
      </c>
      <c r="P607">
        <f>K607/800</f>
        <v>0.1125</v>
      </c>
    </row>
    <row r="608" spans="1:16" x14ac:dyDescent="0.35">
      <c r="A608">
        <v>784</v>
      </c>
      <c r="B608">
        <v>583006183</v>
      </c>
      <c r="C608">
        <v>37314</v>
      </c>
      <c r="D608" t="s">
        <v>29</v>
      </c>
      <c r="E608" t="s">
        <v>360</v>
      </c>
      <c r="F608" t="s">
        <v>30</v>
      </c>
      <c r="G608" t="s">
        <v>31</v>
      </c>
      <c r="H608" t="s">
        <v>17</v>
      </c>
      <c r="I608" t="s">
        <v>18</v>
      </c>
      <c r="J608" t="s">
        <v>19</v>
      </c>
      <c r="K608">
        <v>180</v>
      </c>
      <c r="L608">
        <v>0</v>
      </c>
      <c r="M608" t="s">
        <v>20</v>
      </c>
      <c r="N608">
        <f>L608/500</f>
        <v>0</v>
      </c>
      <c r="P608">
        <f>K608/800</f>
        <v>0.22500000000000001</v>
      </c>
    </row>
    <row r="609" spans="1:16" x14ac:dyDescent="0.35">
      <c r="A609">
        <v>788</v>
      </c>
      <c r="B609">
        <v>583006177</v>
      </c>
      <c r="C609">
        <v>37308</v>
      </c>
      <c r="D609" t="s">
        <v>29</v>
      </c>
      <c r="E609" t="s">
        <v>360</v>
      </c>
      <c r="F609" t="s">
        <v>30</v>
      </c>
      <c r="G609" t="s">
        <v>31</v>
      </c>
      <c r="H609" t="s">
        <v>17</v>
      </c>
      <c r="I609" t="s">
        <v>18</v>
      </c>
      <c r="J609" t="s">
        <v>19</v>
      </c>
      <c r="K609">
        <v>132</v>
      </c>
      <c r="L609">
        <v>0</v>
      </c>
      <c r="M609" t="s">
        <v>20</v>
      </c>
      <c r="N609">
        <f>L609/500</f>
        <v>0</v>
      </c>
      <c r="P609">
        <f>K609/800</f>
        <v>0.16500000000000001</v>
      </c>
    </row>
    <row r="610" spans="1:16" x14ac:dyDescent="0.35">
      <c r="A610">
        <v>793</v>
      </c>
      <c r="B610">
        <v>583006180</v>
      </c>
      <c r="C610">
        <v>37311</v>
      </c>
      <c r="D610" t="s">
        <v>29</v>
      </c>
      <c r="E610" t="s">
        <v>360</v>
      </c>
      <c r="F610" t="s">
        <v>30</v>
      </c>
      <c r="G610" t="s">
        <v>31</v>
      </c>
      <c r="H610" t="s">
        <v>17</v>
      </c>
      <c r="I610" t="s">
        <v>18</v>
      </c>
      <c r="J610" t="s">
        <v>19</v>
      </c>
      <c r="K610">
        <v>105</v>
      </c>
      <c r="L610">
        <v>0</v>
      </c>
      <c r="M610" t="s">
        <v>20</v>
      </c>
      <c r="N610">
        <f>L610/500</f>
        <v>0</v>
      </c>
      <c r="P610">
        <f>K610/800</f>
        <v>0.13125000000000001</v>
      </c>
    </row>
    <row r="611" spans="1:16" x14ac:dyDescent="0.35">
      <c r="A611">
        <v>797</v>
      </c>
      <c r="B611">
        <v>583006175</v>
      </c>
      <c r="C611">
        <v>37306</v>
      </c>
      <c r="D611" t="s">
        <v>29</v>
      </c>
      <c r="E611" t="s">
        <v>360</v>
      </c>
      <c r="F611" t="s">
        <v>30</v>
      </c>
      <c r="G611" t="s">
        <v>31</v>
      </c>
      <c r="H611" t="s">
        <v>17</v>
      </c>
      <c r="I611" t="s">
        <v>18</v>
      </c>
      <c r="J611" t="s">
        <v>19</v>
      </c>
      <c r="K611">
        <v>135</v>
      </c>
      <c r="L611">
        <v>0</v>
      </c>
      <c r="M611" t="s">
        <v>20</v>
      </c>
      <c r="N611">
        <f>L611/500</f>
        <v>0</v>
      </c>
      <c r="P611">
        <f>K611/800</f>
        <v>0.16875000000000001</v>
      </c>
    </row>
    <row r="612" spans="1:16" x14ac:dyDescent="0.35">
      <c r="A612">
        <v>798</v>
      </c>
      <c r="B612">
        <v>583006181</v>
      </c>
      <c r="C612">
        <v>37312</v>
      </c>
      <c r="D612" t="s">
        <v>29</v>
      </c>
      <c r="E612" t="s">
        <v>360</v>
      </c>
      <c r="F612" t="s">
        <v>30</v>
      </c>
      <c r="G612" t="s">
        <v>31</v>
      </c>
      <c r="H612" t="s">
        <v>17</v>
      </c>
      <c r="I612" t="s">
        <v>18</v>
      </c>
      <c r="J612" t="s">
        <v>19</v>
      </c>
      <c r="K612">
        <v>45</v>
      </c>
      <c r="L612">
        <v>0</v>
      </c>
      <c r="M612" t="s">
        <v>20</v>
      </c>
      <c r="N612">
        <f>L612/500</f>
        <v>0</v>
      </c>
      <c r="P612">
        <f>K612/800</f>
        <v>5.6250000000000001E-2</v>
      </c>
    </row>
    <row r="613" spans="1:16" x14ac:dyDescent="0.35">
      <c r="A613">
        <v>803</v>
      </c>
      <c r="B613">
        <v>583006181</v>
      </c>
      <c r="C613">
        <v>37312</v>
      </c>
      <c r="D613" t="s">
        <v>29</v>
      </c>
      <c r="E613" t="s">
        <v>360</v>
      </c>
      <c r="F613" t="s">
        <v>30</v>
      </c>
      <c r="G613" t="s">
        <v>31</v>
      </c>
      <c r="H613" t="s">
        <v>17</v>
      </c>
      <c r="I613" t="s">
        <v>18</v>
      </c>
      <c r="J613" t="s">
        <v>19</v>
      </c>
      <c r="K613">
        <v>45</v>
      </c>
      <c r="L613">
        <v>0</v>
      </c>
      <c r="M613" t="s">
        <v>20</v>
      </c>
      <c r="N613">
        <f>L613/500</f>
        <v>0</v>
      </c>
      <c r="P613">
        <f>K613/800</f>
        <v>5.6250000000000001E-2</v>
      </c>
    </row>
    <row r="614" spans="1:16" x14ac:dyDescent="0.35">
      <c r="A614">
        <v>804</v>
      </c>
      <c r="B614">
        <v>583006182</v>
      </c>
      <c r="C614">
        <v>37313</v>
      </c>
      <c r="D614" t="s">
        <v>29</v>
      </c>
      <c r="E614" t="s">
        <v>360</v>
      </c>
      <c r="F614" t="s">
        <v>30</v>
      </c>
      <c r="G614" t="s">
        <v>31</v>
      </c>
      <c r="H614" t="s">
        <v>17</v>
      </c>
      <c r="I614" t="s">
        <v>18</v>
      </c>
      <c r="J614" t="s">
        <v>19</v>
      </c>
      <c r="K614">
        <v>135</v>
      </c>
      <c r="L614">
        <v>0</v>
      </c>
      <c r="M614" t="s">
        <v>20</v>
      </c>
      <c r="N614">
        <f>L614/500</f>
        <v>0</v>
      </c>
      <c r="P614">
        <f>K614/800</f>
        <v>0.16875000000000001</v>
      </c>
    </row>
    <row r="615" spans="1:16" x14ac:dyDescent="0.35">
      <c r="A615">
        <v>823</v>
      </c>
      <c r="B615">
        <v>583006185</v>
      </c>
      <c r="C615">
        <v>37316</v>
      </c>
      <c r="D615" t="s">
        <v>29</v>
      </c>
      <c r="E615" t="s">
        <v>360</v>
      </c>
      <c r="F615" t="s">
        <v>30</v>
      </c>
      <c r="G615" t="s">
        <v>31</v>
      </c>
      <c r="H615" t="s">
        <v>17</v>
      </c>
      <c r="I615" t="s">
        <v>18</v>
      </c>
      <c r="J615" t="s">
        <v>19</v>
      </c>
      <c r="K615">
        <v>228</v>
      </c>
      <c r="L615">
        <v>0</v>
      </c>
      <c r="M615" t="s">
        <v>20</v>
      </c>
      <c r="N615">
        <f>L615/500</f>
        <v>0</v>
      </c>
      <c r="P615">
        <f>K615/800</f>
        <v>0.28499999999999998</v>
      </c>
    </row>
    <row r="616" spans="1:16" x14ac:dyDescent="0.35">
      <c r="A616">
        <v>841</v>
      </c>
      <c r="B616">
        <v>583006190</v>
      </c>
      <c r="C616">
        <v>37323</v>
      </c>
      <c r="D616" t="s">
        <v>29</v>
      </c>
      <c r="E616" t="s">
        <v>360</v>
      </c>
      <c r="F616" t="s">
        <v>30</v>
      </c>
      <c r="G616" t="s">
        <v>31</v>
      </c>
      <c r="H616" t="s">
        <v>17</v>
      </c>
      <c r="I616" t="s">
        <v>18</v>
      </c>
      <c r="J616" t="s">
        <v>19</v>
      </c>
      <c r="K616">
        <v>66</v>
      </c>
      <c r="L616">
        <v>0</v>
      </c>
      <c r="M616" t="s">
        <v>20</v>
      </c>
      <c r="N616">
        <f>L616/500</f>
        <v>0</v>
      </c>
      <c r="P616">
        <f>K616/800</f>
        <v>8.2500000000000004E-2</v>
      </c>
    </row>
    <row r="617" spans="1:16" x14ac:dyDescent="0.35">
      <c r="A617">
        <v>842</v>
      </c>
      <c r="B617">
        <v>583006189</v>
      </c>
      <c r="C617">
        <v>37321</v>
      </c>
      <c r="D617" t="s">
        <v>29</v>
      </c>
      <c r="E617" t="s">
        <v>360</v>
      </c>
      <c r="F617" t="s">
        <v>30</v>
      </c>
      <c r="G617" t="s">
        <v>31</v>
      </c>
      <c r="H617" t="s">
        <v>17</v>
      </c>
      <c r="I617" t="s">
        <v>18</v>
      </c>
      <c r="J617" t="s">
        <v>19</v>
      </c>
      <c r="K617">
        <v>36</v>
      </c>
      <c r="L617">
        <v>0</v>
      </c>
      <c r="M617" t="s">
        <v>20</v>
      </c>
      <c r="N617">
        <f>L617/500</f>
        <v>0</v>
      </c>
      <c r="P617">
        <f>K617/800</f>
        <v>4.4999999999999998E-2</v>
      </c>
    </row>
    <row r="618" spans="1:16" x14ac:dyDescent="0.35">
      <c r="A618">
        <v>844</v>
      </c>
      <c r="B618">
        <v>583006195</v>
      </c>
      <c r="C618">
        <v>37328</v>
      </c>
      <c r="D618" t="s">
        <v>29</v>
      </c>
      <c r="E618" t="s">
        <v>360</v>
      </c>
      <c r="F618" t="s">
        <v>30</v>
      </c>
      <c r="G618" t="s">
        <v>31</v>
      </c>
      <c r="H618" t="s">
        <v>17</v>
      </c>
      <c r="I618" t="s">
        <v>18</v>
      </c>
      <c r="J618" t="s">
        <v>19</v>
      </c>
      <c r="K618">
        <v>45</v>
      </c>
      <c r="L618">
        <v>0</v>
      </c>
      <c r="M618" t="s">
        <v>20</v>
      </c>
      <c r="N618">
        <f>L618/500</f>
        <v>0</v>
      </c>
      <c r="P618">
        <f>K618/800</f>
        <v>5.6250000000000001E-2</v>
      </c>
    </row>
    <row r="619" spans="1:16" x14ac:dyDescent="0.35">
      <c r="A619">
        <v>847</v>
      </c>
      <c r="B619">
        <v>583006193</v>
      </c>
      <c r="C619">
        <v>37326</v>
      </c>
      <c r="D619" t="s">
        <v>29</v>
      </c>
      <c r="E619" t="s">
        <v>360</v>
      </c>
      <c r="F619" t="s">
        <v>30</v>
      </c>
      <c r="G619" t="s">
        <v>31</v>
      </c>
      <c r="H619" t="s">
        <v>17</v>
      </c>
      <c r="I619" t="s">
        <v>18</v>
      </c>
      <c r="J619" t="s">
        <v>19</v>
      </c>
      <c r="K619">
        <v>15</v>
      </c>
      <c r="L619">
        <v>0</v>
      </c>
      <c r="M619" t="s">
        <v>20</v>
      </c>
      <c r="N619">
        <f>L619/500</f>
        <v>0</v>
      </c>
      <c r="P619">
        <f>K619/800</f>
        <v>1.8749999999999999E-2</v>
      </c>
    </row>
    <row r="620" spans="1:16" x14ac:dyDescent="0.35">
      <c r="A620">
        <v>855</v>
      </c>
      <c r="B620">
        <v>583006194</v>
      </c>
      <c r="C620">
        <v>37327</v>
      </c>
      <c r="D620" t="s">
        <v>29</v>
      </c>
      <c r="E620" t="s">
        <v>360</v>
      </c>
      <c r="F620" t="s">
        <v>30</v>
      </c>
      <c r="G620" t="s">
        <v>31</v>
      </c>
      <c r="H620" t="s">
        <v>17</v>
      </c>
      <c r="I620" t="s">
        <v>18</v>
      </c>
      <c r="J620" t="s">
        <v>19</v>
      </c>
      <c r="K620">
        <v>96</v>
      </c>
      <c r="L620">
        <v>0</v>
      </c>
      <c r="M620" t="s">
        <v>20</v>
      </c>
      <c r="N620">
        <f>L620/500</f>
        <v>0</v>
      </c>
      <c r="P620">
        <f>K620/800</f>
        <v>0.12</v>
      </c>
    </row>
    <row r="621" spans="1:16" x14ac:dyDescent="0.35">
      <c r="A621">
        <v>863</v>
      </c>
      <c r="B621">
        <v>583006188</v>
      </c>
      <c r="C621">
        <v>37320</v>
      </c>
      <c r="D621" t="s">
        <v>29</v>
      </c>
      <c r="E621" t="s">
        <v>360</v>
      </c>
      <c r="F621" t="s">
        <v>30</v>
      </c>
      <c r="G621" t="s">
        <v>31</v>
      </c>
      <c r="H621" t="s">
        <v>17</v>
      </c>
      <c r="I621" t="s">
        <v>18</v>
      </c>
      <c r="J621" t="s">
        <v>19</v>
      </c>
      <c r="K621">
        <v>60</v>
      </c>
      <c r="L621">
        <v>0</v>
      </c>
      <c r="M621" t="s">
        <v>20</v>
      </c>
      <c r="N621">
        <f>L621/500</f>
        <v>0</v>
      </c>
      <c r="P621">
        <f>K621/800</f>
        <v>7.4999999999999997E-2</v>
      </c>
    </row>
    <row r="622" spans="1:16" x14ac:dyDescent="0.35">
      <c r="A622">
        <v>864</v>
      </c>
      <c r="B622">
        <v>583006187</v>
      </c>
      <c r="C622">
        <v>37319</v>
      </c>
      <c r="D622" t="s">
        <v>29</v>
      </c>
      <c r="E622" t="s">
        <v>360</v>
      </c>
      <c r="F622" t="s">
        <v>30</v>
      </c>
      <c r="G622" t="s">
        <v>31</v>
      </c>
      <c r="H622" t="s">
        <v>17</v>
      </c>
      <c r="I622" t="s">
        <v>18</v>
      </c>
      <c r="J622" t="s">
        <v>19</v>
      </c>
      <c r="K622">
        <v>90</v>
      </c>
      <c r="L622">
        <v>0</v>
      </c>
      <c r="M622" t="s">
        <v>20</v>
      </c>
      <c r="N622">
        <f>L622/500</f>
        <v>0</v>
      </c>
      <c r="P622">
        <f>K622/800</f>
        <v>0.1125</v>
      </c>
    </row>
    <row r="623" spans="1:16" x14ac:dyDescent="0.35">
      <c r="A623">
        <v>865</v>
      </c>
      <c r="B623">
        <v>583006186</v>
      </c>
      <c r="C623">
        <v>37318</v>
      </c>
      <c r="D623" t="s">
        <v>29</v>
      </c>
      <c r="E623" t="s">
        <v>360</v>
      </c>
      <c r="F623" t="s">
        <v>30</v>
      </c>
      <c r="G623" t="s">
        <v>31</v>
      </c>
      <c r="H623" t="s">
        <v>17</v>
      </c>
      <c r="I623" t="s">
        <v>18</v>
      </c>
      <c r="J623" t="s">
        <v>19</v>
      </c>
      <c r="K623">
        <v>72</v>
      </c>
      <c r="L623">
        <v>0</v>
      </c>
      <c r="M623" t="s">
        <v>20</v>
      </c>
      <c r="N623">
        <f>L623/500</f>
        <v>0</v>
      </c>
      <c r="P623">
        <f>K623/800</f>
        <v>0.09</v>
      </c>
    </row>
    <row r="624" spans="1:16" x14ac:dyDescent="0.35">
      <c r="A624">
        <v>866</v>
      </c>
      <c r="B624">
        <v>583006192</v>
      </c>
      <c r="C624">
        <v>37325</v>
      </c>
      <c r="D624" t="s">
        <v>29</v>
      </c>
      <c r="E624" t="s">
        <v>360</v>
      </c>
      <c r="F624" t="s">
        <v>30</v>
      </c>
      <c r="G624" t="s">
        <v>31</v>
      </c>
      <c r="H624" t="s">
        <v>17</v>
      </c>
      <c r="I624" t="s">
        <v>18</v>
      </c>
      <c r="J624" t="s">
        <v>19</v>
      </c>
      <c r="K624">
        <v>180</v>
      </c>
      <c r="L624">
        <v>0</v>
      </c>
      <c r="M624" t="s">
        <v>20</v>
      </c>
      <c r="N624">
        <f>L624/500</f>
        <v>0</v>
      </c>
      <c r="P624">
        <f>K624/800</f>
        <v>0.22500000000000001</v>
      </c>
    </row>
    <row r="625" spans="1:16" x14ac:dyDescent="0.35">
      <c r="A625">
        <v>988</v>
      </c>
      <c r="B625">
        <v>583006314</v>
      </c>
      <c r="C625">
        <v>37488</v>
      </c>
      <c r="D625" t="s">
        <v>29</v>
      </c>
      <c r="E625" t="s">
        <v>386</v>
      </c>
      <c r="F625" t="s">
        <v>30</v>
      </c>
      <c r="G625" t="s">
        <v>31</v>
      </c>
      <c r="H625" t="s">
        <v>17</v>
      </c>
      <c r="I625" t="s">
        <v>18</v>
      </c>
      <c r="J625" t="s">
        <v>19</v>
      </c>
      <c r="K625">
        <v>36</v>
      </c>
      <c r="L625">
        <v>0</v>
      </c>
      <c r="M625" t="s">
        <v>20</v>
      </c>
      <c r="N625">
        <f>L625/500</f>
        <v>0</v>
      </c>
      <c r="P625">
        <f>K625/800</f>
        <v>4.4999999999999998E-2</v>
      </c>
    </row>
    <row r="626" spans="1:16" x14ac:dyDescent="0.35">
      <c r="A626">
        <v>1041</v>
      </c>
      <c r="B626">
        <v>583006442</v>
      </c>
      <c r="C626">
        <v>37655</v>
      </c>
      <c r="D626" t="s">
        <v>29</v>
      </c>
      <c r="E626" t="s">
        <v>393</v>
      </c>
      <c r="F626" t="s">
        <v>30</v>
      </c>
      <c r="G626" t="s">
        <v>31</v>
      </c>
      <c r="H626" t="s">
        <v>17</v>
      </c>
      <c r="I626" t="s">
        <v>18</v>
      </c>
      <c r="J626" t="s">
        <v>19</v>
      </c>
      <c r="K626">
        <v>2385</v>
      </c>
      <c r="L626">
        <v>0</v>
      </c>
      <c r="M626" t="s">
        <v>20</v>
      </c>
      <c r="N626">
        <f>L626/500</f>
        <v>0</v>
      </c>
      <c r="P626">
        <f>K626/800</f>
        <v>2.9812500000000002</v>
      </c>
    </row>
    <row r="627" spans="1:16" x14ac:dyDescent="0.35">
      <c r="A627">
        <v>1042</v>
      </c>
      <c r="B627">
        <v>583006442</v>
      </c>
      <c r="C627">
        <v>37655</v>
      </c>
      <c r="D627" t="s">
        <v>29</v>
      </c>
      <c r="E627" t="s">
        <v>393</v>
      </c>
      <c r="F627" t="s">
        <v>30</v>
      </c>
      <c r="G627" t="s">
        <v>31</v>
      </c>
      <c r="H627" t="s">
        <v>17</v>
      </c>
      <c r="I627" t="s">
        <v>18</v>
      </c>
      <c r="J627" t="s">
        <v>19</v>
      </c>
      <c r="K627">
        <v>219</v>
      </c>
      <c r="L627">
        <v>0</v>
      </c>
      <c r="M627" t="s">
        <v>20</v>
      </c>
      <c r="N627">
        <f>L627/500</f>
        <v>0</v>
      </c>
      <c r="P627">
        <f>K627/800</f>
        <v>0.27374999999999999</v>
      </c>
    </row>
    <row r="628" spans="1:16" x14ac:dyDescent="0.35">
      <c r="A628">
        <v>1043</v>
      </c>
      <c r="B628">
        <v>583006442</v>
      </c>
      <c r="C628">
        <v>37655</v>
      </c>
      <c r="D628" t="s">
        <v>29</v>
      </c>
      <c r="E628" t="s">
        <v>393</v>
      </c>
      <c r="F628" t="s">
        <v>30</v>
      </c>
      <c r="G628" t="s">
        <v>31</v>
      </c>
      <c r="H628" t="s">
        <v>17</v>
      </c>
      <c r="I628" t="s">
        <v>18</v>
      </c>
      <c r="J628" t="s">
        <v>19</v>
      </c>
      <c r="K628">
        <v>675</v>
      </c>
      <c r="L628">
        <v>0</v>
      </c>
      <c r="M628" t="s">
        <v>20</v>
      </c>
      <c r="N628">
        <f>L628/500</f>
        <v>0</v>
      </c>
      <c r="P628">
        <f>K628/800</f>
        <v>0.84375</v>
      </c>
    </row>
    <row r="629" spans="1:16" x14ac:dyDescent="0.35">
      <c r="A629">
        <v>1447</v>
      </c>
      <c r="B629">
        <v>583006932</v>
      </c>
      <c r="C629">
        <v>38325</v>
      </c>
      <c r="D629" t="s">
        <v>29</v>
      </c>
      <c r="E629" t="s">
        <v>451</v>
      </c>
      <c r="F629" t="s">
        <v>30</v>
      </c>
      <c r="G629" t="s">
        <v>31</v>
      </c>
      <c r="H629" t="s">
        <v>17</v>
      </c>
      <c r="I629" t="s">
        <v>18</v>
      </c>
      <c r="J629" t="s">
        <v>19</v>
      </c>
      <c r="K629">
        <v>30</v>
      </c>
      <c r="L629">
        <v>0</v>
      </c>
      <c r="M629" t="s">
        <v>20</v>
      </c>
      <c r="N629">
        <f>L629/500</f>
        <v>0</v>
      </c>
      <c r="P629">
        <f>K629/800</f>
        <v>3.7499999999999999E-2</v>
      </c>
    </row>
    <row r="630" spans="1:16" x14ac:dyDescent="0.35">
      <c r="A630">
        <v>80</v>
      </c>
      <c r="B630">
        <v>583005176</v>
      </c>
      <c r="C630">
        <v>35914</v>
      </c>
      <c r="D630" t="s">
        <v>129</v>
      </c>
      <c r="E630" t="s">
        <v>126</v>
      </c>
      <c r="F630" t="s">
        <v>130</v>
      </c>
      <c r="G630" t="s">
        <v>131</v>
      </c>
      <c r="H630" t="s">
        <v>17</v>
      </c>
      <c r="I630" t="s">
        <v>18</v>
      </c>
      <c r="J630" t="s">
        <v>19</v>
      </c>
      <c r="K630">
        <v>24</v>
      </c>
      <c r="L630">
        <v>0</v>
      </c>
      <c r="M630" t="s">
        <v>20</v>
      </c>
      <c r="N630">
        <f>L630/500</f>
        <v>0</v>
      </c>
      <c r="P630">
        <f>K630/800</f>
        <v>0.03</v>
      </c>
    </row>
    <row r="631" spans="1:16" x14ac:dyDescent="0.35">
      <c r="A631">
        <v>81</v>
      </c>
      <c r="B631">
        <v>583005175</v>
      </c>
      <c r="C631">
        <v>35913</v>
      </c>
      <c r="D631" t="s">
        <v>129</v>
      </c>
      <c r="E631" t="s">
        <v>126</v>
      </c>
      <c r="F631" t="s">
        <v>130</v>
      </c>
      <c r="G631" t="s">
        <v>131</v>
      </c>
      <c r="H631" t="s">
        <v>17</v>
      </c>
      <c r="I631" t="s">
        <v>18</v>
      </c>
      <c r="J631" t="s">
        <v>19</v>
      </c>
      <c r="K631">
        <v>90</v>
      </c>
      <c r="L631">
        <v>0</v>
      </c>
      <c r="M631" t="s">
        <v>20</v>
      </c>
      <c r="N631">
        <f>L631/500</f>
        <v>0</v>
      </c>
      <c r="P631">
        <f>K631/800</f>
        <v>0.1125</v>
      </c>
    </row>
    <row r="632" spans="1:16" x14ac:dyDescent="0.35">
      <c r="A632">
        <v>263</v>
      </c>
      <c r="B632">
        <v>583005375</v>
      </c>
      <c r="C632">
        <v>36196</v>
      </c>
      <c r="D632" t="s">
        <v>129</v>
      </c>
      <c r="E632" t="s">
        <v>237</v>
      </c>
      <c r="F632" t="s">
        <v>130</v>
      </c>
      <c r="G632" t="s">
        <v>131</v>
      </c>
      <c r="H632" t="s">
        <v>17</v>
      </c>
      <c r="I632" t="s">
        <v>18</v>
      </c>
      <c r="J632" t="s">
        <v>19</v>
      </c>
      <c r="K632">
        <v>36</v>
      </c>
      <c r="L632">
        <v>0</v>
      </c>
      <c r="M632" t="s">
        <v>20</v>
      </c>
      <c r="N632">
        <f>L632/500</f>
        <v>0</v>
      </c>
      <c r="P632">
        <f>K632/800</f>
        <v>4.4999999999999998E-2</v>
      </c>
    </row>
    <row r="633" spans="1:16" x14ac:dyDescent="0.35">
      <c r="A633">
        <v>354</v>
      </c>
      <c r="B633">
        <v>583005477</v>
      </c>
      <c r="C633">
        <v>36335</v>
      </c>
      <c r="D633" t="s">
        <v>129</v>
      </c>
      <c r="E633" t="s">
        <v>266</v>
      </c>
      <c r="F633" t="s">
        <v>130</v>
      </c>
      <c r="G633" t="s">
        <v>131</v>
      </c>
      <c r="H633" t="s">
        <v>17</v>
      </c>
      <c r="I633" t="s">
        <v>18</v>
      </c>
      <c r="J633" t="s">
        <v>19</v>
      </c>
      <c r="K633">
        <v>90</v>
      </c>
      <c r="L633">
        <v>0</v>
      </c>
      <c r="M633" t="s">
        <v>20</v>
      </c>
      <c r="N633">
        <f>L633/500</f>
        <v>0</v>
      </c>
      <c r="P633">
        <f>K633/800</f>
        <v>0.1125</v>
      </c>
    </row>
    <row r="634" spans="1:16" x14ac:dyDescent="0.35">
      <c r="A634">
        <v>368</v>
      </c>
      <c r="B634">
        <v>583005477</v>
      </c>
      <c r="C634">
        <v>36335</v>
      </c>
      <c r="D634" t="s">
        <v>129</v>
      </c>
      <c r="E634" t="s">
        <v>266</v>
      </c>
      <c r="F634" t="s">
        <v>130</v>
      </c>
      <c r="G634" t="s">
        <v>131</v>
      </c>
      <c r="H634" t="s">
        <v>17</v>
      </c>
      <c r="I634" t="s">
        <v>18</v>
      </c>
      <c r="J634" t="s">
        <v>19</v>
      </c>
      <c r="K634">
        <v>90</v>
      </c>
      <c r="L634">
        <v>0</v>
      </c>
      <c r="M634" t="s">
        <v>20</v>
      </c>
      <c r="N634">
        <f>L634/500</f>
        <v>0</v>
      </c>
      <c r="P634">
        <f>K634/800</f>
        <v>0.1125</v>
      </c>
    </row>
    <row r="635" spans="1:16" x14ac:dyDescent="0.35">
      <c r="A635">
        <v>471</v>
      </c>
      <c r="B635">
        <v>583005722</v>
      </c>
      <c r="C635">
        <v>36678</v>
      </c>
      <c r="D635" t="s">
        <v>129</v>
      </c>
      <c r="E635" t="s">
        <v>300</v>
      </c>
      <c r="F635" t="s">
        <v>130</v>
      </c>
      <c r="G635" t="s">
        <v>131</v>
      </c>
      <c r="H635" t="s">
        <v>17</v>
      </c>
      <c r="I635" t="s">
        <v>18</v>
      </c>
      <c r="J635" t="s">
        <v>19</v>
      </c>
      <c r="K635">
        <v>45</v>
      </c>
      <c r="L635">
        <v>0</v>
      </c>
      <c r="M635" t="s">
        <v>20</v>
      </c>
      <c r="N635">
        <f>L635/500</f>
        <v>0</v>
      </c>
      <c r="P635">
        <f>K635/800</f>
        <v>5.6250000000000001E-2</v>
      </c>
    </row>
    <row r="636" spans="1:16" x14ac:dyDescent="0.35">
      <c r="A636">
        <v>578</v>
      </c>
      <c r="B636">
        <v>583005828</v>
      </c>
      <c r="C636">
        <v>36835</v>
      </c>
      <c r="D636" t="s">
        <v>129</v>
      </c>
      <c r="E636" t="s">
        <v>318</v>
      </c>
      <c r="F636" t="s">
        <v>130</v>
      </c>
      <c r="G636" t="s">
        <v>131</v>
      </c>
      <c r="H636" t="s">
        <v>17</v>
      </c>
      <c r="I636" t="s">
        <v>18</v>
      </c>
      <c r="J636" t="s">
        <v>19</v>
      </c>
      <c r="K636">
        <v>45</v>
      </c>
      <c r="L636">
        <v>0</v>
      </c>
      <c r="M636" t="s">
        <v>20</v>
      </c>
      <c r="N636">
        <f>L636/500</f>
        <v>0</v>
      </c>
      <c r="P636">
        <f>K636/800</f>
        <v>5.6250000000000001E-2</v>
      </c>
    </row>
    <row r="637" spans="1:16" x14ac:dyDescent="0.35">
      <c r="A637">
        <v>915</v>
      </c>
      <c r="B637">
        <v>583006220</v>
      </c>
      <c r="C637">
        <v>37359</v>
      </c>
      <c r="D637" t="s">
        <v>129</v>
      </c>
      <c r="E637" t="s">
        <v>367</v>
      </c>
      <c r="F637" t="s">
        <v>130</v>
      </c>
      <c r="G637" t="s">
        <v>131</v>
      </c>
      <c r="H637" t="s">
        <v>17</v>
      </c>
      <c r="I637" t="s">
        <v>18</v>
      </c>
      <c r="J637" t="s">
        <v>19</v>
      </c>
      <c r="K637">
        <v>72</v>
      </c>
      <c r="L637">
        <v>0</v>
      </c>
      <c r="M637" t="s">
        <v>20</v>
      </c>
      <c r="N637">
        <f>L637/500</f>
        <v>0</v>
      </c>
      <c r="P637">
        <f>K637/800</f>
        <v>0.09</v>
      </c>
    </row>
    <row r="638" spans="1:16" x14ac:dyDescent="0.35">
      <c r="A638">
        <v>991</v>
      </c>
      <c r="B638">
        <v>583006307</v>
      </c>
      <c r="C638">
        <v>37479</v>
      </c>
      <c r="D638" t="s">
        <v>129</v>
      </c>
      <c r="E638" t="s">
        <v>386</v>
      </c>
      <c r="F638" t="s">
        <v>130</v>
      </c>
      <c r="G638" t="s">
        <v>131</v>
      </c>
      <c r="H638" t="s">
        <v>17</v>
      </c>
      <c r="I638" t="s">
        <v>18</v>
      </c>
      <c r="J638" t="s">
        <v>19</v>
      </c>
      <c r="K638">
        <v>36</v>
      </c>
      <c r="L638">
        <v>0</v>
      </c>
      <c r="M638" t="s">
        <v>20</v>
      </c>
      <c r="N638">
        <f>L638/500</f>
        <v>0</v>
      </c>
      <c r="P638">
        <f>K638/800</f>
        <v>4.4999999999999998E-2</v>
      </c>
    </row>
    <row r="639" spans="1:16" x14ac:dyDescent="0.35">
      <c r="A639">
        <v>1170</v>
      </c>
      <c r="B639">
        <v>583006579</v>
      </c>
      <c r="C639">
        <v>37841</v>
      </c>
      <c r="D639" t="s">
        <v>129</v>
      </c>
      <c r="E639" t="s">
        <v>413</v>
      </c>
      <c r="F639" t="s">
        <v>130</v>
      </c>
      <c r="G639" t="s">
        <v>131</v>
      </c>
      <c r="H639" t="s">
        <v>17</v>
      </c>
      <c r="I639" t="s">
        <v>18</v>
      </c>
      <c r="J639" t="s">
        <v>19</v>
      </c>
      <c r="K639">
        <v>45</v>
      </c>
      <c r="L639">
        <v>0</v>
      </c>
      <c r="M639" t="s">
        <v>20</v>
      </c>
      <c r="N639">
        <f>L639/500</f>
        <v>0</v>
      </c>
      <c r="P639">
        <f>K639/800</f>
        <v>5.6250000000000001E-2</v>
      </c>
    </row>
    <row r="640" spans="1:16" x14ac:dyDescent="0.35">
      <c r="A640">
        <v>1187</v>
      </c>
      <c r="B640">
        <v>583006580</v>
      </c>
      <c r="C640">
        <v>37842</v>
      </c>
      <c r="D640" t="s">
        <v>129</v>
      </c>
      <c r="E640" t="s">
        <v>413</v>
      </c>
      <c r="F640" t="s">
        <v>130</v>
      </c>
      <c r="G640" t="s">
        <v>131</v>
      </c>
      <c r="H640" t="s">
        <v>17</v>
      </c>
      <c r="I640" t="s">
        <v>18</v>
      </c>
      <c r="J640" t="s">
        <v>19</v>
      </c>
      <c r="K640">
        <v>45</v>
      </c>
      <c r="L640">
        <v>0</v>
      </c>
      <c r="M640" t="s">
        <v>20</v>
      </c>
      <c r="N640">
        <f>L640/500</f>
        <v>0</v>
      </c>
      <c r="P640">
        <f>K640/800</f>
        <v>5.6250000000000001E-2</v>
      </c>
    </row>
    <row r="641" spans="1:16" x14ac:dyDescent="0.35">
      <c r="A641">
        <v>1426</v>
      </c>
      <c r="B641">
        <v>583006847</v>
      </c>
      <c r="C641">
        <v>38214</v>
      </c>
      <c r="D641" t="s">
        <v>129</v>
      </c>
      <c r="E641" t="s">
        <v>444</v>
      </c>
      <c r="F641" t="s">
        <v>130</v>
      </c>
      <c r="G641" t="s">
        <v>131</v>
      </c>
      <c r="H641" t="s">
        <v>17</v>
      </c>
      <c r="I641" t="s">
        <v>18</v>
      </c>
      <c r="J641" t="s">
        <v>19</v>
      </c>
      <c r="K641">
        <v>36</v>
      </c>
      <c r="L641">
        <v>0</v>
      </c>
      <c r="M641" t="s">
        <v>20</v>
      </c>
      <c r="N641">
        <f>L641/500</f>
        <v>0</v>
      </c>
      <c r="P641">
        <f>K641/800</f>
        <v>4.4999999999999998E-2</v>
      </c>
    </row>
    <row r="642" spans="1:16" x14ac:dyDescent="0.35">
      <c r="A642">
        <v>1301</v>
      </c>
      <c r="B642">
        <v>583006811</v>
      </c>
      <c r="C642">
        <v>38158</v>
      </c>
      <c r="D642" t="s">
        <v>435</v>
      </c>
      <c r="E642" t="s">
        <v>434</v>
      </c>
      <c r="F642" t="s">
        <v>436</v>
      </c>
      <c r="G642" t="s">
        <v>437</v>
      </c>
      <c r="H642" t="s">
        <v>17</v>
      </c>
      <c r="I642" t="s">
        <v>18</v>
      </c>
      <c r="J642" t="s">
        <v>19</v>
      </c>
      <c r="K642">
        <v>9</v>
      </c>
      <c r="L642">
        <v>0</v>
      </c>
      <c r="M642" t="s">
        <v>20</v>
      </c>
      <c r="N642">
        <f>L642/500</f>
        <v>0</v>
      </c>
      <c r="P642">
        <f>K642/800</f>
        <v>1.125E-2</v>
      </c>
    </row>
    <row r="643" spans="1:16" x14ac:dyDescent="0.35">
      <c r="A643">
        <v>143</v>
      </c>
      <c r="B643">
        <v>583005194</v>
      </c>
      <c r="C643">
        <v>35945</v>
      </c>
      <c r="D643" t="s">
        <v>184</v>
      </c>
      <c r="E643" t="s">
        <v>177</v>
      </c>
      <c r="F643" t="s">
        <v>185</v>
      </c>
      <c r="G643" t="s">
        <v>186</v>
      </c>
      <c r="H643" t="s">
        <v>17</v>
      </c>
      <c r="I643" t="s">
        <v>18</v>
      </c>
      <c r="J643" t="s">
        <v>19</v>
      </c>
      <c r="K643">
        <v>144</v>
      </c>
      <c r="L643">
        <v>0</v>
      </c>
      <c r="M643" t="s">
        <v>20</v>
      </c>
      <c r="N643">
        <f>L643/500</f>
        <v>0</v>
      </c>
      <c r="P643">
        <f>K643/800</f>
        <v>0.18</v>
      </c>
    </row>
    <row r="644" spans="1:16" x14ac:dyDescent="0.35">
      <c r="A644">
        <v>144</v>
      </c>
      <c r="B644">
        <v>583005194</v>
      </c>
      <c r="C644">
        <v>35945</v>
      </c>
      <c r="D644" t="s">
        <v>184</v>
      </c>
      <c r="E644" t="s">
        <v>177</v>
      </c>
      <c r="F644" t="s">
        <v>185</v>
      </c>
      <c r="G644" t="s">
        <v>186</v>
      </c>
      <c r="H644" t="s">
        <v>17</v>
      </c>
      <c r="I644" t="s">
        <v>18</v>
      </c>
      <c r="J644" t="s">
        <v>19</v>
      </c>
      <c r="K644">
        <v>1275</v>
      </c>
      <c r="L644">
        <v>0</v>
      </c>
      <c r="M644" t="s">
        <v>20</v>
      </c>
      <c r="N644">
        <f>L644/500</f>
        <v>0</v>
      </c>
      <c r="P644">
        <f>K644/800</f>
        <v>1.59375</v>
      </c>
    </row>
    <row r="645" spans="1:16" x14ac:dyDescent="0.35">
      <c r="A645">
        <v>145</v>
      </c>
      <c r="B645">
        <v>583005194</v>
      </c>
      <c r="C645">
        <v>35945</v>
      </c>
      <c r="D645" t="s">
        <v>184</v>
      </c>
      <c r="E645" t="s">
        <v>177</v>
      </c>
      <c r="F645" t="s">
        <v>185</v>
      </c>
      <c r="G645" t="s">
        <v>186</v>
      </c>
      <c r="H645" t="s">
        <v>17</v>
      </c>
      <c r="I645" t="s">
        <v>18</v>
      </c>
      <c r="J645" t="s">
        <v>19</v>
      </c>
      <c r="K645">
        <v>468</v>
      </c>
      <c r="L645">
        <v>0</v>
      </c>
      <c r="M645" t="s">
        <v>20</v>
      </c>
      <c r="N645">
        <f>L645/500</f>
        <v>0</v>
      </c>
      <c r="P645">
        <f>K645/800</f>
        <v>0.58499999999999996</v>
      </c>
    </row>
    <row r="646" spans="1:16" x14ac:dyDescent="0.35">
      <c r="A646">
        <v>478</v>
      </c>
      <c r="B646">
        <v>583005696</v>
      </c>
      <c r="C646">
        <v>36652</v>
      </c>
      <c r="D646" t="s">
        <v>184</v>
      </c>
      <c r="E646" t="s">
        <v>300</v>
      </c>
      <c r="F646" t="s">
        <v>185</v>
      </c>
      <c r="G646" t="s">
        <v>186</v>
      </c>
      <c r="H646" t="s">
        <v>17</v>
      </c>
      <c r="I646" t="s">
        <v>18</v>
      </c>
      <c r="J646" t="s">
        <v>19</v>
      </c>
      <c r="K646">
        <v>300</v>
      </c>
      <c r="L646">
        <v>0</v>
      </c>
      <c r="M646" t="s">
        <v>20</v>
      </c>
      <c r="N646">
        <f>L646/500</f>
        <v>0</v>
      </c>
      <c r="P646">
        <f>K646/800</f>
        <v>0.375</v>
      </c>
    </row>
    <row r="647" spans="1:16" x14ac:dyDescent="0.35">
      <c r="A647">
        <v>517</v>
      </c>
      <c r="B647">
        <v>583005697</v>
      </c>
      <c r="C647">
        <v>36653</v>
      </c>
      <c r="D647" t="s">
        <v>184</v>
      </c>
      <c r="E647" t="s">
        <v>300</v>
      </c>
      <c r="F647" t="s">
        <v>185</v>
      </c>
      <c r="G647" t="s">
        <v>186</v>
      </c>
      <c r="H647" t="s">
        <v>17</v>
      </c>
      <c r="I647" t="s">
        <v>18</v>
      </c>
      <c r="J647" t="s">
        <v>19</v>
      </c>
      <c r="K647">
        <v>36</v>
      </c>
      <c r="L647">
        <v>0</v>
      </c>
      <c r="M647" t="s">
        <v>20</v>
      </c>
      <c r="N647">
        <f>L647/500</f>
        <v>0</v>
      </c>
      <c r="P647">
        <f>K647/800</f>
        <v>4.4999999999999998E-2</v>
      </c>
    </row>
    <row r="648" spans="1:16" x14ac:dyDescent="0.35">
      <c r="A648">
        <v>732</v>
      </c>
      <c r="B648">
        <v>583006097</v>
      </c>
      <c r="C648">
        <v>37201</v>
      </c>
      <c r="D648" t="s">
        <v>184</v>
      </c>
      <c r="E648" t="s">
        <v>347</v>
      </c>
      <c r="F648" t="s">
        <v>185</v>
      </c>
      <c r="G648" t="s">
        <v>186</v>
      </c>
      <c r="H648" t="s">
        <v>17</v>
      </c>
      <c r="I648" t="s">
        <v>18</v>
      </c>
      <c r="J648" t="s">
        <v>19</v>
      </c>
      <c r="K648">
        <v>411</v>
      </c>
      <c r="L648">
        <v>0</v>
      </c>
      <c r="M648" t="s">
        <v>20</v>
      </c>
      <c r="N648">
        <f>L648/500</f>
        <v>0</v>
      </c>
      <c r="P648">
        <f>K648/800</f>
        <v>0.51375000000000004</v>
      </c>
    </row>
    <row r="649" spans="1:16" x14ac:dyDescent="0.35">
      <c r="A649">
        <v>734</v>
      </c>
      <c r="B649">
        <v>583006097</v>
      </c>
      <c r="C649">
        <v>37201</v>
      </c>
      <c r="D649" t="s">
        <v>184</v>
      </c>
      <c r="E649" t="s">
        <v>347</v>
      </c>
      <c r="F649" t="s">
        <v>185</v>
      </c>
      <c r="G649" t="s">
        <v>186</v>
      </c>
      <c r="H649" t="s">
        <v>17</v>
      </c>
      <c r="I649" t="s">
        <v>18</v>
      </c>
      <c r="J649" t="s">
        <v>19</v>
      </c>
      <c r="K649">
        <v>2802</v>
      </c>
      <c r="L649">
        <v>0</v>
      </c>
      <c r="M649" t="s">
        <v>20</v>
      </c>
      <c r="N649">
        <f>L649/500</f>
        <v>0</v>
      </c>
      <c r="P649">
        <f>K649/800</f>
        <v>3.5024999999999999</v>
      </c>
    </row>
    <row r="650" spans="1:16" x14ac:dyDescent="0.35">
      <c r="A650">
        <v>735</v>
      </c>
      <c r="B650">
        <v>583006097</v>
      </c>
      <c r="C650">
        <v>37201</v>
      </c>
      <c r="D650" t="s">
        <v>184</v>
      </c>
      <c r="E650" t="s">
        <v>347</v>
      </c>
      <c r="F650" t="s">
        <v>185</v>
      </c>
      <c r="G650" t="s">
        <v>186</v>
      </c>
      <c r="H650" t="s">
        <v>17</v>
      </c>
      <c r="I650" t="s">
        <v>18</v>
      </c>
      <c r="J650" t="s">
        <v>19</v>
      </c>
      <c r="K650">
        <v>780</v>
      </c>
      <c r="L650">
        <v>0</v>
      </c>
      <c r="M650" t="s">
        <v>20</v>
      </c>
      <c r="N650">
        <f>L650/500</f>
        <v>0</v>
      </c>
      <c r="P650">
        <f>K650/800</f>
        <v>0.97499999999999998</v>
      </c>
    </row>
    <row r="651" spans="1:16" x14ac:dyDescent="0.35">
      <c r="A651">
        <v>1316</v>
      </c>
      <c r="B651">
        <v>583006814</v>
      </c>
      <c r="C651">
        <v>38162</v>
      </c>
      <c r="D651" t="s">
        <v>184</v>
      </c>
      <c r="E651" t="s">
        <v>434</v>
      </c>
      <c r="F651" t="s">
        <v>185</v>
      </c>
      <c r="G651" t="s">
        <v>186</v>
      </c>
      <c r="H651" t="s">
        <v>17</v>
      </c>
      <c r="I651" t="s">
        <v>18</v>
      </c>
      <c r="J651" t="s">
        <v>19</v>
      </c>
      <c r="K651">
        <v>9</v>
      </c>
      <c r="L651">
        <v>0</v>
      </c>
      <c r="M651" t="s">
        <v>20</v>
      </c>
      <c r="N651">
        <f>L651/500</f>
        <v>0</v>
      </c>
      <c r="P651">
        <f>K651/800</f>
        <v>1.125E-2</v>
      </c>
    </row>
    <row r="652" spans="1:16" x14ac:dyDescent="0.35">
      <c r="A652">
        <v>1451</v>
      </c>
      <c r="B652">
        <v>583006928</v>
      </c>
      <c r="C652">
        <v>38321</v>
      </c>
      <c r="D652" t="s">
        <v>184</v>
      </c>
      <c r="E652" t="s">
        <v>451</v>
      </c>
      <c r="F652" t="s">
        <v>185</v>
      </c>
      <c r="G652" t="s">
        <v>186</v>
      </c>
      <c r="H652" t="s">
        <v>17</v>
      </c>
      <c r="I652" t="s">
        <v>18</v>
      </c>
      <c r="J652" t="s">
        <v>19</v>
      </c>
      <c r="K652">
        <v>72</v>
      </c>
      <c r="L652">
        <v>0</v>
      </c>
      <c r="M652" t="s">
        <v>20</v>
      </c>
      <c r="N652">
        <f>L652/500</f>
        <v>0</v>
      </c>
      <c r="P652">
        <f>K652/800</f>
        <v>0.09</v>
      </c>
    </row>
    <row r="653" spans="1:16" x14ac:dyDescent="0.35">
      <c r="A653">
        <v>1452</v>
      </c>
      <c r="B653">
        <v>583006927</v>
      </c>
      <c r="C653">
        <v>38320</v>
      </c>
      <c r="D653" t="s">
        <v>184</v>
      </c>
      <c r="E653" t="s">
        <v>451</v>
      </c>
      <c r="F653" t="s">
        <v>185</v>
      </c>
      <c r="G653" t="s">
        <v>186</v>
      </c>
      <c r="H653" t="s">
        <v>17</v>
      </c>
      <c r="I653" t="s">
        <v>18</v>
      </c>
      <c r="J653" t="s">
        <v>19</v>
      </c>
      <c r="K653">
        <v>99</v>
      </c>
      <c r="L653">
        <v>0</v>
      </c>
      <c r="M653" t="s">
        <v>20</v>
      </c>
      <c r="N653">
        <f>L653/500</f>
        <v>0</v>
      </c>
      <c r="P653">
        <f>K653/800</f>
        <v>0.12375</v>
      </c>
    </row>
    <row r="654" spans="1:16" x14ac:dyDescent="0.35">
      <c r="A654">
        <v>1453</v>
      </c>
      <c r="B654">
        <v>583006926</v>
      </c>
      <c r="C654">
        <v>38319</v>
      </c>
      <c r="D654" t="s">
        <v>184</v>
      </c>
      <c r="E654" t="s">
        <v>451</v>
      </c>
      <c r="F654" t="s">
        <v>185</v>
      </c>
      <c r="G654" t="s">
        <v>186</v>
      </c>
      <c r="H654" t="s">
        <v>17</v>
      </c>
      <c r="I654" t="s">
        <v>18</v>
      </c>
      <c r="J654" t="s">
        <v>19</v>
      </c>
      <c r="K654">
        <v>144</v>
      </c>
      <c r="L654">
        <v>0</v>
      </c>
      <c r="M654" t="s">
        <v>20</v>
      </c>
      <c r="N654">
        <f>L654/500</f>
        <v>0</v>
      </c>
      <c r="P654">
        <f>K654/800</f>
        <v>0.18</v>
      </c>
    </row>
    <row r="655" spans="1:16" x14ac:dyDescent="0.35">
      <c r="A655">
        <v>194</v>
      </c>
      <c r="B655">
        <v>583005263</v>
      </c>
      <c r="C655">
        <v>36038</v>
      </c>
      <c r="D655" t="s">
        <v>209</v>
      </c>
      <c r="E655" t="s">
        <v>200</v>
      </c>
      <c r="F655" t="s">
        <v>210</v>
      </c>
      <c r="G655" t="s">
        <v>211</v>
      </c>
      <c r="H655" t="s">
        <v>17</v>
      </c>
      <c r="I655" t="s">
        <v>18</v>
      </c>
      <c r="J655" t="s">
        <v>19</v>
      </c>
      <c r="K655">
        <v>132</v>
      </c>
      <c r="L655">
        <v>0</v>
      </c>
      <c r="M655" t="s">
        <v>20</v>
      </c>
      <c r="N655">
        <f>L655/500</f>
        <v>0</v>
      </c>
      <c r="P655">
        <f>K655/800</f>
        <v>0.16500000000000001</v>
      </c>
    </row>
    <row r="656" spans="1:16" x14ac:dyDescent="0.35">
      <c r="A656">
        <v>265</v>
      </c>
      <c r="B656">
        <v>583005373</v>
      </c>
      <c r="C656">
        <v>36193</v>
      </c>
      <c r="D656" t="s">
        <v>209</v>
      </c>
      <c r="E656" t="s">
        <v>237</v>
      </c>
      <c r="F656" t="s">
        <v>210</v>
      </c>
      <c r="G656" t="s">
        <v>211</v>
      </c>
      <c r="H656" t="s">
        <v>17</v>
      </c>
      <c r="I656" t="s">
        <v>18</v>
      </c>
      <c r="J656" t="s">
        <v>19</v>
      </c>
      <c r="K656">
        <v>39</v>
      </c>
      <c r="L656">
        <v>0</v>
      </c>
      <c r="M656" t="s">
        <v>20</v>
      </c>
      <c r="N656">
        <f>L656/500</f>
        <v>0</v>
      </c>
      <c r="P656">
        <f>K656/800</f>
        <v>4.8750000000000002E-2</v>
      </c>
    </row>
    <row r="657" spans="1:16" x14ac:dyDescent="0.35">
      <c r="A657">
        <v>462</v>
      </c>
      <c r="B657">
        <v>583005721</v>
      </c>
      <c r="C657">
        <v>36677</v>
      </c>
      <c r="D657" t="s">
        <v>209</v>
      </c>
      <c r="E657" t="s">
        <v>300</v>
      </c>
      <c r="F657" t="s">
        <v>210</v>
      </c>
      <c r="G657" t="s">
        <v>211</v>
      </c>
      <c r="H657" t="s">
        <v>17</v>
      </c>
      <c r="I657" t="s">
        <v>18</v>
      </c>
      <c r="J657" t="s">
        <v>19</v>
      </c>
      <c r="K657">
        <v>39</v>
      </c>
      <c r="L657">
        <v>0</v>
      </c>
      <c r="M657" t="s">
        <v>20</v>
      </c>
      <c r="N657">
        <f>L657/500</f>
        <v>0</v>
      </c>
      <c r="P657">
        <f>K657/800</f>
        <v>4.8750000000000002E-2</v>
      </c>
    </row>
    <row r="658" spans="1:16" x14ac:dyDescent="0.35">
      <c r="A658">
        <v>644</v>
      </c>
      <c r="B658">
        <v>583005934</v>
      </c>
      <c r="C658">
        <v>36989</v>
      </c>
      <c r="D658" t="s">
        <v>209</v>
      </c>
      <c r="E658" t="s">
        <v>324</v>
      </c>
      <c r="F658" t="s">
        <v>210</v>
      </c>
      <c r="G658" t="s">
        <v>211</v>
      </c>
      <c r="H658" t="s">
        <v>17</v>
      </c>
      <c r="I658" t="s">
        <v>18</v>
      </c>
      <c r="J658" t="s">
        <v>19</v>
      </c>
      <c r="K658">
        <v>12</v>
      </c>
      <c r="L658">
        <v>0</v>
      </c>
      <c r="M658" t="s">
        <v>20</v>
      </c>
      <c r="N658">
        <f>L658/500</f>
        <v>0</v>
      </c>
      <c r="P658">
        <f>K658/800</f>
        <v>1.4999999999999999E-2</v>
      </c>
    </row>
    <row r="659" spans="1:16" x14ac:dyDescent="0.35">
      <c r="A659">
        <v>1297</v>
      </c>
      <c r="B659">
        <v>583006675</v>
      </c>
      <c r="C659">
        <v>37978</v>
      </c>
      <c r="D659" t="s">
        <v>209</v>
      </c>
      <c r="E659" t="s">
        <v>424</v>
      </c>
      <c r="F659" t="s">
        <v>210</v>
      </c>
      <c r="G659" t="s">
        <v>211</v>
      </c>
      <c r="H659" t="s">
        <v>17</v>
      </c>
      <c r="I659" t="s">
        <v>18</v>
      </c>
      <c r="J659" t="s">
        <v>19</v>
      </c>
      <c r="K659">
        <v>60</v>
      </c>
      <c r="L659">
        <v>0</v>
      </c>
      <c r="M659" t="s">
        <v>20</v>
      </c>
      <c r="N659">
        <f>L659/500</f>
        <v>0</v>
      </c>
      <c r="P659">
        <f>K659/800</f>
        <v>7.4999999999999997E-2</v>
      </c>
    </row>
    <row r="660" spans="1:16" x14ac:dyDescent="0.35">
      <c r="A660">
        <v>1407</v>
      </c>
      <c r="B660">
        <v>583006844</v>
      </c>
      <c r="C660">
        <v>38211</v>
      </c>
      <c r="D660" t="s">
        <v>209</v>
      </c>
      <c r="E660" t="s">
        <v>444</v>
      </c>
      <c r="F660" t="s">
        <v>210</v>
      </c>
      <c r="G660" t="s">
        <v>211</v>
      </c>
      <c r="H660" t="s">
        <v>17</v>
      </c>
      <c r="I660" t="s">
        <v>18</v>
      </c>
      <c r="J660" t="s">
        <v>19</v>
      </c>
      <c r="K660">
        <v>36</v>
      </c>
      <c r="L660">
        <v>0</v>
      </c>
      <c r="M660" t="s">
        <v>20</v>
      </c>
      <c r="N660">
        <f>L660/500</f>
        <v>0</v>
      </c>
      <c r="P660">
        <f>K660/800</f>
        <v>4.4999999999999998E-2</v>
      </c>
    </row>
    <row r="661" spans="1:16" x14ac:dyDescent="0.35">
      <c r="A661">
        <v>221</v>
      </c>
      <c r="B661">
        <v>583005313</v>
      </c>
      <c r="C661">
        <v>36114</v>
      </c>
      <c r="D661" t="s">
        <v>39</v>
      </c>
      <c r="E661" t="s">
        <v>217</v>
      </c>
      <c r="F661" t="s">
        <v>40</v>
      </c>
      <c r="G661" t="s">
        <v>41</v>
      </c>
      <c r="H661" t="s">
        <v>17</v>
      </c>
      <c r="I661" t="s">
        <v>63</v>
      </c>
      <c r="J661" t="s">
        <v>64</v>
      </c>
      <c r="K661">
        <v>4</v>
      </c>
      <c r="L661">
        <v>7.08</v>
      </c>
      <c r="M661" t="s">
        <v>20</v>
      </c>
      <c r="N661">
        <f>L661/500</f>
        <v>1.4160000000000001E-2</v>
      </c>
    </row>
    <row r="662" spans="1:16" x14ac:dyDescent="0.35">
      <c r="A662">
        <v>440</v>
      </c>
      <c r="B662">
        <v>583005635</v>
      </c>
      <c r="C662">
        <v>36556</v>
      </c>
      <c r="D662" t="s">
        <v>39</v>
      </c>
      <c r="E662" t="s">
        <v>292</v>
      </c>
      <c r="F662" t="s">
        <v>40</v>
      </c>
      <c r="G662" t="s">
        <v>41</v>
      </c>
      <c r="H662" t="s">
        <v>17</v>
      </c>
      <c r="I662" t="s">
        <v>63</v>
      </c>
      <c r="J662" t="s">
        <v>64</v>
      </c>
      <c r="K662">
        <v>29</v>
      </c>
      <c r="L662">
        <v>51.33</v>
      </c>
      <c r="M662" t="s">
        <v>20</v>
      </c>
      <c r="N662">
        <f>L662/500</f>
        <v>0.10266</v>
      </c>
    </row>
    <row r="663" spans="1:16" x14ac:dyDescent="0.35">
      <c r="A663">
        <v>441</v>
      </c>
      <c r="B663">
        <v>583005639</v>
      </c>
      <c r="C663">
        <v>36565</v>
      </c>
      <c r="D663" t="s">
        <v>39</v>
      </c>
      <c r="E663" t="s">
        <v>292</v>
      </c>
      <c r="F663" t="s">
        <v>40</v>
      </c>
      <c r="G663" t="s">
        <v>41</v>
      </c>
      <c r="H663" t="s">
        <v>17</v>
      </c>
      <c r="I663" t="s">
        <v>63</v>
      </c>
      <c r="J663" t="s">
        <v>64</v>
      </c>
      <c r="K663">
        <v>48</v>
      </c>
      <c r="L663">
        <v>79.2</v>
      </c>
      <c r="M663" t="s">
        <v>20</v>
      </c>
      <c r="N663">
        <f>L663/500</f>
        <v>0.15840000000000001</v>
      </c>
    </row>
    <row r="664" spans="1:16" x14ac:dyDescent="0.35">
      <c r="A664">
        <v>442</v>
      </c>
      <c r="B664">
        <v>583005640</v>
      </c>
      <c r="C664">
        <v>36566</v>
      </c>
      <c r="D664" t="s">
        <v>39</v>
      </c>
      <c r="E664" t="s">
        <v>292</v>
      </c>
      <c r="F664" t="s">
        <v>40</v>
      </c>
      <c r="G664" t="s">
        <v>41</v>
      </c>
      <c r="H664" t="s">
        <v>17</v>
      </c>
      <c r="I664" t="s">
        <v>63</v>
      </c>
      <c r="J664" t="s">
        <v>64</v>
      </c>
      <c r="K664">
        <v>27</v>
      </c>
      <c r="L664">
        <v>47.79</v>
      </c>
      <c r="M664" t="s">
        <v>20</v>
      </c>
      <c r="N664">
        <f>L664/500</f>
        <v>9.5579999999999998E-2</v>
      </c>
    </row>
    <row r="665" spans="1:16" x14ac:dyDescent="0.35">
      <c r="A665">
        <v>685</v>
      </c>
      <c r="B665">
        <v>583005991</v>
      </c>
      <c r="C665">
        <v>37071</v>
      </c>
      <c r="D665" t="s">
        <v>39</v>
      </c>
      <c r="E665" t="s">
        <v>343</v>
      </c>
      <c r="F665" t="s">
        <v>40</v>
      </c>
      <c r="G665" t="s">
        <v>41</v>
      </c>
      <c r="H665" t="s">
        <v>17</v>
      </c>
      <c r="I665" t="s">
        <v>63</v>
      </c>
      <c r="J665" t="s">
        <v>64</v>
      </c>
      <c r="K665">
        <v>54</v>
      </c>
      <c r="L665">
        <v>95.58</v>
      </c>
      <c r="M665" t="s">
        <v>20</v>
      </c>
      <c r="N665">
        <f>L665/500</f>
        <v>0.19116</v>
      </c>
    </row>
    <row r="666" spans="1:16" x14ac:dyDescent="0.35">
      <c r="A666">
        <v>7</v>
      </c>
      <c r="B666">
        <v>583005005</v>
      </c>
      <c r="C666">
        <v>35680</v>
      </c>
      <c r="D666" t="s">
        <v>39</v>
      </c>
      <c r="E666" t="s">
        <v>14</v>
      </c>
      <c r="F666" t="s">
        <v>40</v>
      </c>
      <c r="G666" t="s">
        <v>41</v>
      </c>
      <c r="H666" t="s">
        <v>17</v>
      </c>
      <c r="I666" t="s">
        <v>18</v>
      </c>
      <c r="J666" t="s">
        <v>19</v>
      </c>
      <c r="K666">
        <v>9</v>
      </c>
      <c r="L666">
        <v>0</v>
      </c>
      <c r="M666" t="s">
        <v>20</v>
      </c>
      <c r="N666">
        <f>L666/500</f>
        <v>0</v>
      </c>
      <c r="P666">
        <f>K666/800</f>
        <v>1.125E-2</v>
      </c>
    </row>
    <row r="667" spans="1:16" x14ac:dyDescent="0.35">
      <c r="A667">
        <v>647</v>
      </c>
      <c r="B667">
        <v>583005932</v>
      </c>
      <c r="C667">
        <v>36987</v>
      </c>
      <c r="D667" t="s">
        <v>39</v>
      </c>
      <c r="E667" t="s">
        <v>324</v>
      </c>
      <c r="F667" t="s">
        <v>40</v>
      </c>
      <c r="G667" t="s">
        <v>41</v>
      </c>
      <c r="H667" t="s">
        <v>17</v>
      </c>
      <c r="I667" t="s">
        <v>18</v>
      </c>
      <c r="J667" t="s">
        <v>19</v>
      </c>
      <c r="K667">
        <v>36</v>
      </c>
      <c r="L667">
        <v>0</v>
      </c>
      <c r="M667" t="s">
        <v>20</v>
      </c>
      <c r="N667">
        <f>L667/500</f>
        <v>0</v>
      </c>
      <c r="P667">
        <f>K667/800</f>
        <v>4.4999999999999998E-2</v>
      </c>
    </row>
    <row r="668" spans="1:16" x14ac:dyDescent="0.35">
      <c r="A668">
        <v>648</v>
      </c>
      <c r="B668">
        <v>583005931</v>
      </c>
      <c r="C668">
        <v>36986</v>
      </c>
      <c r="D668" t="s">
        <v>39</v>
      </c>
      <c r="E668" t="s">
        <v>324</v>
      </c>
      <c r="F668" t="s">
        <v>40</v>
      </c>
      <c r="G668" t="s">
        <v>41</v>
      </c>
      <c r="H668" t="s">
        <v>17</v>
      </c>
      <c r="I668" t="s">
        <v>18</v>
      </c>
      <c r="J668" t="s">
        <v>19</v>
      </c>
      <c r="K668">
        <v>36</v>
      </c>
      <c r="L668">
        <v>0</v>
      </c>
      <c r="M668" t="s">
        <v>20</v>
      </c>
      <c r="N668">
        <f>L668/500</f>
        <v>0</v>
      </c>
      <c r="P668">
        <f>K668/800</f>
        <v>4.4999999999999998E-2</v>
      </c>
    </row>
    <row r="669" spans="1:16" x14ac:dyDescent="0.35">
      <c r="A669">
        <v>650</v>
      </c>
      <c r="B669">
        <v>583005905</v>
      </c>
      <c r="C669">
        <v>36955</v>
      </c>
      <c r="D669" t="s">
        <v>39</v>
      </c>
      <c r="E669" t="s">
        <v>324</v>
      </c>
      <c r="F669" t="s">
        <v>40</v>
      </c>
      <c r="G669" t="s">
        <v>41</v>
      </c>
      <c r="H669" t="s">
        <v>17</v>
      </c>
      <c r="I669" t="s">
        <v>18</v>
      </c>
      <c r="J669" t="s">
        <v>19</v>
      </c>
      <c r="K669">
        <v>33</v>
      </c>
      <c r="L669">
        <v>0</v>
      </c>
      <c r="M669" t="s">
        <v>20</v>
      </c>
      <c r="N669">
        <f>L669/500</f>
        <v>0</v>
      </c>
      <c r="P669">
        <f>K669/800</f>
        <v>4.1250000000000002E-2</v>
      </c>
    </row>
    <row r="670" spans="1:16" x14ac:dyDescent="0.35">
      <c r="A670">
        <v>1123</v>
      </c>
      <c r="B670">
        <v>583006532</v>
      </c>
      <c r="C670">
        <v>37781</v>
      </c>
      <c r="D670" t="s">
        <v>39</v>
      </c>
      <c r="E670" t="s">
        <v>404</v>
      </c>
      <c r="F670" t="s">
        <v>40</v>
      </c>
      <c r="G670" t="s">
        <v>41</v>
      </c>
      <c r="H670" t="s">
        <v>17</v>
      </c>
      <c r="I670" t="s">
        <v>18</v>
      </c>
      <c r="J670" t="s">
        <v>19</v>
      </c>
      <c r="K670">
        <v>1824</v>
      </c>
      <c r="L670">
        <v>0</v>
      </c>
      <c r="M670" t="s">
        <v>20</v>
      </c>
      <c r="N670">
        <f>L670/500</f>
        <v>0</v>
      </c>
      <c r="P670">
        <f>K670/800</f>
        <v>2.2799999999999998</v>
      </c>
    </row>
    <row r="671" spans="1:16" x14ac:dyDescent="0.35">
      <c r="A671">
        <v>1185</v>
      </c>
      <c r="B671">
        <v>583006570</v>
      </c>
      <c r="C671">
        <v>37832</v>
      </c>
      <c r="D671" t="s">
        <v>39</v>
      </c>
      <c r="E671" t="s">
        <v>413</v>
      </c>
      <c r="F671" t="s">
        <v>40</v>
      </c>
      <c r="G671" t="s">
        <v>41</v>
      </c>
      <c r="H671" t="s">
        <v>17</v>
      </c>
      <c r="I671" t="s">
        <v>18</v>
      </c>
      <c r="J671" t="s">
        <v>19</v>
      </c>
      <c r="K671">
        <v>96</v>
      </c>
      <c r="L671">
        <v>0</v>
      </c>
      <c r="M671" t="s">
        <v>20</v>
      </c>
      <c r="N671">
        <f>L671/500</f>
        <v>0</v>
      </c>
      <c r="P671">
        <f>K671/800</f>
        <v>0.12</v>
      </c>
    </row>
    <row r="672" spans="1:16" x14ac:dyDescent="0.35">
      <c r="A672">
        <v>1270</v>
      </c>
      <c r="B672">
        <v>583006686</v>
      </c>
      <c r="C672">
        <v>37989</v>
      </c>
      <c r="D672" t="s">
        <v>39</v>
      </c>
      <c r="E672" t="s">
        <v>424</v>
      </c>
      <c r="F672" t="s">
        <v>40</v>
      </c>
      <c r="G672" t="s">
        <v>41</v>
      </c>
      <c r="H672" t="s">
        <v>17</v>
      </c>
      <c r="I672" t="s">
        <v>18</v>
      </c>
      <c r="J672" t="s">
        <v>19</v>
      </c>
      <c r="K672">
        <v>15</v>
      </c>
      <c r="L672">
        <v>0</v>
      </c>
      <c r="M672" t="s">
        <v>20</v>
      </c>
      <c r="N672">
        <f>L672/500</f>
        <v>0</v>
      </c>
      <c r="P672">
        <f>K672/800</f>
        <v>1.8749999999999999E-2</v>
      </c>
    </row>
    <row r="673" spans="1:16" x14ac:dyDescent="0.35">
      <c r="A673">
        <v>1409</v>
      </c>
      <c r="B673">
        <v>583006849</v>
      </c>
      <c r="C673">
        <v>38216</v>
      </c>
      <c r="D673" t="s">
        <v>39</v>
      </c>
      <c r="E673" t="s">
        <v>444</v>
      </c>
      <c r="F673" t="s">
        <v>40</v>
      </c>
      <c r="G673" t="s">
        <v>41</v>
      </c>
      <c r="H673" t="s">
        <v>17</v>
      </c>
      <c r="I673" t="s">
        <v>18</v>
      </c>
      <c r="J673" t="s">
        <v>19</v>
      </c>
      <c r="K673">
        <v>12</v>
      </c>
      <c r="L673">
        <v>0</v>
      </c>
      <c r="M673" t="s">
        <v>20</v>
      </c>
      <c r="N673">
        <f>L673/500</f>
        <v>0</v>
      </c>
      <c r="P673">
        <f>K673/800</f>
        <v>1.4999999999999999E-2</v>
      </c>
    </row>
    <row r="674" spans="1:16" x14ac:dyDescent="0.35">
      <c r="A674">
        <v>1410</v>
      </c>
      <c r="B674">
        <v>583006848</v>
      </c>
      <c r="C674">
        <v>38215</v>
      </c>
      <c r="D674" t="s">
        <v>39</v>
      </c>
      <c r="E674" t="s">
        <v>444</v>
      </c>
      <c r="F674" t="s">
        <v>40</v>
      </c>
      <c r="G674" t="s">
        <v>41</v>
      </c>
      <c r="H674" t="s">
        <v>17</v>
      </c>
      <c r="I674" t="s">
        <v>18</v>
      </c>
      <c r="J674" t="s">
        <v>19</v>
      </c>
      <c r="K674">
        <v>72</v>
      </c>
      <c r="L674">
        <v>0</v>
      </c>
      <c r="M674" t="s">
        <v>20</v>
      </c>
      <c r="N674">
        <f>L674/500</f>
        <v>0</v>
      </c>
      <c r="P674">
        <f>K674/800</f>
        <v>0.09</v>
      </c>
    </row>
    <row r="675" spans="1:16" x14ac:dyDescent="0.35">
      <c r="A675">
        <v>61</v>
      </c>
      <c r="B675">
        <v>583005097</v>
      </c>
      <c r="C675">
        <v>35817</v>
      </c>
      <c r="D675" t="s">
        <v>98</v>
      </c>
      <c r="E675" t="s">
        <v>81</v>
      </c>
      <c r="F675" t="s">
        <v>99</v>
      </c>
      <c r="G675" t="s">
        <v>100</v>
      </c>
      <c r="H675" t="s">
        <v>17</v>
      </c>
      <c r="I675" t="s">
        <v>18</v>
      </c>
      <c r="J675" t="s">
        <v>19</v>
      </c>
      <c r="K675">
        <v>81</v>
      </c>
      <c r="L675">
        <v>0</v>
      </c>
      <c r="M675" t="s">
        <v>20</v>
      </c>
      <c r="N675">
        <f>L675/500</f>
        <v>0</v>
      </c>
      <c r="P675">
        <f>K675/800</f>
        <v>0.10125000000000001</v>
      </c>
    </row>
    <row r="676" spans="1:16" x14ac:dyDescent="0.35">
      <c r="A676">
        <v>82</v>
      </c>
      <c r="B676">
        <v>583005177</v>
      </c>
      <c r="C676">
        <v>35915</v>
      </c>
      <c r="D676" t="s">
        <v>98</v>
      </c>
      <c r="E676" t="s">
        <v>126</v>
      </c>
      <c r="F676" t="s">
        <v>99</v>
      </c>
      <c r="G676" t="s">
        <v>100</v>
      </c>
      <c r="H676" t="s">
        <v>17</v>
      </c>
      <c r="I676" t="s">
        <v>18</v>
      </c>
      <c r="J676" t="s">
        <v>19</v>
      </c>
      <c r="K676">
        <v>168</v>
      </c>
      <c r="L676">
        <v>0</v>
      </c>
      <c r="M676" t="s">
        <v>20</v>
      </c>
      <c r="N676">
        <f>L676/500</f>
        <v>0</v>
      </c>
      <c r="P676">
        <f>K676/800</f>
        <v>0.21</v>
      </c>
    </row>
    <row r="677" spans="1:16" x14ac:dyDescent="0.35">
      <c r="A677">
        <v>262</v>
      </c>
      <c r="B677">
        <v>583005368</v>
      </c>
      <c r="C677">
        <v>36188</v>
      </c>
      <c r="D677" t="s">
        <v>98</v>
      </c>
      <c r="E677" t="s">
        <v>237</v>
      </c>
      <c r="F677" t="s">
        <v>99</v>
      </c>
      <c r="G677" t="s">
        <v>100</v>
      </c>
      <c r="H677" t="s">
        <v>17</v>
      </c>
      <c r="I677" t="s">
        <v>18</v>
      </c>
      <c r="J677" t="s">
        <v>19</v>
      </c>
      <c r="K677">
        <v>45</v>
      </c>
      <c r="L677">
        <v>0</v>
      </c>
      <c r="M677" t="s">
        <v>20</v>
      </c>
      <c r="N677">
        <f>L677/500</f>
        <v>0</v>
      </c>
      <c r="P677">
        <f>K677/800</f>
        <v>5.6250000000000001E-2</v>
      </c>
    </row>
    <row r="678" spans="1:16" x14ac:dyDescent="0.35">
      <c r="A678">
        <v>267</v>
      </c>
      <c r="B678">
        <v>583005380</v>
      </c>
      <c r="C678">
        <v>36201</v>
      </c>
      <c r="D678" t="s">
        <v>98</v>
      </c>
      <c r="E678" t="s">
        <v>237</v>
      </c>
      <c r="F678" t="s">
        <v>99</v>
      </c>
      <c r="G678" t="s">
        <v>100</v>
      </c>
      <c r="H678" t="s">
        <v>17</v>
      </c>
      <c r="I678" t="s">
        <v>18</v>
      </c>
      <c r="J678" t="s">
        <v>19</v>
      </c>
      <c r="K678">
        <v>45</v>
      </c>
      <c r="L678">
        <v>0</v>
      </c>
      <c r="M678" t="s">
        <v>20</v>
      </c>
      <c r="N678">
        <f>L678/500</f>
        <v>0</v>
      </c>
      <c r="P678">
        <f>K678/800</f>
        <v>5.6250000000000001E-2</v>
      </c>
    </row>
    <row r="679" spans="1:16" x14ac:dyDescent="0.35">
      <c r="A679">
        <v>343</v>
      </c>
      <c r="B679">
        <v>583005471</v>
      </c>
      <c r="C679">
        <v>36329</v>
      </c>
      <c r="D679" t="s">
        <v>98</v>
      </c>
      <c r="E679" t="s">
        <v>266</v>
      </c>
      <c r="F679" t="s">
        <v>99</v>
      </c>
      <c r="G679" t="s">
        <v>100</v>
      </c>
      <c r="H679" t="s">
        <v>17</v>
      </c>
      <c r="I679" t="s">
        <v>18</v>
      </c>
      <c r="J679" t="s">
        <v>19</v>
      </c>
      <c r="K679">
        <v>33</v>
      </c>
      <c r="L679">
        <v>0</v>
      </c>
      <c r="M679" t="s">
        <v>20</v>
      </c>
      <c r="N679">
        <f>L679/500</f>
        <v>0</v>
      </c>
      <c r="P679">
        <f>K679/800</f>
        <v>4.1250000000000002E-2</v>
      </c>
    </row>
    <row r="680" spans="1:16" x14ac:dyDescent="0.35">
      <c r="A680">
        <v>347</v>
      </c>
      <c r="B680">
        <v>583005472</v>
      </c>
      <c r="C680">
        <v>36330</v>
      </c>
      <c r="D680" t="s">
        <v>98</v>
      </c>
      <c r="E680" t="s">
        <v>266</v>
      </c>
      <c r="F680" t="s">
        <v>99</v>
      </c>
      <c r="G680" t="s">
        <v>100</v>
      </c>
      <c r="H680" t="s">
        <v>17</v>
      </c>
      <c r="I680" t="s">
        <v>18</v>
      </c>
      <c r="J680" t="s">
        <v>19</v>
      </c>
      <c r="K680">
        <v>45</v>
      </c>
      <c r="L680">
        <v>0</v>
      </c>
      <c r="M680" t="s">
        <v>20</v>
      </c>
      <c r="N680">
        <f>L680/500</f>
        <v>0</v>
      </c>
      <c r="P680">
        <f>K680/800</f>
        <v>5.6250000000000001E-2</v>
      </c>
    </row>
    <row r="681" spans="1:16" x14ac:dyDescent="0.35">
      <c r="A681">
        <v>395</v>
      </c>
      <c r="B681">
        <v>583005560</v>
      </c>
      <c r="C681">
        <v>36454</v>
      </c>
      <c r="D681" t="s">
        <v>98</v>
      </c>
      <c r="E681" t="s">
        <v>270</v>
      </c>
      <c r="F681" t="s">
        <v>99</v>
      </c>
      <c r="G681" t="s">
        <v>100</v>
      </c>
      <c r="H681" t="s">
        <v>17</v>
      </c>
      <c r="I681" t="s">
        <v>18</v>
      </c>
      <c r="J681" t="s">
        <v>19</v>
      </c>
      <c r="K681">
        <v>45</v>
      </c>
      <c r="L681">
        <v>0</v>
      </c>
      <c r="M681" t="s">
        <v>20</v>
      </c>
      <c r="N681">
        <f>L681/500</f>
        <v>0</v>
      </c>
      <c r="P681">
        <f>K681/800</f>
        <v>5.6250000000000001E-2</v>
      </c>
    </row>
    <row r="682" spans="1:16" x14ac:dyDescent="0.35">
      <c r="A682">
        <v>398</v>
      </c>
      <c r="B682">
        <v>583005561</v>
      </c>
      <c r="C682">
        <v>36455</v>
      </c>
      <c r="D682" t="s">
        <v>98</v>
      </c>
      <c r="E682" t="s">
        <v>270</v>
      </c>
      <c r="F682" t="s">
        <v>99</v>
      </c>
      <c r="G682" t="s">
        <v>100</v>
      </c>
      <c r="H682" t="s">
        <v>17</v>
      </c>
      <c r="I682" t="s">
        <v>18</v>
      </c>
      <c r="J682" t="s">
        <v>19</v>
      </c>
      <c r="K682">
        <v>45</v>
      </c>
      <c r="L682">
        <v>0</v>
      </c>
      <c r="M682" t="s">
        <v>20</v>
      </c>
      <c r="N682">
        <f>L682/500</f>
        <v>0</v>
      </c>
      <c r="P682">
        <f>K682/800</f>
        <v>5.6250000000000001E-2</v>
      </c>
    </row>
    <row r="683" spans="1:16" x14ac:dyDescent="0.35">
      <c r="A683">
        <v>437</v>
      </c>
      <c r="B683">
        <v>583005632</v>
      </c>
      <c r="C683">
        <v>36551</v>
      </c>
      <c r="D683" t="s">
        <v>98</v>
      </c>
      <c r="E683" t="s">
        <v>292</v>
      </c>
      <c r="F683" t="s">
        <v>99</v>
      </c>
      <c r="G683" t="s">
        <v>100</v>
      </c>
      <c r="H683" t="s">
        <v>17</v>
      </c>
      <c r="I683" t="s">
        <v>18</v>
      </c>
      <c r="J683" t="s">
        <v>19</v>
      </c>
      <c r="K683">
        <v>9</v>
      </c>
      <c r="L683">
        <v>0</v>
      </c>
      <c r="M683" t="s">
        <v>20</v>
      </c>
      <c r="N683">
        <f>L683/500</f>
        <v>0</v>
      </c>
      <c r="P683">
        <f>K683/800</f>
        <v>1.125E-2</v>
      </c>
    </row>
    <row r="684" spans="1:16" x14ac:dyDescent="0.35">
      <c r="A684">
        <v>494</v>
      </c>
      <c r="B684">
        <v>583005716</v>
      </c>
      <c r="C684">
        <v>36672</v>
      </c>
      <c r="D684" t="s">
        <v>98</v>
      </c>
      <c r="E684" t="s">
        <v>300</v>
      </c>
      <c r="F684" t="s">
        <v>99</v>
      </c>
      <c r="G684" t="s">
        <v>100</v>
      </c>
      <c r="H684" t="s">
        <v>17</v>
      </c>
      <c r="I684" t="s">
        <v>18</v>
      </c>
      <c r="J684" t="s">
        <v>19</v>
      </c>
      <c r="K684">
        <v>90</v>
      </c>
      <c r="L684">
        <v>0</v>
      </c>
      <c r="M684" t="s">
        <v>20</v>
      </c>
      <c r="N684">
        <f>L684/500</f>
        <v>0</v>
      </c>
      <c r="P684">
        <f>K684/800</f>
        <v>0.1125</v>
      </c>
    </row>
    <row r="685" spans="1:16" x14ac:dyDescent="0.35">
      <c r="A685">
        <v>633</v>
      </c>
      <c r="B685">
        <v>583005908</v>
      </c>
      <c r="C685">
        <v>36959</v>
      </c>
      <c r="D685" t="s">
        <v>98</v>
      </c>
      <c r="E685" t="s">
        <v>324</v>
      </c>
      <c r="F685" t="s">
        <v>99</v>
      </c>
      <c r="G685" t="s">
        <v>100</v>
      </c>
      <c r="H685" t="s">
        <v>17</v>
      </c>
      <c r="I685" t="s">
        <v>18</v>
      </c>
      <c r="J685" t="s">
        <v>19</v>
      </c>
      <c r="K685">
        <v>42</v>
      </c>
      <c r="L685">
        <v>0</v>
      </c>
      <c r="M685" t="s">
        <v>20</v>
      </c>
      <c r="N685">
        <f>L685/500</f>
        <v>0</v>
      </c>
      <c r="P685">
        <f>K685/800</f>
        <v>5.2499999999999998E-2</v>
      </c>
    </row>
    <row r="686" spans="1:16" x14ac:dyDescent="0.35">
      <c r="A686">
        <v>643</v>
      </c>
      <c r="B686">
        <v>583005935</v>
      </c>
      <c r="C686">
        <v>36990</v>
      </c>
      <c r="D686" t="s">
        <v>98</v>
      </c>
      <c r="E686" t="s">
        <v>324</v>
      </c>
      <c r="F686" t="s">
        <v>99</v>
      </c>
      <c r="G686" t="s">
        <v>100</v>
      </c>
      <c r="H686" t="s">
        <v>17</v>
      </c>
      <c r="I686" t="s">
        <v>18</v>
      </c>
      <c r="J686" t="s">
        <v>19</v>
      </c>
      <c r="K686">
        <v>78</v>
      </c>
      <c r="L686">
        <v>0</v>
      </c>
      <c r="M686" t="s">
        <v>20</v>
      </c>
      <c r="N686">
        <f>L686/500</f>
        <v>0</v>
      </c>
      <c r="P686">
        <f>K686/800</f>
        <v>9.7500000000000003E-2</v>
      </c>
    </row>
    <row r="687" spans="1:16" x14ac:dyDescent="0.35">
      <c r="A687">
        <v>719</v>
      </c>
      <c r="B687">
        <v>583006088</v>
      </c>
      <c r="C687">
        <v>37191</v>
      </c>
      <c r="D687" t="s">
        <v>98</v>
      </c>
      <c r="E687" t="s">
        <v>347</v>
      </c>
      <c r="F687" t="s">
        <v>99</v>
      </c>
      <c r="G687" t="s">
        <v>100</v>
      </c>
      <c r="H687" t="s">
        <v>17</v>
      </c>
      <c r="I687" t="s">
        <v>18</v>
      </c>
      <c r="J687" t="s">
        <v>19</v>
      </c>
      <c r="K687">
        <v>54</v>
      </c>
      <c r="L687">
        <v>0</v>
      </c>
      <c r="M687" t="s">
        <v>20</v>
      </c>
      <c r="N687">
        <f>L687/500</f>
        <v>0</v>
      </c>
      <c r="P687">
        <f>K687/800</f>
        <v>6.7500000000000004E-2</v>
      </c>
    </row>
    <row r="688" spans="1:16" x14ac:dyDescent="0.35">
      <c r="A688">
        <v>976</v>
      </c>
      <c r="B688">
        <v>583006309</v>
      </c>
      <c r="C688">
        <v>37482</v>
      </c>
      <c r="D688" t="s">
        <v>98</v>
      </c>
      <c r="E688" t="s">
        <v>386</v>
      </c>
      <c r="F688" t="s">
        <v>99</v>
      </c>
      <c r="G688" t="s">
        <v>100</v>
      </c>
      <c r="H688" t="s">
        <v>17</v>
      </c>
      <c r="I688" t="s">
        <v>18</v>
      </c>
      <c r="J688" t="s">
        <v>19</v>
      </c>
      <c r="K688">
        <v>36</v>
      </c>
      <c r="L688">
        <v>0</v>
      </c>
      <c r="M688" t="s">
        <v>20</v>
      </c>
      <c r="N688">
        <f>L688/500</f>
        <v>0</v>
      </c>
      <c r="P688">
        <f>K688/800</f>
        <v>4.4999999999999998E-2</v>
      </c>
    </row>
    <row r="689" spans="1:16" x14ac:dyDescent="0.35">
      <c r="A689">
        <v>990</v>
      </c>
      <c r="B689">
        <v>583006308</v>
      </c>
      <c r="C689">
        <v>37481</v>
      </c>
      <c r="D689" t="s">
        <v>98</v>
      </c>
      <c r="E689" t="s">
        <v>386</v>
      </c>
      <c r="F689" t="s">
        <v>99</v>
      </c>
      <c r="G689" t="s">
        <v>100</v>
      </c>
      <c r="H689" t="s">
        <v>17</v>
      </c>
      <c r="I689" t="s">
        <v>18</v>
      </c>
      <c r="J689" t="s">
        <v>19</v>
      </c>
      <c r="K689">
        <v>90</v>
      </c>
      <c r="L689">
        <v>0</v>
      </c>
      <c r="M689" t="s">
        <v>20</v>
      </c>
      <c r="N689">
        <f>L689/500</f>
        <v>0</v>
      </c>
      <c r="P689">
        <f>K689/800</f>
        <v>0.1125</v>
      </c>
    </row>
    <row r="690" spans="1:16" x14ac:dyDescent="0.35">
      <c r="A690">
        <v>1172</v>
      </c>
      <c r="B690">
        <v>583006581</v>
      </c>
      <c r="C690">
        <v>37843</v>
      </c>
      <c r="D690" t="s">
        <v>98</v>
      </c>
      <c r="E690" t="s">
        <v>413</v>
      </c>
      <c r="F690" t="s">
        <v>99</v>
      </c>
      <c r="G690" t="s">
        <v>100</v>
      </c>
      <c r="H690" t="s">
        <v>17</v>
      </c>
      <c r="I690" t="s">
        <v>18</v>
      </c>
      <c r="J690" t="s">
        <v>19</v>
      </c>
      <c r="K690">
        <v>81</v>
      </c>
      <c r="L690">
        <v>0</v>
      </c>
      <c r="M690" t="s">
        <v>20</v>
      </c>
      <c r="N690">
        <f>L690/500</f>
        <v>0</v>
      </c>
      <c r="P690">
        <f>K690/800</f>
        <v>0.10125000000000001</v>
      </c>
    </row>
    <row r="691" spans="1:16" x14ac:dyDescent="0.35">
      <c r="A691">
        <v>1271</v>
      </c>
      <c r="B691">
        <v>583006687</v>
      </c>
      <c r="C691">
        <v>37990</v>
      </c>
      <c r="D691" t="s">
        <v>98</v>
      </c>
      <c r="E691" t="s">
        <v>424</v>
      </c>
      <c r="F691" t="s">
        <v>99</v>
      </c>
      <c r="G691" t="s">
        <v>100</v>
      </c>
      <c r="H691" t="s">
        <v>17</v>
      </c>
      <c r="I691" t="s">
        <v>18</v>
      </c>
      <c r="J691" t="s">
        <v>19</v>
      </c>
      <c r="K691">
        <v>15</v>
      </c>
      <c r="L691">
        <v>0</v>
      </c>
      <c r="M691" t="s">
        <v>20</v>
      </c>
      <c r="N691">
        <f>L691/500</f>
        <v>0</v>
      </c>
      <c r="P691">
        <f>K691/800</f>
        <v>1.8749999999999999E-2</v>
      </c>
    </row>
    <row r="692" spans="1:16" x14ac:dyDescent="0.35">
      <c r="A692">
        <v>1291</v>
      </c>
      <c r="B692">
        <v>583006683</v>
      </c>
      <c r="C692">
        <v>37986</v>
      </c>
      <c r="D692" t="s">
        <v>98</v>
      </c>
      <c r="E692" t="s">
        <v>424</v>
      </c>
      <c r="F692" t="s">
        <v>99</v>
      </c>
      <c r="G692" t="s">
        <v>100</v>
      </c>
      <c r="H692" t="s">
        <v>17</v>
      </c>
      <c r="I692" t="s">
        <v>18</v>
      </c>
      <c r="J692" t="s">
        <v>19</v>
      </c>
      <c r="K692">
        <v>90</v>
      </c>
      <c r="L692">
        <v>0</v>
      </c>
      <c r="M692" t="s">
        <v>20</v>
      </c>
      <c r="N692">
        <f>L692/500</f>
        <v>0</v>
      </c>
      <c r="P692">
        <f>K692/800</f>
        <v>0.1125</v>
      </c>
    </row>
    <row r="693" spans="1:16" x14ac:dyDescent="0.35">
      <c r="A693">
        <v>1326</v>
      </c>
      <c r="B693">
        <v>583006766</v>
      </c>
      <c r="C693">
        <v>38100</v>
      </c>
      <c r="D693" t="s">
        <v>98</v>
      </c>
      <c r="E693" t="s">
        <v>434</v>
      </c>
      <c r="F693" t="s">
        <v>99</v>
      </c>
      <c r="G693" t="s">
        <v>100</v>
      </c>
      <c r="H693" t="s">
        <v>17</v>
      </c>
      <c r="I693" t="s">
        <v>18</v>
      </c>
      <c r="J693" t="s">
        <v>19</v>
      </c>
      <c r="K693">
        <v>30</v>
      </c>
      <c r="L693">
        <v>0</v>
      </c>
      <c r="M693" t="s">
        <v>20</v>
      </c>
      <c r="N693">
        <f>L693/500</f>
        <v>0</v>
      </c>
      <c r="P693">
        <f>K693/800</f>
        <v>3.7499999999999999E-2</v>
      </c>
    </row>
    <row r="694" spans="1:16" x14ac:dyDescent="0.35">
      <c r="A694">
        <v>1331</v>
      </c>
      <c r="B694">
        <v>583006765</v>
      </c>
      <c r="C694">
        <v>38099</v>
      </c>
      <c r="D694" t="s">
        <v>98</v>
      </c>
      <c r="E694" t="s">
        <v>434</v>
      </c>
      <c r="F694" t="s">
        <v>99</v>
      </c>
      <c r="G694" t="s">
        <v>100</v>
      </c>
      <c r="H694" t="s">
        <v>17</v>
      </c>
      <c r="I694" t="s">
        <v>18</v>
      </c>
      <c r="J694" t="s">
        <v>19</v>
      </c>
      <c r="K694">
        <v>63</v>
      </c>
      <c r="L694">
        <v>0</v>
      </c>
      <c r="M694" t="s">
        <v>20</v>
      </c>
      <c r="N694">
        <f>L694/500</f>
        <v>0</v>
      </c>
      <c r="P694">
        <f>K694/800</f>
        <v>7.8750000000000001E-2</v>
      </c>
    </row>
    <row r="695" spans="1:16" x14ac:dyDescent="0.35">
      <c r="A695">
        <v>618</v>
      </c>
      <c r="B695">
        <v>583005960</v>
      </c>
      <c r="C695">
        <v>37019</v>
      </c>
      <c r="D695" t="s">
        <v>334</v>
      </c>
      <c r="E695" t="s">
        <v>324</v>
      </c>
      <c r="F695" t="s">
        <v>335</v>
      </c>
      <c r="G695" t="s">
        <v>336</v>
      </c>
      <c r="H695" t="s">
        <v>17</v>
      </c>
      <c r="I695" t="s">
        <v>18</v>
      </c>
      <c r="J695" t="s">
        <v>19</v>
      </c>
      <c r="K695">
        <v>3321</v>
      </c>
      <c r="L695">
        <v>0</v>
      </c>
      <c r="M695" t="s">
        <v>20</v>
      </c>
      <c r="N695">
        <f>L695/500</f>
        <v>0</v>
      </c>
      <c r="P695">
        <f>K695/800</f>
        <v>4.1512500000000001</v>
      </c>
    </row>
    <row r="696" spans="1:16" x14ac:dyDescent="0.35">
      <c r="A696">
        <v>619</v>
      </c>
      <c r="B696">
        <v>583005960</v>
      </c>
      <c r="C696">
        <v>37019</v>
      </c>
      <c r="D696" t="s">
        <v>334</v>
      </c>
      <c r="E696" t="s">
        <v>324</v>
      </c>
      <c r="F696" t="s">
        <v>335</v>
      </c>
      <c r="G696" t="s">
        <v>336</v>
      </c>
      <c r="H696" t="s">
        <v>17</v>
      </c>
      <c r="I696" t="s">
        <v>18</v>
      </c>
      <c r="J696" t="s">
        <v>19</v>
      </c>
      <c r="K696">
        <v>720</v>
      </c>
      <c r="L696">
        <v>0</v>
      </c>
      <c r="M696" t="s">
        <v>20</v>
      </c>
      <c r="N696">
        <f>L696/500</f>
        <v>0</v>
      </c>
      <c r="P696">
        <f>K696/800</f>
        <v>0.9</v>
      </c>
    </row>
    <row r="697" spans="1:16" x14ac:dyDescent="0.35">
      <c r="A697">
        <v>1117</v>
      </c>
      <c r="B697">
        <v>583006500</v>
      </c>
      <c r="C697">
        <v>37739</v>
      </c>
      <c r="D697" t="s">
        <v>334</v>
      </c>
      <c r="E697" t="s">
        <v>404</v>
      </c>
      <c r="F697" t="s">
        <v>335</v>
      </c>
      <c r="G697" t="s">
        <v>336</v>
      </c>
      <c r="H697" t="s">
        <v>17</v>
      </c>
      <c r="I697" t="s">
        <v>18</v>
      </c>
      <c r="J697" t="s">
        <v>19</v>
      </c>
      <c r="K697">
        <v>1962</v>
      </c>
      <c r="L697">
        <v>0</v>
      </c>
      <c r="M697" t="s">
        <v>20</v>
      </c>
      <c r="N697">
        <f>L697/500</f>
        <v>0</v>
      </c>
      <c r="P697">
        <f>K697/800</f>
        <v>2.4525000000000001</v>
      </c>
    </row>
    <row r="698" spans="1:16" x14ac:dyDescent="0.35">
      <c r="A698">
        <v>1118</v>
      </c>
      <c r="B698">
        <v>583006500</v>
      </c>
      <c r="C698">
        <v>37739</v>
      </c>
      <c r="D698" t="s">
        <v>334</v>
      </c>
      <c r="E698" t="s">
        <v>404</v>
      </c>
      <c r="F698" t="s">
        <v>335</v>
      </c>
      <c r="G698" t="s">
        <v>336</v>
      </c>
      <c r="H698" t="s">
        <v>17</v>
      </c>
      <c r="I698" t="s">
        <v>18</v>
      </c>
      <c r="J698" t="s">
        <v>19</v>
      </c>
      <c r="K698">
        <v>72</v>
      </c>
      <c r="L698">
        <v>0</v>
      </c>
      <c r="M698" t="s">
        <v>20</v>
      </c>
      <c r="N698">
        <f>L698/500</f>
        <v>0</v>
      </c>
      <c r="P698">
        <f>K698/800</f>
        <v>0.09</v>
      </c>
    </row>
    <row r="699" spans="1:16" x14ac:dyDescent="0.35">
      <c r="A699">
        <v>1296</v>
      </c>
      <c r="B699">
        <v>583006723</v>
      </c>
      <c r="C699">
        <v>38037</v>
      </c>
      <c r="D699" t="s">
        <v>334</v>
      </c>
      <c r="E699" t="s">
        <v>424</v>
      </c>
      <c r="F699" t="s">
        <v>335</v>
      </c>
      <c r="G699" t="s">
        <v>336</v>
      </c>
      <c r="H699" t="s">
        <v>17</v>
      </c>
      <c r="I699" t="s">
        <v>18</v>
      </c>
      <c r="J699" t="s">
        <v>19</v>
      </c>
      <c r="K699">
        <v>1827</v>
      </c>
      <c r="L699">
        <v>0</v>
      </c>
      <c r="M699" t="s">
        <v>20</v>
      </c>
      <c r="N699">
        <f>L699/500</f>
        <v>0</v>
      </c>
      <c r="P699">
        <f>K699/800</f>
        <v>2.2837499999999999</v>
      </c>
    </row>
    <row r="700" spans="1:16" x14ac:dyDescent="0.35">
      <c r="A700">
        <v>10</v>
      </c>
      <c r="B700">
        <v>583005025</v>
      </c>
      <c r="C700">
        <v>35709</v>
      </c>
      <c r="D700" t="s">
        <v>42</v>
      </c>
      <c r="E700" t="s">
        <v>14</v>
      </c>
      <c r="F700" t="s">
        <v>43</v>
      </c>
      <c r="G700" t="s">
        <v>44</v>
      </c>
      <c r="H700" t="s">
        <v>17</v>
      </c>
      <c r="I700" t="s">
        <v>18</v>
      </c>
      <c r="J700" t="s">
        <v>19</v>
      </c>
      <c r="K700">
        <v>252</v>
      </c>
      <c r="L700">
        <v>0</v>
      </c>
      <c r="M700" t="s">
        <v>20</v>
      </c>
      <c r="N700">
        <f>L700/500</f>
        <v>0</v>
      </c>
      <c r="P700">
        <f>K700/800</f>
        <v>0.315</v>
      </c>
    </row>
    <row r="701" spans="1:16" x14ac:dyDescent="0.35">
      <c r="A701">
        <v>33</v>
      </c>
      <c r="B701">
        <v>583005025</v>
      </c>
      <c r="C701">
        <v>35709</v>
      </c>
      <c r="D701" t="s">
        <v>42</v>
      </c>
      <c r="E701" t="s">
        <v>14</v>
      </c>
      <c r="F701" t="s">
        <v>43</v>
      </c>
      <c r="G701" t="s">
        <v>44</v>
      </c>
      <c r="H701" t="s">
        <v>17</v>
      </c>
      <c r="I701" t="s">
        <v>18</v>
      </c>
      <c r="J701" t="s">
        <v>19</v>
      </c>
      <c r="K701">
        <v>972</v>
      </c>
      <c r="L701">
        <v>0</v>
      </c>
      <c r="M701" t="s">
        <v>20</v>
      </c>
      <c r="N701">
        <f>L701/500</f>
        <v>0</v>
      </c>
      <c r="P701">
        <f>K701/800</f>
        <v>1.2150000000000001</v>
      </c>
    </row>
    <row r="702" spans="1:16" x14ac:dyDescent="0.35">
      <c r="A702">
        <v>40</v>
      </c>
      <c r="B702">
        <v>583005025</v>
      </c>
      <c r="C702">
        <v>35709</v>
      </c>
      <c r="D702" t="s">
        <v>42</v>
      </c>
      <c r="E702" t="s">
        <v>14</v>
      </c>
      <c r="F702" t="s">
        <v>43</v>
      </c>
      <c r="G702" t="s">
        <v>44</v>
      </c>
      <c r="H702" t="s">
        <v>17</v>
      </c>
      <c r="I702" t="s">
        <v>18</v>
      </c>
      <c r="J702" t="s">
        <v>19</v>
      </c>
      <c r="K702">
        <v>2691</v>
      </c>
      <c r="L702">
        <v>0</v>
      </c>
      <c r="M702" t="s">
        <v>20</v>
      </c>
      <c r="N702">
        <f>L702/500</f>
        <v>0</v>
      </c>
      <c r="P702">
        <f>K702/800</f>
        <v>3.36375</v>
      </c>
    </row>
    <row r="703" spans="1:16" x14ac:dyDescent="0.35">
      <c r="A703">
        <v>1422</v>
      </c>
      <c r="B703">
        <v>583006870</v>
      </c>
      <c r="C703">
        <v>38241</v>
      </c>
      <c r="D703" t="s">
        <v>42</v>
      </c>
      <c r="E703" t="s">
        <v>444</v>
      </c>
      <c r="F703" t="s">
        <v>43</v>
      </c>
      <c r="G703" t="s">
        <v>44</v>
      </c>
      <c r="H703" t="s">
        <v>17</v>
      </c>
      <c r="I703" t="s">
        <v>18</v>
      </c>
      <c r="J703" t="s">
        <v>19</v>
      </c>
      <c r="K703">
        <v>3003</v>
      </c>
      <c r="L703">
        <v>0</v>
      </c>
      <c r="M703" t="s">
        <v>20</v>
      </c>
      <c r="N703">
        <f>L703/500</f>
        <v>0</v>
      </c>
      <c r="P703">
        <f>K703/800</f>
        <v>3.7537500000000001</v>
      </c>
    </row>
    <row r="704" spans="1:16" x14ac:dyDescent="0.35">
      <c r="A704">
        <v>1015</v>
      </c>
      <c r="B704">
        <v>583006453</v>
      </c>
      <c r="C704">
        <v>37666</v>
      </c>
      <c r="D704" t="s">
        <v>394</v>
      </c>
      <c r="E704" t="s">
        <v>393</v>
      </c>
      <c r="F704" t="s">
        <v>395</v>
      </c>
      <c r="G704" t="s">
        <v>396</v>
      </c>
      <c r="H704" t="s">
        <v>17</v>
      </c>
      <c r="I704" t="s">
        <v>18</v>
      </c>
      <c r="J704" t="s">
        <v>19</v>
      </c>
      <c r="K704">
        <v>936</v>
      </c>
      <c r="L704">
        <v>0</v>
      </c>
      <c r="M704" t="s">
        <v>20</v>
      </c>
      <c r="N704">
        <f>L704/500</f>
        <v>0</v>
      </c>
      <c r="P704">
        <f>K704/800</f>
        <v>1.17</v>
      </c>
    </row>
    <row r="705" spans="1:16" x14ac:dyDescent="0.35">
      <c r="A705">
        <v>1016</v>
      </c>
      <c r="B705">
        <v>583006453</v>
      </c>
      <c r="C705">
        <v>37666</v>
      </c>
      <c r="D705" t="s">
        <v>394</v>
      </c>
      <c r="E705" t="s">
        <v>393</v>
      </c>
      <c r="F705" t="s">
        <v>395</v>
      </c>
      <c r="G705" t="s">
        <v>396</v>
      </c>
      <c r="H705" t="s">
        <v>17</v>
      </c>
      <c r="I705" t="s">
        <v>18</v>
      </c>
      <c r="J705" t="s">
        <v>19</v>
      </c>
      <c r="K705">
        <v>945</v>
      </c>
      <c r="L705">
        <v>0</v>
      </c>
      <c r="M705" t="s">
        <v>20</v>
      </c>
      <c r="N705">
        <f>L705/500</f>
        <v>0</v>
      </c>
      <c r="P705">
        <f>K705/800</f>
        <v>1.1812499999999999</v>
      </c>
    </row>
    <row r="706" spans="1:16" x14ac:dyDescent="0.35">
      <c r="A706">
        <v>71</v>
      </c>
      <c r="B706">
        <v>583005099</v>
      </c>
      <c r="C706">
        <v>35819</v>
      </c>
      <c r="D706" t="s">
        <v>113</v>
      </c>
      <c r="E706" t="s">
        <v>81</v>
      </c>
      <c r="F706" t="s">
        <v>114</v>
      </c>
      <c r="G706" t="s">
        <v>115</v>
      </c>
      <c r="H706" t="s">
        <v>17</v>
      </c>
      <c r="I706" t="s">
        <v>18</v>
      </c>
      <c r="J706" t="s">
        <v>19</v>
      </c>
      <c r="K706">
        <v>45</v>
      </c>
      <c r="L706">
        <v>0</v>
      </c>
      <c r="M706" t="s">
        <v>20</v>
      </c>
      <c r="N706">
        <f>L706/500</f>
        <v>0</v>
      </c>
      <c r="P706">
        <f>K706/800</f>
        <v>5.6250000000000001E-2</v>
      </c>
    </row>
    <row r="707" spans="1:16" x14ac:dyDescent="0.35">
      <c r="A707">
        <v>378</v>
      </c>
      <c r="B707">
        <v>583005613</v>
      </c>
      <c r="C707">
        <v>36530</v>
      </c>
      <c r="D707" t="s">
        <v>113</v>
      </c>
      <c r="E707" t="s">
        <v>270</v>
      </c>
      <c r="F707" t="s">
        <v>114</v>
      </c>
      <c r="G707" t="s">
        <v>115</v>
      </c>
      <c r="H707" t="s">
        <v>17</v>
      </c>
      <c r="I707" t="s">
        <v>18</v>
      </c>
      <c r="J707" t="s">
        <v>19</v>
      </c>
      <c r="K707">
        <v>45</v>
      </c>
      <c r="L707">
        <v>0</v>
      </c>
      <c r="M707" t="s">
        <v>20</v>
      </c>
      <c r="N707">
        <f>L707/500</f>
        <v>0</v>
      </c>
      <c r="P707">
        <f>K707/800</f>
        <v>5.6250000000000001E-2</v>
      </c>
    </row>
    <row r="708" spans="1:16" x14ac:dyDescent="0.35">
      <c r="A708">
        <v>693</v>
      </c>
      <c r="B708">
        <v>583006005</v>
      </c>
      <c r="C708">
        <v>37085</v>
      </c>
      <c r="D708" t="s">
        <v>113</v>
      </c>
      <c r="E708" t="s">
        <v>343</v>
      </c>
      <c r="F708" t="s">
        <v>114</v>
      </c>
      <c r="G708" t="s">
        <v>115</v>
      </c>
      <c r="H708" t="s">
        <v>17</v>
      </c>
      <c r="I708" t="s">
        <v>18</v>
      </c>
      <c r="J708" t="s">
        <v>19</v>
      </c>
      <c r="K708">
        <v>45</v>
      </c>
      <c r="L708">
        <v>0</v>
      </c>
      <c r="M708" t="s">
        <v>20</v>
      </c>
      <c r="N708">
        <f>L708/500</f>
        <v>0</v>
      </c>
      <c r="P708">
        <f>K708/800</f>
        <v>5.6250000000000001E-2</v>
      </c>
    </row>
    <row r="709" spans="1:16" x14ac:dyDescent="0.35">
      <c r="A709">
        <v>1056</v>
      </c>
      <c r="B709">
        <v>583006405</v>
      </c>
      <c r="C709">
        <v>37612</v>
      </c>
      <c r="D709" t="s">
        <v>113</v>
      </c>
      <c r="E709" t="s">
        <v>393</v>
      </c>
      <c r="F709" t="s">
        <v>114</v>
      </c>
      <c r="G709" t="s">
        <v>115</v>
      </c>
      <c r="H709" t="s">
        <v>17</v>
      </c>
      <c r="I709" t="s">
        <v>18</v>
      </c>
      <c r="J709" t="s">
        <v>19</v>
      </c>
      <c r="K709">
        <v>27</v>
      </c>
      <c r="L709">
        <v>0</v>
      </c>
      <c r="M709" t="s">
        <v>20</v>
      </c>
      <c r="N709">
        <f>L709/500</f>
        <v>0</v>
      </c>
      <c r="P709">
        <f>K709/800</f>
        <v>3.3750000000000002E-2</v>
      </c>
    </row>
    <row r="710" spans="1:16" x14ac:dyDescent="0.35">
      <c r="A710">
        <v>1060</v>
      </c>
      <c r="B710">
        <v>583006404</v>
      </c>
      <c r="C710">
        <v>37611</v>
      </c>
      <c r="D710" t="s">
        <v>113</v>
      </c>
      <c r="E710" t="s">
        <v>393</v>
      </c>
      <c r="F710" t="s">
        <v>114</v>
      </c>
      <c r="G710" t="s">
        <v>115</v>
      </c>
      <c r="H710" t="s">
        <v>17</v>
      </c>
      <c r="I710" t="s">
        <v>18</v>
      </c>
      <c r="J710" t="s">
        <v>19</v>
      </c>
      <c r="K710">
        <v>45</v>
      </c>
      <c r="L710">
        <v>0</v>
      </c>
      <c r="M710" t="s">
        <v>20</v>
      </c>
      <c r="N710">
        <f>L710/500</f>
        <v>0</v>
      </c>
      <c r="P710">
        <f>K710/800</f>
        <v>5.6250000000000001E-2</v>
      </c>
    </row>
    <row r="711" spans="1:16" x14ac:dyDescent="0.35">
      <c r="A711">
        <v>1061</v>
      </c>
      <c r="B711">
        <v>583006402</v>
      </c>
      <c r="C711">
        <v>37609</v>
      </c>
      <c r="D711" t="s">
        <v>113</v>
      </c>
      <c r="E711" t="s">
        <v>393</v>
      </c>
      <c r="F711" t="s">
        <v>114</v>
      </c>
      <c r="G711" t="s">
        <v>115</v>
      </c>
      <c r="H711" t="s">
        <v>17</v>
      </c>
      <c r="I711" t="s">
        <v>18</v>
      </c>
      <c r="J711" t="s">
        <v>19</v>
      </c>
      <c r="K711">
        <v>27</v>
      </c>
      <c r="L711">
        <v>0</v>
      </c>
      <c r="M711" t="s">
        <v>20</v>
      </c>
      <c r="N711">
        <f>L711/500</f>
        <v>0</v>
      </c>
      <c r="P711">
        <f>K711/800</f>
        <v>3.3750000000000002E-2</v>
      </c>
    </row>
    <row r="712" spans="1:16" x14ac:dyDescent="0.35">
      <c r="A712">
        <v>1265</v>
      </c>
      <c r="B712">
        <v>583006685</v>
      </c>
      <c r="C712">
        <v>37988</v>
      </c>
      <c r="D712" t="s">
        <v>113</v>
      </c>
      <c r="E712" t="s">
        <v>424</v>
      </c>
      <c r="F712" t="s">
        <v>114</v>
      </c>
      <c r="G712" t="s">
        <v>115</v>
      </c>
      <c r="H712" t="s">
        <v>17</v>
      </c>
      <c r="I712" t="s">
        <v>18</v>
      </c>
      <c r="J712" t="s">
        <v>19</v>
      </c>
      <c r="K712">
        <v>45</v>
      </c>
      <c r="L712">
        <v>0</v>
      </c>
      <c r="M712" t="s">
        <v>20</v>
      </c>
      <c r="N712">
        <f>L712/500</f>
        <v>0</v>
      </c>
      <c r="P712">
        <f>K712/800</f>
        <v>5.6250000000000001E-2</v>
      </c>
    </row>
    <row r="713" spans="1:16" x14ac:dyDescent="0.35">
      <c r="A713">
        <v>169</v>
      </c>
      <c r="B713">
        <v>583005218</v>
      </c>
      <c r="C713">
        <v>35976</v>
      </c>
      <c r="D713" t="s">
        <v>32</v>
      </c>
      <c r="E713" t="s">
        <v>177</v>
      </c>
      <c r="F713" t="s">
        <v>33</v>
      </c>
      <c r="G713" t="s">
        <v>34</v>
      </c>
      <c r="H713" t="s">
        <v>17</v>
      </c>
      <c r="I713" t="s">
        <v>18</v>
      </c>
      <c r="J713" t="s">
        <v>19</v>
      </c>
      <c r="K713">
        <v>108</v>
      </c>
      <c r="L713">
        <v>0</v>
      </c>
      <c r="M713" t="s">
        <v>20</v>
      </c>
      <c r="N713">
        <f>L713/500</f>
        <v>0</v>
      </c>
      <c r="P713">
        <f>K713/800</f>
        <v>0.13500000000000001</v>
      </c>
    </row>
    <row r="714" spans="1:16" x14ac:dyDescent="0.35">
      <c r="A714">
        <v>170</v>
      </c>
      <c r="B714">
        <v>583005218</v>
      </c>
      <c r="C714">
        <v>35976</v>
      </c>
      <c r="D714" t="s">
        <v>32</v>
      </c>
      <c r="E714" t="s">
        <v>177</v>
      </c>
      <c r="F714" t="s">
        <v>33</v>
      </c>
      <c r="G714" t="s">
        <v>34</v>
      </c>
      <c r="H714" t="s">
        <v>17</v>
      </c>
      <c r="I714" t="s">
        <v>18</v>
      </c>
      <c r="J714" t="s">
        <v>19</v>
      </c>
      <c r="K714">
        <v>2082</v>
      </c>
      <c r="L714">
        <v>0</v>
      </c>
      <c r="M714" t="s">
        <v>20</v>
      </c>
      <c r="N714">
        <f>L714/500</f>
        <v>0</v>
      </c>
      <c r="P714">
        <f>K714/800</f>
        <v>2.6025</v>
      </c>
    </row>
    <row r="715" spans="1:16" x14ac:dyDescent="0.35">
      <c r="A715">
        <v>171</v>
      </c>
      <c r="B715">
        <v>583005218</v>
      </c>
      <c r="C715">
        <v>35976</v>
      </c>
      <c r="D715" t="s">
        <v>32</v>
      </c>
      <c r="E715" t="s">
        <v>177</v>
      </c>
      <c r="F715" t="s">
        <v>33</v>
      </c>
      <c r="G715" t="s">
        <v>34</v>
      </c>
      <c r="H715" t="s">
        <v>17</v>
      </c>
      <c r="I715" t="s">
        <v>18</v>
      </c>
      <c r="J715" t="s">
        <v>19</v>
      </c>
      <c r="K715">
        <v>1377</v>
      </c>
      <c r="L715">
        <v>0</v>
      </c>
      <c r="M715" t="s">
        <v>20</v>
      </c>
      <c r="N715">
        <f>L715/500</f>
        <v>0</v>
      </c>
      <c r="P715">
        <f>K715/800</f>
        <v>1.7212499999999999</v>
      </c>
    </row>
    <row r="716" spans="1:16" x14ac:dyDescent="0.35">
      <c r="A716">
        <v>283</v>
      </c>
      <c r="B716">
        <v>583005428</v>
      </c>
      <c r="C716">
        <v>36271</v>
      </c>
      <c r="D716" t="s">
        <v>32</v>
      </c>
      <c r="E716" t="s">
        <v>254</v>
      </c>
      <c r="F716" t="s">
        <v>33</v>
      </c>
      <c r="G716" t="s">
        <v>34</v>
      </c>
      <c r="H716" t="s">
        <v>17</v>
      </c>
      <c r="I716" t="s">
        <v>18</v>
      </c>
      <c r="J716" t="s">
        <v>19</v>
      </c>
      <c r="K716">
        <v>384</v>
      </c>
      <c r="L716">
        <v>0</v>
      </c>
      <c r="M716" t="s">
        <v>20</v>
      </c>
      <c r="N716">
        <f>L716/500</f>
        <v>0</v>
      </c>
      <c r="P716">
        <f>K716/800</f>
        <v>0.48</v>
      </c>
    </row>
    <row r="717" spans="1:16" x14ac:dyDescent="0.35">
      <c r="A717">
        <v>284</v>
      </c>
      <c r="B717">
        <v>583005428</v>
      </c>
      <c r="C717">
        <v>36271</v>
      </c>
      <c r="D717" t="s">
        <v>32</v>
      </c>
      <c r="E717" t="s">
        <v>254</v>
      </c>
      <c r="F717" t="s">
        <v>33</v>
      </c>
      <c r="G717" t="s">
        <v>34</v>
      </c>
      <c r="H717" t="s">
        <v>17</v>
      </c>
      <c r="I717" t="s">
        <v>18</v>
      </c>
      <c r="J717" t="s">
        <v>19</v>
      </c>
      <c r="K717">
        <v>135</v>
      </c>
      <c r="L717">
        <v>0</v>
      </c>
      <c r="M717" t="s">
        <v>20</v>
      </c>
      <c r="N717">
        <f>L717/500</f>
        <v>0</v>
      </c>
      <c r="P717">
        <f>K717/800</f>
        <v>0.16875000000000001</v>
      </c>
    </row>
    <row r="718" spans="1:16" x14ac:dyDescent="0.35">
      <c r="A718">
        <v>286</v>
      </c>
      <c r="B718">
        <v>583005428</v>
      </c>
      <c r="C718">
        <v>36271</v>
      </c>
      <c r="D718" t="s">
        <v>32</v>
      </c>
      <c r="E718" t="s">
        <v>254</v>
      </c>
      <c r="F718" t="s">
        <v>33</v>
      </c>
      <c r="G718" t="s">
        <v>34</v>
      </c>
      <c r="H718" t="s">
        <v>17</v>
      </c>
      <c r="I718" t="s">
        <v>18</v>
      </c>
      <c r="J718" t="s">
        <v>19</v>
      </c>
      <c r="K718">
        <v>846</v>
      </c>
      <c r="L718">
        <v>0</v>
      </c>
      <c r="M718" t="s">
        <v>20</v>
      </c>
      <c r="N718">
        <f>L718/500</f>
        <v>0</v>
      </c>
      <c r="P718">
        <f>K718/800</f>
        <v>1.0575000000000001</v>
      </c>
    </row>
    <row r="719" spans="1:16" x14ac:dyDescent="0.35">
      <c r="A719">
        <v>925</v>
      </c>
      <c r="B719">
        <v>583006350</v>
      </c>
      <c r="C719">
        <v>37539</v>
      </c>
      <c r="D719" t="s">
        <v>32</v>
      </c>
      <c r="E719" t="s">
        <v>386</v>
      </c>
      <c r="F719" t="s">
        <v>33</v>
      </c>
      <c r="G719" t="s">
        <v>34</v>
      </c>
      <c r="H719" t="s">
        <v>17</v>
      </c>
      <c r="I719" t="s">
        <v>18</v>
      </c>
      <c r="J719" t="s">
        <v>19</v>
      </c>
      <c r="K719">
        <v>81</v>
      </c>
      <c r="L719">
        <v>0</v>
      </c>
      <c r="M719" t="s">
        <v>20</v>
      </c>
      <c r="N719">
        <f>L719/500</f>
        <v>0</v>
      </c>
      <c r="P719">
        <f>K719/800</f>
        <v>0.10125000000000001</v>
      </c>
    </row>
    <row r="720" spans="1:16" x14ac:dyDescent="0.35">
      <c r="A720">
        <v>926</v>
      </c>
      <c r="B720">
        <v>583006350</v>
      </c>
      <c r="C720">
        <v>37539</v>
      </c>
      <c r="D720" t="s">
        <v>32</v>
      </c>
      <c r="E720" t="s">
        <v>386</v>
      </c>
      <c r="F720" t="s">
        <v>33</v>
      </c>
      <c r="G720" t="s">
        <v>34</v>
      </c>
      <c r="H720" t="s">
        <v>17</v>
      </c>
      <c r="I720" t="s">
        <v>18</v>
      </c>
      <c r="J720" t="s">
        <v>19</v>
      </c>
      <c r="K720">
        <v>1377</v>
      </c>
      <c r="L720">
        <v>0</v>
      </c>
      <c r="M720" t="s">
        <v>20</v>
      </c>
      <c r="N720">
        <f>L720/500</f>
        <v>0</v>
      </c>
      <c r="P720">
        <f>K720/800</f>
        <v>1.7212499999999999</v>
      </c>
    </row>
    <row r="721" spans="1:16" x14ac:dyDescent="0.35">
      <c r="A721">
        <v>930</v>
      </c>
      <c r="B721">
        <v>583006364</v>
      </c>
      <c r="C721">
        <v>37555</v>
      </c>
      <c r="D721" t="s">
        <v>32</v>
      </c>
      <c r="E721" t="s">
        <v>386</v>
      </c>
      <c r="F721" t="s">
        <v>33</v>
      </c>
      <c r="G721" t="s">
        <v>34</v>
      </c>
      <c r="H721" t="s">
        <v>17</v>
      </c>
      <c r="I721" t="s">
        <v>18</v>
      </c>
      <c r="J721" t="s">
        <v>19</v>
      </c>
      <c r="K721">
        <v>1044</v>
      </c>
      <c r="L721">
        <v>0</v>
      </c>
      <c r="M721" t="s">
        <v>20</v>
      </c>
      <c r="N721">
        <f>L721/500</f>
        <v>0</v>
      </c>
      <c r="P721">
        <f>K721/800</f>
        <v>1.3049999999999999</v>
      </c>
    </row>
    <row r="722" spans="1:16" x14ac:dyDescent="0.35">
      <c r="A722">
        <v>931</v>
      </c>
      <c r="B722">
        <v>583006364</v>
      </c>
      <c r="C722">
        <v>37555</v>
      </c>
      <c r="D722" t="s">
        <v>32</v>
      </c>
      <c r="E722" t="s">
        <v>386</v>
      </c>
      <c r="F722" t="s">
        <v>33</v>
      </c>
      <c r="G722" t="s">
        <v>34</v>
      </c>
      <c r="H722" t="s">
        <v>17</v>
      </c>
      <c r="I722" t="s">
        <v>18</v>
      </c>
      <c r="J722" t="s">
        <v>19</v>
      </c>
      <c r="K722">
        <v>180</v>
      </c>
      <c r="L722">
        <v>0</v>
      </c>
      <c r="M722" t="s">
        <v>20</v>
      </c>
      <c r="N722">
        <f>L722/500</f>
        <v>0</v>
      </c>
      <c r="P722">
        <f>K722/800</f>
        <v>0.22500000000000001</v>
      </c>
    </row>
    <row r="723" spans="1:16" x14ac:dyDescent="0.35">
      <c r="A723">
        <v>932</v>
      </c>
      <c r="B723">
        <v>583006364</v>
      </c>
      <c r="C723">
        <v>37555</v>
      </c>
      <c r="D723" t="s">
        <v>32</v>
      </c>
      <c r="E723" t="s">
        <v>386</v>
      </c>
      <c r="F723" t="s">
        <v>33</v>
      </c>
      <c r="G723" t="s">
        <v>34</v>
      </c>
      <c r="H723" t="s">
        <v>17</v>
      </c>
      <c r="I723" t="s">
        <v>18</v>
      </c>
      <c r="J723" t="s">
        <v>19</v>
      </c>
      <c r="K723">
        <v>36</v>
      </c>
      <c r="L723">
        <v>0</v>
      </c>
      <c r="M723" t="s">
        <v>20</v>
      </c>
      <c r="N723">
        <f>L723/500</f>
        <v>0</v>
      </c>
      <c r="P723">
        <f>K723/800</f>
        <v>4.4999999999999998E-2</v>
      </c>
    </row>
    <row r="724" spans="1:16" x14ac:dyDescent="0.35">
      <c r="A724">
        <v>933</v>
      </c>
      <c r="B724">
        <v>583006364</v>
      </c>
      <c r="C724">
        <v>37555</v>
      </c>
      <c r="D724" t="s">
        <v>32</v>
      </c>
      <c r="E724" t="s">
        <v>386</v>
      </c>
      <c r="F724" t="s">
        <v>33</v>
      </c>
      <c r="G724" t="s">
        <v>34</v>
      </c>
      <c r="H724" t="s">
        <v>17</v>
      </c>
      <c r="I724" t="s">
        <v>18</v>
      </c>
      <c r="J724" t="s">
        <v>19</v>
      </c>
      <c r="K724">
        <v>108</v>
      </c>
      <c r="L724">
        <v>0</v>
      </c>
      <c r="M724" t="s">
        <v>20</v>
      </c>
      <c r="N724">
        <f>L724/500</f>
        <v>0</v>
      </c>
      <c r="P724">
        <f>K724/800</f>
        <v>0.13500000000000001</v>
      </c>
    </row>
    <row r="725" spans="1:16" x14ac:dyDescent="0.35">
      <c r="A725">
        <v>934</v>
      </c>
      <c r="B725">
        <v>583006364</v>
      </c>
      <c r="C725">
        <v>37555</v>
      </c>
      <c r="D725" t="s">
        <v>32</v>
      </c>
      <c r="E725" t="s">
        <v>386</v>
      </c>
      <c r="F725" t="s">
        <v>33</v>
      </c>
      <c r="G725" t="s">
        <v>34</v>
      </c>
      <c r="H725" t="s">
        <v>17</v>
      </c>
      <c r="I725" t="s">
        <v>18</v>
      </c>
      <c r="J725" t="s">
        <v>19</v>
      </c>
      <c r="K725">
        <v>180</v>
      </c>
      <c r="L725">
        <v>0</v>
      </c>
      <c r="M725" t="s">
        <v>20</v>
      </c>
      <c r="N725">
        <f>L725/500</f>
        <v>0</v>
      </c>
      <c r="P725">
        <f>K725/800</f>
        <v>0.22500000000000001</v>
      </c>
    </row>
    <row r="726" spans="1:16" x14ac:dyDescent="0.35">
      <c r="A726">
        <v>935</v>
      </c>
      <c r="B726">
        <v>583006350</v>
      </c>
      <c r="C726">
        <v>37539</v>
      </c>
      <c r="D726" t="s">
        <v>32</v>
      </c>
      <c r="E726" t="s">
        <v>386</v>
      </c>
      <c r="F726" t="s">
        <v>33</v>
      </c>
      <c r="G726" t="s">
        <v>34</v>
      </c>
      <c r="H726" t="s">
        <v>17</v>
      </c>
      <c r="I726" t="s">
        <v>18</v>
      </c>
      <c r="J726" t="s">
        <v>19</v>
      </c>
      <c r="K726">
        <v>72</v>
      </c>
      <c r="L726">
        <v>0</v>
      </c>
      <c r="M726" t="s">
        <v>20</v>
      </c>
      <c r="N726">
        <f>L726/500</f>
        <v>0</v>
      </c>
      <c r="P726">
        <f>K726/800</f>
        <v>0.09</v>
      </c>
    </row>
    <row r="727" spans="1:16" x14ac:dyDescent="0.35">
      <c r="A727">
        <v>1085</v>
      </c>
      <c r="B727">
        <v>583006514</v>
      </c>
      <c r="C727">
        <v>37760</v>
      </c>
      <c r="D727" t="s">
        <v>32</v>
      </c>
      <c r="E727" t="s">
        <v>404</v>
      </c>
      <c r="F727" t="s">
        <v>33</v>
      </c>
      <c r="G727" t="s">
        <v>34</v>
      </c>
      <c r="H727" t="s">
        <v>17</v>
      </c>
      <c r="I727" t="s">
        <v>18</v>
      </c>
      <c r="J727" t="s">
        <v>19</v>
      </c>
      <c r="K727">
        <v>432</v>
      </c>
      <c r="L727">
        <v>0</v>
      </c>
      <c r="M727" t="s">
        <v>20</v>
      </c>
      <c r="N727">
        <f>L727/500</f>
        <v>0</v>
      </c>
      <c r="P727">
        <f>K727/800</f>
        <v>0.54</v>
      </c>
    </row>
    <row r="728" spans="1:16" x14ac:dyDescent="0.35">
      <c r="A728">
        <v>1087</v>
      </c>
      <c r="B728">
        <v>583006556</v>
      </c>
      <c r="C728">
        <v>37816</v>
      </c>
      <c r="D728" t="s">
        <v>32</v>
      </c>
      <c r="E728" t="s">
        <v>404</v>
      </c>
      <c r="F728" t="s">
        <v>33</v>
      </c>
      <c r="G728" t="s">
        <v>34</v>
      </c>
      <c r="H728" t="s">
        <v>17</v>
      </c>
      <c r="I728" t="s">
        <v>18</v>
      </c>
      <c r="J728" t="s">
        <v>19</v>
      </c>
      <c r="K728">
        <v>1878</v>
      </c>
      <c r="L728">
        <v>0</v>
      </c>
      <c r="M728" t="s">
        <v>20</v>
      </c>
      <c r="N728">
        <f>L728/500</f>
        <v>0</v>
      </c>
      <c r="P728">
        <f>K728/800</f>
        <v>2.3475000000000001</v>
      </c>
    </row>
    <row r="729" spans="1:16" x14ac:dyDescent="0.35">
      <c r="A729">
        <v>1089</v>
      </c>
      <c r="B729">
        <v>583006556</v>
      </c>
      <c r="C729">
        <v>37816</v>
      </c>
      <c r="D729" t="s">
        <v>32</v>
      </c>
      <c r="E729" t="s">
        <v>404</v>
      </c>
      <c r="F729" t="s">
        <v>33</v>
      </c>
      <c r="G729" t="s">
        <v>34</v>
      </c>
      <c r="H729" t="s">
        <v>17</v>
      </c>
      <c r="I729" t="s">
        <v>18</v>
      </c>
      <c r="J729" t="s">
        <v>19</v>
      </c>
      <c r="K729">
        <v>297</v>
      </c>
      <c r="L729">
        <v>0</v>
      </c>
      <c r="M729" t="s">
        <v>20</v>
      </c>
      <c r="N729">
        <f>L729/500</f>
        <v>0</v>
      </c>
      <c r="P729">
        <f>K729/800</f>
        <v>0.37125000000000002</v>
      </c>
    </row>
    <row r="730" spans="1:16" x14ac:dyDescent="0.35">
      <c r="A730">
        <v>1090</v>
      </c>
      <c r="B730">
        <v>583006556</v>
      </c>
      <c r="C730">
        <v>37816</v>
      </c>
      <c r="D730" t="s">
        <v>32</v>
      </c>
      <c r="E730" t="s">
        <v>404</v>
      </c>
      <c r="F730" t="s">
        <v>33</v>
      </c>
      <c r="G730" t="s">
        <v>34</v>
      </c>
      <c r="H730" t="s">
        <v>17</v>
      </c>
      <c r="I730" t="s">
        <v>18</v>
      </c>
      <c r="J730" t="s">
        <v>19</v>
      </c>
      <c r="K730">
        <v>1419</v>
      </c>
      <c r="L730">
        <v>0</v>
      </c>
      <c r="M730" t="s">
        <v>20</v>
      </c>
      <c r="N730">
        <f>L730/500</f>
        <v>0</v>
      </c>
      <c r="P730">
        <f>K730/800</f>
        <v>1.7737499999999999</v>
      </c>
    </row>
    <row r="731" spans="1:16" x14ac:dyDescent="0.35">
      <c r="A731">
        <v>1091</v>
      </c>
      <c r="B731">
        <v>583006556</v>
      </c>
      <c r="C731">
        <v>37816</v>
      </c>
      <c r="D731" t="s">
        <v>32</v>
      </c>
      <c r="E731" t="s">
        <v>404</v>
      </c>
      <c r="F731" t="s">
        <v>33</v>
      </c>
      <c r="G731" t="s">
        <v>34</v>
      </c>
      <c r="H731" t="s">
        <v>17</v>
      </c>
      <c r="I731" t="s">
        <v>18</v>
      </c>
      <c r="J731" t="s">
        <v>19</v>
      </c>
      <c r="K731">
        <v>72</v>
      </c>
      <c r="L731">
        <v>0</v>
      </c>
      <c r="M731" t="s">
        <v>20</v>
      </c>
      <c r="N731">
        <f>L731/500</f>
        <v>0</v>
      </c>
      <c r="P731">
        <f>K731/800</f>
        <v>0.09</v>
      </c>
    </row>
    <row r="732" spans="1:16" x14ac:dyDescent="0.35">
      <c r="A732">
        <v>1098</v>
      </c>
      <c r="B732">
        <v>583006514</v>
      </c>
      <c r="C732">
        <v>37760</v>
      </c>
      <c r="D732" t="s">
        <v>32</v>
      </c>
      <c r="E732" t="s">
        <v>404</v>
      </c>
      <c r="F732" t="s">
        <v>33</v>
      </c>
      <c r="G732" t="s">
        <v>34</v>
      </c>
      <c r="H732" t="s">
        <v>17</v>
      </c>
      <c r="I732" t="s">
        <v>18</v>
      </c>
      <c r="J732" t="s">
        <v>19</v>
      </c>
      <c r="K732">
        <v>720</v>
      </c>
      <c r="L732">
        <v>0</v>
      </c>
      <c r="M732" t="s">
        <v>20</v>
      </c>
      <c r="N732">
        <f>L732/500</f>
        <v>0</v>
      </c>
      <c r="P732">
        <f>K732/800</f>
        <v>0.9</v>
      </c>
    </row>
    <row r="733" spans="1:16" x14ac:dyDescent="0.35">
      <c r="A733">
        <v>1099</v>
      </c>
      <c r="B733">
        <v>583006514</v>
      </c>
      <c r="C733">
        <v>37760</v>
      </c>
      <c r="D733" t="s">
        <v>32</v>
      </c>
      <c r="E733" t="s">
        <v>404</v>
      </c>
      <c r="F733" t="s">
        <v>33</v>
      </c>
      <c r="G733" t="s">
        <v>34</v>
      </c>
      <c r="H733" t="s">
        <v>17</v>
      </c>
      <c r="I733" t="s">
        <v>18</v>
      </c>
      <c r="J733" t="s">
        <v>19</v>
      </c>
      <c r="K733">
        <v>432</v>
      </c>
      <c r="L733">
        <v>0</v>
      </c>
      <c r="M733" t="s">
        <v>20</v>
      </c>
      <c r="N733">
        <f>L733/500</f>
        <v>0</v>
      </c>
      <c r="P733">
        <f>K733/800</f>
        <v>0.54</v>
      </c>
    </row>
    <row r="734" spans="1:16" x14ac:dyDescent="0.35">
      <c r="A734">
        <v>1101</v>
      </c>
      <c r="B734">
        <v>583006556</v>
      </c>
      <c r="C734">
        <v>37816</v>
      </c>
      <c r="D734" t="s">
        <v>32</v>
      </c>
      <c r="E734" t="s">
        <v>404</v>
      </c>
      <c r="F734" t="s">
        <v>33</v>
      </c>
      <c r="G734" t="s">
        <v>34</v>
      </c>
      <c r="H734" t="s">
        <v>17</v>
      </c>
      <c r="I734" t="s">
        <v>18</v>
      </c>
      <c r="J734" t="s">
        <v>19</v>
      </c>
      <c r="K734">
        <v>39</v>
      </c>
      <c r="L734">
        <v>0</v>
      </c>
      <c r="M734" t="s">
        <v>20</v>
      </c>
      <c r="N734">
        <f>L734/500</f>
        <v>0</v>
      </c>
      <c r="P734">
        <f>K734/800</f>
        <v>4.8750000000000002E-2</v>
      </c>
    </row>
    <row r="735" spans="1:16" x14ac:dyDescent="0.35">
      <c r="A735">
        <v>1312</v>
      </c>
      <c r="B735">
        <v>583006755</v>
      </c>
      <c r="C735">
        <v>38088</v>
      </c>
      <c r="D735" t="s">
        <v>32</v>
      </c>
      <c r="E735" t="s">
        <v>434</v>
      </c>
      <c r="F735" t="s">
        <v>33</v>
      </c>
      <c r="G735" t="s">
        <v>34</v>
      </c>
      <c r="H735" t="s">
        <v>17</v>
      </c>
      <c r="I735" t="s">
        <v>18</v>
      </c>
      <c r="J735" t="s">
        <v>19</v>
      </c>
      <c r="K735">
        <v>12</v>
      </c>
      <c r="L735">
        <v>0</v>
      </c>
      <c r="M735" t="s">
        <v>20</v>
      </c>
      <c r="N735">
        <f>L735/500</f>
        <v>0</v>
      </c>
      <c r="P735">
        <f>K735/800</f>
        <v>1.4999999999999999E-2</v>
      </c>
    </row>
    <row r="736" spans="1:16" x14ac:dyDescent="0.35">
      <c r="A736">
        <v>1313</v>
      </c>
      <c r="B736">
        <v>583006755</v>
      </c>
      <c r="C736">
        <v>38088</v>
      </c>
      <c r="D736" t="s">
        <v>32</v>
      </c>
      <c r="E736" t="s">
        <v>434</v>
      </c>
      <c r="F736" t="s">
        <v>33</v>
      </c>
      <c r="G736" t="s">
        <v>34</v>
      </c>
      <c r="H736" t="s">
        <v>17</v>
      </c>
      <c r="I736" t="s">
        <v>18</v>
      </c>
      <c r="J736" t="s">
        <v>19</v>
      </c>
      <c r="K736">
        <v>186</v>
      </c>
      <c r="L736">
        <v>0</v>
      </c>
      <c r="M736" t="s">
        <v>20</v>
      </c>
      <c r="N736">
        <f>L736/500</f>
        <v>0</v>
      </c>
      <c r="P736">
        <f>K736/800</f>
        <v>0.23250000000000001</v>
      </c>
    </row>
    <row r="737" spans="1:16" x14ac:dyDescent="0.35">
      <c r="A737">
        <v>1314</v>
      </c>
      <c r="B737">
        <v>583006755</v>
      </c>
      <c r="C737">
        <v>38088</v>
      </c>
      <c r="D737" t="s">
        <v>32</v>
      </c>
      <c r="E737" t="s">
        <v>434</v>
      </c>
      <c r="F737" t="s">
        <v>33</v>
      </c>
      <c r="G737" t="s">
        <v>34</v>
      </c>
      <c r="H737" t="s">
        <v>17</v>
      </c>
      <c r="I737" t="s">
        <v>18</v>
      </c>
      <c r="J737" t="s">
        <v>19</v>
      </c>
      <c r="K737">
        <v>84</v>
      </c>
      <c r="L737">
        <v>0</v>
      </c>
      <c r="M737" t="s">
        <v>20</v>
      </c>
      <c r="N737">
        <f>L737/500</f>
        <v>0</v>
      </c>
      <c r="P737">
        <f>K737/800</f>
        <v>0.105</v>
      </c>
    </row>
    <row r="738" spans="1:16" x14ac:dyDescent="0.35">
      <c r="A738">
        <v>1322</v>
      </c>
      <c r="B738">
        <v>583006755</v>
      </c>
      <c r="C738">
        <v>38088</v>
      </c>
      <c r="D738" t="s">
        <v>32</v>
      </c>
      <c r="E738" t="s">
        <v>434</v>
      </c>
      <c r="F738" t="s">
        <v>33</v>
      </c>
      <c r="G738" t="s">
        <v>34</v>
      </c>
      <c r="H738" t="s">
        <v>17</v>
      </c>
      <c r="I738" t="s">
        <v>18</v>
      </c>
      <c r="J738" t="s">
        <v>19</v>
      </c>
      <c r="K738">
        <v>1227</v>
      </c>
      <c r="L738">
        <v>0</v>
      </c>
      <c r="M738" t="s">
        <v>20</v>
      </c>
      <c r="N738">
        <f>L738/500</f>
        <v>0</v>
      </c>
      <c r="P738">
        <f>K738/800</f>
        <v>1.5337499999999999</v>
      </c>
    </row>
    <row r="739" spans="1:16" x14ac:dyDescent="0.35">
      <c r="A739">
        <v>744</v>
      </c>
      <c r="B739">
        <v>583006066</v>
      </c>
      <c r="C739">
        <v>37167</v>
      </c>
      <c r="D739" t="s">
        <v>107</v>
      </c>
      <c r="E739" t="s">
        <v>347</v>
      </c>
      <c r="F739" t="s">
        <v>108</v>
      </c>
      <c r="G739" t="s">
        <v>109</v>
      </c>
      <c r="H739" t="s">
        <v>17</v>
      </c>
      <c r="I739" t="s">
        <v>63</v>
      </c>
      <c r="J739" t="s">
        <v>64</v>
      </c>
      <c r="K739">
        <v>48</v>
      </c>
      <c r="L739">
        <v>79.2</v>
      </c>
      <c r="M739" t="s">
        <v>20</v>
      </c>
      <c r="N739">
        <f>L739/500</f>
        <v>0.15840000000000001</v>
      </c>
    </row>
    <row r="740" spans="1:16" x14ac:dyDescent="0.35">
      <c r="A740">
        <v>67</v>
      </c>
      <c r="B740">
        <v>583005098</v>
      </c>
      <c r="C740">
        <v>35818</v>
      </c>
      <c r="D740" t="s">
        <v>107</v>
      </c>
      <c r="E740" t="s">
        <v>81</v>
      </c>
      <c r="F740" t="s">
        <v>108</v>
      </c>
      <c r="G740" t="s">
        <v>109</v>
      </c>
      <c r="H740" t="s">
        <v>17</v>
      </c>
      <c r="I740" t="s">
        <v>18</v>
      </c>
      <c r="J740" t="s">
        <v>19</v>
      </c>
      <c r="K740">
        <v>9</v>
      </c>
      <c r="L740">
        <v>0</v>
      </c>
      <c r="M740" t="s">
        <v>20</v>
      </c>
      <c r="N740">
        <f>L740/500</f>
        <v>0</v>
      </c>
      <c r="P740">
        <f>K740/800</f>
        <v>1.125E-2</v>
      </c>
    </row>
    <row r="741" spans="1:16" x14ac:dyDescent="0.35">
      <c r="A741">
        <v>184</v>
      </c>
      <c r="B741">
        <v>583005248</v>
      </c>
      <c r="C741">
        <v>36020</v>
      </c>
      <c r="D741" t="s">
        <v>107</v>
      </c>
      <c r="E741" t="s">
        <v>200</v>
      </c>
      <c r="F741" t="s">
        <v>108</v>
      </c>
      <c r="G741" t="s">
        <v>109</v>
      </c>
      <c r="H741" t="s">
        <v>17</v>
      </c>
      <c r="I741" t="s">
        <v>18</v>
      </c>
      <c r="J741" t="s">
        <v>19</v>
      </c>
      <c r="K741">
        <v>63</v>
      </c>
      <c r="L741">
        <v>0</v>
      </c>
      <c r="M741" t="s">
        <v>20</v>
      </c>
      <c r="N741">
        <f>L741/500</f>
        <v>0</v>
      </c>
      <c r="P741">
        <f>K741/800</f>
        <v>7.8750000000000001E-2</v>
      </c>
    </row>
    <row r="742" spans="1:16" x14ac:dyDescent="0.35">
      <c r="A742">
        <v>199</v>
      </c>
      <c r="B742">
        <v>583005248</v>
      </c>
      <c r="C742">
        <v>36020</v>
      </c>
      <c r="D742" t="s">
        <v>107</v>
      </c>
      <c r="E742" t="s">
        <v>200</v>
      </c>
      <c r="F742" t="s">
        <v>108</v>
      </c>
      <c r="G742" t="s">
        <v>109</v>
      </c>
      <c r="H742" t="s">
        <v>17</v>
      </c>
      <c r="I742" t="s">
        <v>18</v>
      </c>
      <c r="J742" t="s">
        <v>19</v>
      </c>
      <c r="K742">
        <v>45</v>
      </c>
      <c r="L742">
        <v>0</v>
      </c>
      <c r="M742" t="s">
        <v>20</v>
      </c>
      <c r="N742">
        <f>L742/500</f>
        <v>0</v>
      </c>
      <c r="P742">
        <f>K742/800</f>
        <v>5.6250000000000001E-2</v>
      </c>
    </row>
    <row r="743" spans="1:16" x14ac:dyDescent="0.35">
      <c r="A743">
        <v>1450</v>
      </c>
      <c r="B743">
        <v>583006929</v>
      </c>
      <c r="C743">
        <v>38322</v>
      </c>
      <c r="D743" t="s">
        <v>107</v>
      </c>
      <c r="E743" t="s">
        <v>451</v>
      </c>
      <c r="F743" t="s">
        <v>108</v>
      </c>
      <c r="G743" t="s">
        <v>109</v>
      </c>
      <c r="H743" t="s">
        <v>17</v>
      </c>
      <c r="I743" t="s">
        <v>18</v>
      </c>
      <c r="J743" t="s">
        <v>19</v>
      </c>
      <c r="K743">
        <v>9</v>
      </c>
      <c r="L743">
        <v>0</v>
      </c>
      <c r="M743" t="s">
        <v>20</v>
      </c>
      <c r="N743">
        <f>L743/500</f>
        <v>0</v>
      </c>
      <c r="P743">
        <f>K743/800</f>
        <v>1.125E-2</v>
      </c>
    </row>
    <row r="744" spans="1:16" x14ac:dyDescent="0.35">
      <c r="A744">
        <v>1454</v>
      </c>
      <c r="B744">
        <v>583006924</v>
      </c>
      <c r="C744">
        <v>38317</v>
      </c>
      <c r="D744" t="s">
        <v>107</v>
      </c>
      <c r="E744" t="s">
        <v>451</v>
      </c>
      <c r="F744" t="s">
        <v>108</v>
      </c>
      <c r="G744" t="s">
        <v>109</v>
      </c>
      <c r="H744" t="s">
        <v>17</v>
      </c>
      <c r="I744" t="s">
        <v>18</v>
      </c>
      <c r="J744" t="s">
        <v>19</v>
      </c>
      <c r="K744">
        <v>45</v>
      </c>
      <c r="L744">
        <v>0</v>
      </c>
      <c r="M744" t="s">
        <v>20</v>
      </c>
      <c r="N744">
        <f>L744/500</f>
        <v>0</v>
      </c>
      <c r="P744">
        <f>K744/800</f>
        <v>5.6250000000000001E-2</v>
      </c>
    </row>
    <row r="745" spans="1:16" x14ac:dyDescent="0.35">
      <c r="A745">
        <v>895</v>
      </c>
      <c r="B745">
        <v>583006200</v>
      </c>
      <c r="C745">
        <v>37338</v>
      </c>
      <c r="D745" t="s">
        <v>374</v>
      </c>
      <c r="E745" t="s">
        <v>367</v>
      </c>
      <c r="F745" t="s">
        <v>375</v>
      </c>
      <c r="G745" t="s">
        <v>376</v>
      </c>
      <c r="H745" t="s">
        <v>17</v>
      </c>
      <c r="I745" t="s">
        <v>18</v>
      </c>
      <c r="J745" t="s">
        <v>19</v>
      </c>
      <c r="K745">
        <v>45</v>
      </c>
      <c r="L745">
        <v>0</v>
      </c>
      <c r="M745" t="s">
        <v>20</v>
      </c>
      <c r="N745">
        <f>L745/500</f>
        <v>0</v>
      </c>
      <c r="P745">
        <f>K745/800</f>
        <v>5.6250000000000001E-2</v>
      </c>
    </row>
    <row r="746" spans="1:16" x14ac:dyDescent="0.35">
      <c r="A746">
        <v>903</v>
      </c>
      <c r="B746">
        <v>583006199</v>
      </c>
      <c r="C746">
        <v>37337</v>
      </c>
      <c r="D746" t="s">
        <v>374</v>
      </c>
      <c r="E746" t="s">
        <v>367</v>
      </c>
      <c r="F746" t="s">
        <v>375</v>
      </c>
      <c r="G746" t="s">
        <v>376</v>
      </c>
      <c r="H746" t="s">
        <v>17</v>
      </c>
      <c r="I746" t="s">
        <v>18</v>
      </c>
      <c r="J746" t="s">
        <v>19</v>
      </c>
      <c r="K746">
        <v>15</v>
      </c>
      <c r="L746">
        <v>0</v>
      </c>
      <c r="M746" t="s">
        <v>20</v>
      </c>
      <c r="N746">
        <f>L746/500</f>
        <v>0</v>
      </c>
      <c r="P746">
        <f>K746/800</f>
        <v>1.8749999999999999E-2</v>
      </c>
    </row>
    <row r="747" spans="1:16" x14ac:dyDescent="0.35">
      <c r="A747">
        <v>914</v>
      </c>
      <c r="B747">
        <v>583006204</v>
      </c>
      <c r="C747">
        <v>37343</v>
      </c>
      <c r="D747" t="s">
        <v>374</v>
      </c>
      <c r="E747" t="s">
        <v>367</v>
      </c>
      <c r="F747" t="s">
        <v>375</v>
      </c>
      <c r="G747" t="s">
        <v>376</v>
      </c>
      <c r="H747" t="s">
        <v>17</v>
      </c>
      <c r="I747" t="s">
        <v>18</v>
      </c>
      <c r="J747" t="s">
        <v>19</v>
      </c>
      <c r="K747">
        <v>6</v>
      </c>
      <c r="L747">
        <v>0</v>
      </c>
      <c r="M747" t="s">
        <v>20</v>
      </c>
      <c r="N747">
        <f>L747/500</f>
        <v>0</v>
      </c>
      <c r="P747">
        <f>K747/800</f>
        <v>7.4999999999999997E-3</v>
      </c>
    </row>
    <row r="748" spans="1:16" x14ac:dyDescent="0.35">
      <c r="A748">
        <v>916</v>
      </c>
      <c r="B748">
        <v>583006202</v>
      </c>
      <c r="C748">
        <v>37341</v>
      </c>
      <c r="D748" t="s">
        <v>374</v>
      </c>
      <c r="E748" t="s">
        <v>367</v>
      </c>
      <c r="F748" t="s">
        <v>375</v>
      </c>
      <c r="G748" t="s">
        <v>376</v>
      </c>
      <c r="H748" t="s">
        <v>17</v>
      </c>
      <c r="I748" t="s">
        <v>18</v>
      </c>
      <c r="J748" t="s">
        <v>19</v>
      </c>
      <c r="K748">
        <v>72</v>
      </c>
      <c r="L748">
        <v>0</v>
      </c>
      <c r="M748" t="s">
        <v>20</v>
      </c>
      <c r="N748">
        <f>L748/500</f>
        <v>0</v>
      </c>
      <c r="P748">
        <f>K748/800</f>
        <v>0.09</v>
      </c>
    </row>
    <row r="749" spans="1:16" x14ac:dyDescent="0.35">
      <c r="A749">
        <v>917</v>
      </c>
      <c r="B749">
        <v>583006201</v>
      </c>
      <c r="C749">
        <v>37339</v>
      </c>
      <c r="D749" t="s">
        <v>374</v>
      </c>
      <c r="E749" t="s">
        <v>367</v>
      </c>
      <c r="F749" t="s">
        <v>375</v>
      </c>
      <c r="G749" t="s">
        <v>376</v>
      </c>
      <c r="H749" t="s">
        <v>17</v>
      </c>
      <c r="I749" t="s">
        <v>18</v>
      </c>
      <c r="J749" t="s">
        <v>19</v>
      </c>
      <c r="K749">
        <v>108</v>
      </c>
      <c r="L749">
        <v>0</v>
      </c>
      <c r="M749" t="s">
        <v>20</v>
      </c>
      <c r="N749">
        <f>L749/500</f>
        <v>0</v>
      </c>
      <c r="P749">
        <f>K749/800</f>
        <v>0.13500000000000001</v>
      </c>
    </row>
    <row r="750" spans="1:16" x14ac:dyDescent="0.35">
      <c r="A750">
        <v>1088</v>
      </c>
      <c r="B750">
        <v>583006549</v>
      </c>
      <c r="C750">
        <v>37809</v>
      </c>
      <c r="D750" t="s">
        <v>374</v>
      </c>
      <c r="E750" t="s">
        <v>404</v>
      </c>
      <c r="F750" t="s">
        <v>375</v>
      </c>
      <c r="G750" t="s">
        <v>376</v>
      </c>
      <c r="H750" t="s">
        <v>17</v>
      </c>
      <c r="I750" t="s">
        <v>18</v>
      </c>
      <c r="J750" t="s">
        <v>19</v>
      </c>
      <c r="K750">
        <v>576</v>
      </c>
      <c r="L750">
        <v>0</v>
      </c>
      <c r="M750" t="s">
        <v>20</v>
      </c>
      <c r="N750">
        <f>L750/500</f>
        <v>0</v>
      </c>
      <c r="P750">
        <f>K750/800</f>
        <v>0.72</v>
      </c>
    </row>
    <row r="751" spans="1:16" x14ac:dyDescent="0.35">
      <c r="A751">
        <v>1096</v>
      </c>
      <c r="B751">
        <v>583006549</v>
      </c>
      <c r="C751">
        <v>37809</v>
      </c>
      <c r="D751" t="s">
        <v>374</v>
      </c>
      <c r="E751" t="s">
        <v>404</v>
      </c>
      <c r="F751" t="s">
        <v>375</v>
      </c>
      <c r="G751" t="s">
        <v>376</v>
      </c>
      <c r="H751" t="s">
        <v>17</v>
      </c>
      <c r="I751" t="s">
        <v>18</v>
      </c>
      <c r="J751" t="s">
        <v>19</v>
      </c>
      <c r="K751">
        <v>792</v>
      </c>
      <c r="L751">
        <v>0</v>
      </c>
      <c r="M751" t="s">
        <v>20</v>
      </c>
      <c r="N751">
        <f>L751/500</f>
        <v>0</v>
      </c>
      <c r="P751">
        <f>K751/800</f>
        <v>0.99</v>
      </c>
    </row>
    <row r="752" spans="1:16" x14ac:dyDescent="0.35">
      <c r="A752">
        <v>1097</v>
      </c>
      <c r="B752">
        <v>583006549</v>
      </c>
      <c r="C752">
        <v>37809</v>
      </c>
      <c r="D752" t="s">
        <v>374</v>
      </c>
      <c r="E752" t="s">
        <v>404</v>
      </c>
      <c r="F752" t="s">
        <v>375</v>
      </c>
      <c r="G752" t="s">
        <v>376</v>
      </c>
      <c r="H752" t="s">
        <v>17</v>
      </c>
      <c r="I752" t="s">
        <v>18</v>
      </c>
      <c r="J752" t="s">
        <v>19</v>
      </c>
      <c r="K752">
        <v>270</v>
      </c>
      <c r="L752">
        <v>0</v>
      </c>
      <c r="M752" t="s">
        <v>20</v>
      </c>
      <c r="N752">
        <f>L752/500</f>
        <v>0</v>
      </c>
      <c r="P752">
        <f>K752/800</f>
        <v>0.33750000000000002</v>
      </c>
    </row>
    <row r="753" spans="1:16" x14ac:dyDescent="0.35">
      <c r="A753">
        <v>1100</v>
      </c>
      <c r="B753">
        <v>583006549</v>
      </c>
      <c r="C753">
        <v>37809</v>
      </c>
      <c r="D753" t="s">
        <v>374</v>
      </c>
      <c r="E753" t="s">
        <v>404</v>
      </c>
      <c r="F753" t="s">
        <v>375</v>
      </c>
      <c r="G753" t="s">
        <v>376</v>
      </c>
      <c r="H753" t="s">
        <v>17</v>
      </c>
      <c r="I753" t="s">
        <v>18</v>
      </c>
      <c r="J753" t="s">
        <v>19</v>
      </c>
      <c r="K753">
        <v>2007</v>
      </c>
      <c r="L753">
        <v>0</v>
      </c>
      <c r="M753" t="s">
        <v>20</v>
      </c>
      <c r="N753">
        <f>L753/500</f>
        <v>0</v>
      </c>
      <c r="P753">
        <f>K753/800</f>
        <v>2.50875</v>
      </c>
    </row>
    <row r="754" spans="1:16" x14ac:dyDescent="0.35">
      <c r="A754">
        <v>1258</v>
      </c>
      <c r="B754">
        <v>583006663</v>
      </c>
      <c r="C754">
        <v>37952</v>
      </c>
      <c r="D754" t="s">
        <v>374</v>
      </c>
      <c r="E754" t="s">
        <v>424</v>
      </c>
      <c r="F754" t="s">
        <v>375</v>
      </c>
      <c r="G754" t="s">
        <v>376</v>
      </c>
      <c r="H754" t="s">
        <v>17</v>
      </c>
      <c r="I754" t="s">
        <v>18</v>
      </c>
      <c r="J754" t="s">
        <v>19</v>
      </c>
      <c r="K754">
        <v>72</v>
      </c>
      <c r="L754">
        <v>0</v>
      </c>
      <c r="M754" t="s">
        <v>20</v>
      </c>
      <c r="N754">
        <f>L754/500</f>
        <v>0</v>
      </c>
      <c r="P754">
        <f>K754/800</f>
        <v>0.09</v>
      </c>
    </row>
    <row r="755" spans="1:16" x14ac:dyDescent="0.35">
      <c r="A755">
        <v>1262</v>
      </c>
      <c r="B755">
        <v>583006663</v>
      </c>
      <c r="C755">
        <v>37952</v>
      </c>
      <c r="D755" t="s">
        <v>374</v>
      </c>
      <c r="E755" t="s">
        <v>424</v>
      </c>
      <c r="F755" t="s">
        <v>375</v>
      </c>
      <c r="G755" t="s">
        <v>376</v>
      </c>
      <c r="H755" t="s">
        <v>17</v>
      </c>
      <c r="I755" t="s">
        <v>18</v>
      </c>
      <c r="J755" t="s">
        <v>19</v>
      </c>
      <c r="K755">
        <v>270</v>
      </c>
      <c r="L755">
        <v>0</v>
      </c>
      <c r="M755" t="s">
        <v>20</v>
      </c>
      <c r="N755">
        <f>L755/500</f>
        <v>0</v>
      </c>
      <c r="P755">
        <f>K755/800</f>
        <v>0.33750000000000002</v>
      </c>
    </row>
    <row r="756" spans="1:16" x14ac:dyDescent="0.35">
      <c r="A756">
        <v>1263</v>
      </c>
      <c r="B756">
        <v>583006662</v>
      </c>
      <c r="C756">
        <v>37951</v>
      </c>
      <c r="D756" t="s">
        <v>374</v>
      </c>
      <c r="E756" t="s">
        <v>424</v>
      </c>
      <c r="F756" t="s">
        <v>375</v>
      </c>
      <c r="G756" t="s">
        <v>376</v>
      </c>
      <c r="H756" t="s">
        <v>17</v>
      </c>
      <c r="I756" t="s">
        <v>18</v>
      </c>
      <c r="J756" t="s">
        <v>19</v>
      </c>
      <c r="K756">
        <v>84</v>
      </c>
      <c r="L756">
        <v>0</v>
      </c>
      <c r="M756" t="s">
        <v>20</v>
      </c>
      <c r="N756">
        <f>L756/500</f>
        <v>0</v>
      </c>
      <c r="P756">
        <f>K756/800</f>
        <v>0.105</v>
      </c>
    </row>
    <row r="757" spans="1:16" x14ac:dyDescent="0.35">
      <c r="A757">
        <v>86</v>
      </c>
      <c r="B757">
        <v>583005179</v>
      </c>
      <c r="C757">
        <v>35917</v>
      </c>
      <c r="D757" t="s">
        <v>136</v>
      </c>
      <c r="E757" t="s">
        <v>126</v>
      </c>
      <c r="F757" t="s">
        <v>137</v>
      </c>
      <c r="G757" t="s">
        <v>138</v>
      </c>
      <c r="H757" t="s">
        <v>17</v>
      </c>
      <c r="I757" t="s">
        <v>18</v>
      </c>
      <c r="J757" t="s">
        <v>19</v>
      </c>
      <c r="K757">
        <v>2310</v>
      </c>
      <c r="L757">
        <v>0</v>
      </c>
      <c r="M757" t="s">
        <v>20</v>
      </c>
      <c r="N757">
        <f>L757/500</f>
        <v>0</v>
      </c>
      <c r="P757">
        <f>K757/800</f>
        <v>2.8875000000000002</v>
      </c>
    </row>
    <row r="758" spans="1:16" x14ac:dyDescent="0.35">
      <c r="A758">
        <v>88</v>
      </c>
      <c r="B758">
        <v>583005179</v>
      </c>
      <c r="C758">
        <v>35917</v>
      </c>
      <c r="D758" t="s">
        <v>136</v>
      </c>
      <c r="E758" t="s">
        <v>126</v>
      </c>
      <c r="F758" t="s">
        <v>137</v>
      </c>
      <c r="G758" t="s">
        <v>138</v>
      </c>
      <c r="H758" t="s">
        <v>17</v>
      </c>
      <c r="I758" t="s">
        <v>18</v>
      </c>
      <c r="J758" t="s">
        <v>19</v>
      </c>
      <c r="K758">
        <v>885</v>
      </c>
      <c r="L758">
        <v>0</v>
      </c>
      <c r="M758" t="s">
        <v>20</v>
      </c>
      <c r="N758">
        <f>L758/500</f>
        <v>0</v>
      </c>
      <c r="P758">
        <f>K758/800</f>
        <v>1.10625</v>
      </c>
    </row>
    <row r="759" spans="1:16" x14ac:dyDescent="0.35">
      <c r="A759">
        <v>99</v>
      </c>
      <c r="B759">
        <v>583005179</v>
      </c>
      <c r="C759">
        <v>35917</v>
      </c>
      <c r="D759" t="s">
        <v>136</v>
      </c>
      <c r="E759" t="s">
        <v>126</v>
      </c>
      <c r="F759" t="s">
        <v>137</v>
      </c>
      <c r="G759" t="s">
        <v>138</v>
      </c>
      <c r="H759" t="s">
        <v>17</v>
      </c>
      <c r="I759" t="s">
        <v>18</v>
      </c>
      <c r="J759" t="s">
        <v>19</v>
      </c>
      <c r="K759">
        <v>714</v>
      </c>
      <c r="L759">
        <v>0</v>
      </c>
      <c r="M759" t="s">
        <v>20</v>
      </c>
      <c r="N759">
        <f>L759/500</f>
        <v>0</v>
      </c>
      <c r="P759">
        <f>K759/800</f>
        <v>0.89249999999999996</v>
      </c>
    </row>
    <row r="760" spans="1:16" x14ac:dyDescent="0.35">
      <c r="A760">
        <v>320</v>
      </c>
      <c r="B760">
        <v>583005547</v>
      </c>
      <c r="C760">
        <v>36432</v>
      </c>
      <c r="D760" t="s">
        <v>136</v>
      </c>
      <c r="E760" t="s">
        <v>266</v>
      </c>
      <c r="F760" t="s">
        <v>137</v>
      </c>
      <c r="G760" t="s">
        <v>138</v>
      </c>
      <c r="H760" t="s">
        <v>17</v>
      </c>
      <c r="I760" t="s">
        <v>18</v>
      </c>
      <c r="J760" t="s">
        <v>19</v>
      </c>
      <c r="K760">
        <v>195</v>
      </c>
      <c r="L760">
        <v>0</v>
      </c>
      <c r="M760" t="s">
        <v>20</v>
      </c>
      <c r="N760">
        <f>L760/500</f>
        <v>0</v>
      </c>
      <c r="P760">
        <f>K760/800</f>
        <v>0.24374999999999999</v>
      </c>
    </row>
    <row r="761" spans="1:16" x14ac:dyDescent="0.35">
      <c r="A761">
        <v>323</v>
      </c>
      <c r="B761">
        <v>583005547</v>
      </c>
      <c r="C761">
        <v>36432</v>
      </c>
      <c r="D761" t="s">
        <v>136</v>
      </c>
      <c r="E761" t="s">
        <v>266</v>
      </c>
      <c r="F761" t="s">
        <v>137</v>
      </c>
      <c r="G761" t="s">
        <v>138</v>
      </c>
      <c r="H761" t="s">
        <v>17</v>
      </c>
      <c r="I761" t="s">
        <v>18</v>
      </c>
      <c r="J761" t="s">
        <v>19</v>
      </c>
      <c r="K761">
        <v>2220</v>
      </c>
      <c r="L761">
        <v>0</v>
      </c>
      <c r="M761" t="s">
        <v>20</v>
      </c>
      <c r="N761">
        <f>L761/500</f>
        <v>0</v>
      </c>
      <c r="P761">
        <f>K761/800</f>
        <v>2.7749999999999999</v>
      </c>
    </row>
    <row r="762" spans="1:16" x14ac:dyDescent="0.35">
      <c r="A762">
        <v>324</v>
      </c>
      <c r="B762">
        <v>583005547</v>
      </c>
      <c r="C762">
        <v>36432</v>
      </c>
      <c r="D762" t="s">
        <v>136</v>
      </c>
      <c r="E762" t="s">
        <v>266</v>
      </c>
      <c r="F762" t="s">
        <v>137</v>
      </c>
      <c r="G762" t="s">
        <v>138</v>
      </c>
      <c r="H762" t="s">
        <v>17</v>
      </c>
      <c r="I762" t="s">
        <v>18</v>
      </c>
      <c r="J762" t="s">
        <v>19</v>
      </c>
      <c r="K762">
        <v>1458</v>
      </c>
      <c r="L762">
        <v>0</v>
      </c>
      <c r="M762" t="s">
        <v>20</v>
      </c>
      <c r="N762">
        <f>L762/500</f>
        <v>0</v>
      </c>
      <c r="P762">
        <f>K762/800</f>
        <v>1.8225</v>
      </c>
    </row>
    <row r="763" spans="1:16" x14ac:dyDescent="0.35">
      <c r="A763">
        <v>954</v>
      </c>
      <c r="B763">
        <v>583006313</v>
      </c>
      <c r="C763">
        <v>37487</v>
      </c>
      <c r="D763" t="s">
        <v>136</v>
      </c>
      <c r="E763" t="s">
        <v>386</v>
      </c>
      <c r="F763" t="s">
        <v>137</v>
      </c>
      <c r="G763" t="s">
        <v>138</v>
      </c>
      <c r="H763" t="s">
        <v>17</v>
      </c>
      <c r="I763" t="s">
        <v>18</v>
      </c>
      <c r="J763" t="s">
        <v>19</v>
      </c>
      <c r="K763">
        <v>12</v>
      </c>
      <c r="L763">
        <v>0</v>
      </c>
      <c r="M763" t="s">
        <v>20</v>
      </c>
      <c r="N763">
        <f>L763/500</f>
        <v>0</v>
      </c>
      <c r="P763">
        <f>K763/800</f>
        <v>1.4999999999999999E-2</v>
      </c>
    </row>
    <row r="764" spans="1:16" x14ac:dyDescent="0.35">
      <c r="A764">
        <v>1019</v>
      </c>
      <c r="B764">
        <v>583006401</v>
      </c>
      <c r="C764">
        <v>37608</v>
      </c>
      <c r="D764" t="s">
        <v>136</v>
      </c>
      <c r="E764" t="s">
        <v>393</v>
      </c>
      <c r="F764" t="s">
        <v>137</v>
      </c>
      <c r="G764" t="s">
        <v>138</v>
      </c>
      <c r="H764" t="s">
        <v>17</v>
      </c>
      <c r="I764" t="s">
        <v>18</v>
      </c>
      <c r="J764" t="s">
        <v>19</v>
      </c>
      <c r="K764">
        <v>45</v>
      </c>
      <c r="L764">
        <v>0</v>
      </c>
      <c r="M764" t="s">
        <v>20</v>
      </c>
      <c r="N764">
        <f>L764/500</f>
        <v>0</v>
      </c>
      <c r="P764">
        <f>K764/800</f>
        <v>5.6250000000000001E-2</v>
      </c>
    </row>
    <row r="765" spans="1:16" x14ac:dyDescent="0.35">
      <c r="A765">
        <v>1179</v>
      </c>
      <c r="B765">
        <v>583006583</v>
      </c>
      <c r="C765">
        <v>37845</v>
      </c>
      <c r="D765" t="s">
        <v>136</v>
      </c>
      <c r="E765" t="s">
        <v>413</v>
      </c>
      <c r="F765" t="s">
        <v>137</v>
      </c>
      <c r="G765" t="s">
        <v>138</v>
      </c>
      <c r="H765" t="s">
        <v>17</v>
      </c>
      <c r="I765" t="s">
        <v>18</v>
      </c>
      <c r="J765" t="s">
        <v>19</v>
      </c>
      <c r="K765">
        <v>72</v>
      </c>
      <c r="L765">
        <v>0</v>
      </c>
      <c r="M765" t="s">
        <v>20</v>
      </c>
      <c r="N765">
        <f>L765/500</f>
        <v>0</v>
      </c>
      <c r="P765">
        <f>K765/800</f>
        <v>0.09</v>
      </c>
    </row>
    <row r="766" spans="1:16" x14ac:dyDescent="0.35">
      <c r="A766">
        <v>1225</v>
      </c>
      <c r="B766">
        <v>583006692</v>
      </c>
      <c r="C766">
        <v>37996</v>
      </c>
      <c r="D766" t="s">
        <v>136</v>
      </c>
      <c r="E766" t="s">
        <v>424</v>
      </c>
      <c r="F766" t="s">
        <v>137</v>
      </c>
      <c r="G766" t="s">
        <v>138</v>
      </c>
      <c r="H766" t="s">
        <v>17</v>
      </c>
      <c r="I766" t="s">
        <v>18</v>
      </c>
      <c r="J766" t="s">
        <v>19</v>
      </c>
      <c r="K766">
        <v>1248</v>
      </c>
      <c r="L766">
        <v>0</v>
      </c>
      <c r="M766" t="s">
        <v>20</v>
      </c>
      <c r="N766">
        <f>L766/500</f>
        <v>0</v>
      </c>
      <c r="P766">
        <f>K766/800</f>
        <v>1.56</v>
      </c>
    </row>
    <row r="767" spans="1:16" x14ac:dyDescent="0.35">
      <c r="A767">
        <v>1227</v>
      </c>
      <c r="B767">
        <v>583006692</v>
      </c>
      <c r="C767">
        <v>37996</v>
      </c>
      <c r="D767" t="s">
        <v>136</v>
      </c>
      <c r="E767" t="s">
        <v>424</v>
      </c>
      <c r="F767" t="s">
        <v>137</v>
      </c>
      <c r="G767" t="s">
        <v>138</v>
      </c>
      <c r="H767" t="s">
        <v>17</v>
      </c>
      <c r="I767" t="s">
        <v>18</v>
      </c>
      <c r="J767" t="s">
        <v>19</v>
      </c>
      <c r="K767">
        <v>483</v>
      </c>
      <c r="L767">
        <v>0</v>
      </c>
      <c r="M767" t="s">
        <v>20</v>
      </c>
      <c r="N767">
        <f>L767/500</f>
        <v>0</v>
      </c>
      <c r="P767">
        <f>K767/800</f>
        <v>0.60375000000000001</v>
      </c>
    </row>
    <row r="768" spans="1:16" x14ac:dyDescent="0.35">
      <c r="A768">
        <v>1249</v>
      </c>
      <c r="B768">
        <v>583006693</v>
      </c>
      <c r="C768">
        <v>37997</v>
      </c>
      <c r="D768" t="s">
        <v>136</v>
      </c>
      <c r="E768" t="s">
        <v>424</v>
      </c>
      <c r="F768" t="s">
        <v>137</v>
      </c>
      <c r="G768" t="s">
        <v>138</v>
      </c>
      <c r="H768" t="s">
        <v>17</v>
      </c>
      <c r="I768" t="s">
        <v>18</v>
      </c>
      <c r="J768" t="s">
        <v>19</v>
      </c>
      <c r="K768">
        <v>144</v>
      </c>
      <c r="L768">
        <v>0</v>
      </c>
      <c r="M768" t="s">
        <v>20</v>
      </c>
      <c r="N768">
        <f>L768/500</f>
        <v>0</v>
      </c>
      <c r="P768">
        <f>K768/800</f>
        <v>0.18</v>
      </c>
    </row>
    <row r="769" spans="1:16" x14ac:dyDescent="0.35">
      <c r="A769">
        <v>1260</v>
      </c>
      <c r="B769">
        <v>583006693</v>
      </c>
      <c r="C769">
        <v>37997</v>
      </c>
      <c r="D769" t="s">
        <v>136</v>
      </c>
      <c r="E769" t="s">
        <v>424</v>
      </c>
      <c r="F769" t="s">
        <v>137</v>
      </c>
      <c r="G769" t="s">
        <v>138</v>
      </c>
      <c r="H769" t="s">
        <v>17</v>
      </c>
      <c r="I769" t="s">
        <v>18</v>
      </c>
      <c r="J769" t="s">
        <v>19</v>
      </c>
      <c r="K769">
        <v>432</v>
      </c>
      <c r="L769">
        <v>0</v>
      </c>
      <c r="M769" t="s">
        <v>20</v>
      </c>
      <c r="N769">
        <f>L769/500</f>
        <v>0</v>
      </c>
      <c r="P769">
        <f>K769/800</f>
        <v>0.54</v>
      </c>
    </row>
    <row r="770" spans="1:16" x14ac:dyDescent="0.35">
      <c r="A770">
        <v>1261</v>
      </c>
      <c r="B770">
        <v>583006693</v>
      </c>
      <c r="C770">
        <v>37997</v>
      </c>
      <c r="D770" t="s">
        <v>136</v>
      </c>
      <c r="E770" t="s">
        <v>424</v>
      </c>
      <c r="F770" t="s">
        <v>137</v>
      </c>
      <c r="G770" t="s">
        <v>138</v>
      </c>
      <c r="H770" t="s">
        <v>17</v>
      </c>
      <c r="I770" t="s">
        <v>18</v>
      </c>
      <c r="J770" t="s">
        <v>19</v>
      </c>
      <c r="K770">
        <v>1275</v>
      </c>
      <c r="L770">
        <v>0</v>
      </c>
      <c r="M770" t="s">
        <v>20</v>
      </c>
      <c r="N770">
        <f>L770/500</f>
        <v>0</v>
      </c>
      <c r="P770">
        <f>K770/800</f>
        <v>1.59375</v>
      </c>
    </row>
    <row r="771" spans="1:16" x14ac:dyDescent="0.35">
      <c r="A771">
        <v>1455</v>
      </c>
      <c r="B771">
        <v>583006923</v>
      </c>
      <c r="C771">
        <v>38316</v>
      </c>
      <c r="D771" t="s">
        <v>136</v>
      </c>
      <c r="E771" t="s">
        <v>451</v>
      </c>
      <c r="F771" t="s">
        <v>137</v>
      </c>
      <c r="G771" t="s">
        <v>138</v>
      </c>
      <c r="H771" t="s">
        <v>17</v>
      </c>
      <c r="I771" t="s">
        <v>18</v>
      </c>
      <c r="J771" t="s">
        <v>19</v>
      </c>
      <c r="K771">
        <v>45</v>
      </c>
      <c r="L771">
        <v>0</v>
      </c>
      <c r="M771" t="s">
        <v>20</v>
      </c>
      <c r="N771">
        <f>L771/500</f>
        <v>0</v>
      </c>
      <c r="P771">
        <f>K771/800</f>
        <v>5.6250000000000001E-2</v>
      </c>
    </row>
    <row r="772" spans="1:16" x14ac:dyDescent="0.35">
      <c r="A772">
        <v>229</v>
      </c>
      <c r="B772">
        <v>583005316</v>
      </c>
      <c r="C772">
        <v>36117</v>
      </c>
      <c r="D772" t="s">
        <v>234</v>
      </c>
      <c r="E772" t="s">
        <v>217</v>
      </c>
      <c r="F772" t="s">
        <v>235</v>
      </c>
      <c r="G772" t="s">
        <v>236</v>
      </c>
      <c r="H772" t="s">
        <v>17</v>
      </c>
      <c r="I772" t="s">
        <v>63</v>
      </c>
      <c r="J772" t="s">
        <v>64</v>
      </c>
      <c r="K772">
        <v>2</v>
      </c>
      <c r="L772">
        <v>3.54</v>
      </c>
      <c r="M772" t="s">
        <v>20</v>
      </c>
      <c r="N772">
        <f>L772/500</f>
        <v>7.0800000000000004E-3</v>
      </c>
    </row>
    <row r="773" spans="1:16" x14ac:dyDescent="0.35">
      <c r="A773">
        <v>12</v>
      </c>
      <c r="B773">
        <v>583005026</v>
      </c>
      <c r="C773">
        <v>35711</v>
      </c>
      <c r="D773" t="s">
        <v>48</v>
      </c>
      <c r="E773" t="s">
        <v>14</v>
      </c>
      <c r="F773" t="s">
        <v>49</v>
      </c>
      <c r="G773" t="s">
        <v>50</v>
      </c>
      <c r="H773" t="s">
        <v>17</v>
      </c>
      <c r="I773" t="s">
        <v>18</v>
      </c>
      <c r="J773" t="s">
        <v>19</v>
      </c>
      <c r="K773">
        <v>1800</v>
      </c>
      <c r="L773">
        <v>0</v>
      </c>
      <c r="M773" t="s">
        <v>20</v>
      </c>
      <c r="N773">
        <f>L773/500</f>
        <v>0</v>
      </c>
      <c r="P773">
        <f>K773/800</f>
        <v>2.25</v>
      </c>
    </row>
    <row r="774" spans="1:16" x14ac:dyDescent="0.35">
      <c r="A774">
        <v>13</v>
      </c>
      <c r="B774">
        <v>583005026</v>
      </c>
      <c r="C774">
        <v>35711</v>
      </c>
      <c r="D774" t="s">
        <v>48</v>
      </c>
      <c r="E774" t="s">
        <v>14</v>
      </c>
      <c r="F774" t="s">
        <v>49</v>
      </c>
      <c r="G774" t="s">
        <v>50</v>
      </c>
      <c r="H774" t="s">
        <v>17</v>
      </c>
      <c r="I774" t="s">
        <v>18</v>
      </c>
      <c r="J774" t="s">
        <v>19</v>
      </c>
      <c r="K774">
        <v>1305</v>
      </c>
      <c r="L774">
        <v>0</v>
      </c>
      <c r="M774" t="s">
        <v>20</v>
      </c>
      <c r="N774">
        <f>L774/500</f>
        <v>0</v>
      </c>
      <c r="P774">
        <f>K774/800</f>
        <v>1.6312500000000001</v>
      </c>
    </row>
    <row r="775" spans="1:16" x14ac:dyDescent="0.35">
      <c r="A775">
        <v>17</v>
      </c>
      <c r="B775">
        <v>583005026</v>
      </c>
      <c r="C775">
        <v>35711</v>
      </c>
      <c r="D775" t="s">
        <v>48</v>
      </c>
      <c r="E775" t="s">
        <v>14</v>
      </c>
      <c r="F775" t="s">
        <v>49</v>
      </c>
      <c r="G775" t="s">
        <v>50</v>
      </c>
      <c r="H775" t="s">
        <v>17</v>
      </c>
      <c r="I775" t="s">
        <v>18</v>
      </c>
      <c r="J775" t="s">
        <v>19</v>
      </c>
      <c r="K775">
        <v>162</v>
      </c>
      <c r="L775">
        <v>0</v>
      </c>
      <c r="M775" t="s">
        <v>20</v>
      </c>
      <c r="N775">
        <f>L775/500</f>
        <v>0</v>
      </c>
      <c r="P775">
        <f>K775/800</f>
        <v>0.20250000000000001</v>
      </c>
    </row>
    <row r="776" spans="1:16" x14ac:dyDescent="0.35">
      <c r="A776">
        <v>43</v>
      </c>
      <c r="B776">
        <v>583005026</v>
      </c>
      <c r="C776">
        <v>35711</v>
      </c>
      <c r="D776" t="s">
        <v>48</v>
      </c>
      <c r="E776" t="s">
        <v>14</v>
      </c>
      <c r="F776" t="s">
        <v>49</v>
      </c>
      <c r="G776" t="s">
        <v>50</v>
      </c>
      <c r="H776" t="s">
        <v>17</v>
      </c>
      <c r="I776" t="s">
        <v>18</v>
      </c>
      <c r="J776" t="s">
        <v>19</v>
      </c>
      <c r="K776">
        <v>144</v>
      </c>
      <c r="L776">
        <v>0</v>
      </c>
      <c r="M776" t="s">
        <v>20</v>
      </c>
      <c r="N776">
        <f>L776/500</f>
        <v>0</v>
      </c>
      <c r="P776">
        <f>K776/800</f>
        <v>0.18</v>
      </c>
    </row>
    <row r="777" spans="1:16" x14ac:dyDescent="0.35">
      <c r="A777">
        <v>274</v>
      </c>
      <c r="B777">
        <v>583005362</v>
      </c>
      <c r="C777">
        <v>36179</v>
      </c>
      <c r="D777" t="s">
        <v>48</v>
      </c>
      <c r="E777" t="s">
        <v>237</v>
      </c>
      <c r="F777" t="s">
        <v>49</v>
      </c>
      <c r="G777" t="s">
        <v>50</v>
      </c>
      <c r="H777" t="s">
        <v>17</v>
      </c>
      <c r="I777" t="s">
        <v>18</v>
      </c>
      <c r="J777" t="s">
        <v>19</v>
      </c>
      <c r="K777">
        <v>156</v>
      </c>
      <c r="L777">
        <v>0</v>
      </c>
      <c r="M777" t="s">
        <v>20</v>
      </c>
      <c r="N777">
        <f>L777/500</f>
        <v>0</v>
      </c>
      <c r="P777">
        <f>K777/800</f>
        <v>0.19500000000000001</v>
      </c>
    </row>
    <row r="778" spans="1:16" x14ac:dyDescent="0.35">
      <c r="A778">
        <v>659</v>
      </c>
      <c r="B778">
        <v>583005985</v>
      </c>
      <c r="C778">
        <v>37063</v>
      </c>
      <c r="D778" t="s">
        <v>48</v>
      </c>
      <c r="E778" t="s">
        <v>343</v>
      </c>
      <c r="F778" t="s">
        <v>49</v>
      </c>
      <c r="G778" t="s">
        <v>50</v>
      </c>
      <c r="H778" t="s">
        <v>17</v>
      </c>
      <c r="I778" t="s">
        <v>18</v>
      </c>
      <c r="J778" t="s">
        <v>19</v>
      </c>
      <c r="K778">
        <v>360</v>
      </c>
      <c r="L778">
        <v>0</v>
      </c>
      <c r="M778" t="s">
        <v>20</v>
      </c>
      <c r="N778">
        <f>L778/500</f>
        <v>0</v>
      </c>
      <c r="P778">
        <f>K778/800</f>
        <v>0.45</v>
      </c>
    </row>
    <row r="779" spans="1:16" x14ac:dyDescent="0.35">
      <c r="A779">
        <v>660</v>
      </c>
      <c r="B779">
        <v>583005985</v>
      </c>
      <c r="C779">
        <v>37063</v>
      </c>
      <c r="D779" t="s">
        <v>48</v>
      </c>
      <c r="E779" t="s">
        <v>343</v>
      </c>
      <c r="F779" t="s">
        <v>49</v>
      </c>
      <c r="G779" t="s">
        <v>50</v>
      </c>
      <c r="H779" t="s">
        <v>17</v>
      </c>
      <c r="I779" t="s">
        <v>18</v>
      </c>
      <c r="J779" t="s">
        <v>19</v>
      </c>
      <c r="K779">
        <v>2592</v>
      </c>
      <c r="L779">
        <v>0</v>
      </c>
      <c r="M779" t="s">
        <v>20</v>
      </c>
      <c r="N779">
        <f>L779/500</f>
        <v>0</v>
      </c>
      <c r="P779">
        <f>K779/800</f>
        <v>3.24</v>
      </c>
    </row>
    <row r="780" spans="1:16" x14ac:dyDescent="0.35">
      <c r="A780">
        <v>661</v>
      </c>
      <c r="B780">
        <v>583005985</v>
      </c>
      <c r="C780">
        <v>37063</v>
      </c>
      <c r="D780" t="s">
        <v>48</v>
      </c>
      <c r="E780" t="s">
        <v>343</v>
      </c>
      <c r="F780" t="s">
        <v>49</v>
      </c>
      <c r="G780" t="s">
        <v>50</v>
      </c>
      <c r="H780" t="s">
        <v>17</v>
      </c>
      <c r="I780" t="s">
        <v>18</v>
      </c>
      <c r="J780" t="s">
        <v>19</v>
      </c>
      <c r="K780">
        <v>243</v>
      </c>
      <c r="L780">
        <v>0</v>
      </c>
      <c r="M780" t="s">
        <v>20</v>
      </c>
      <c r="N780">
        <f>L780/500</f>
        <v>0</v>
      </c>
      <c r="P780">
        <f>K780/800</f>
        <v>0.30375000000000002</v>
      </c>
    </row>
    <row r="781" spans="1:16" x14ac:dyDescent="0.35">
      <c r="A781">
        <v>662</v>
      </c>
      <c r="B781">
        <v>583005985</v>
      </c>
      <c r="C781">
        <v>37063</v>
      </c>
      <c r="D781" t="s">
        <v>48</v>
      </c>
      <c r="E781" t="s">
        <v>343</v>
      </c>
      <c r="F781" t="s">
        <v>49</v>
      </c>
      <c r="G781" t="s">
        <v>50</v>
      </c>
      <c r="H781" t="s">
        <v>17</v>
      </c>
      <c r="I781" t="s">
        <v>18</v>
      </c>
      <c r="J781" t="s">
        <v>19</v>
      </c>
      <c r="K781">
        <v>1350</v>
      </c>
      <c r="L781">
        <v>0</v>
      </c>
      <c r="M781" t="s">
        <v>20</v>
      </c>
      <c r="N781">
        <f>L781/500</f>
        <v>0</v>
      </c>
      <c r="P781">
        <f>K781/800</f>
        <v>1.6875</v>
      </c>
    </row>
    <row r="782" spans="1:16" x14ac:dyDescent="0.35">
      <c r="A782">
        <v>1299</v>
      </c>
      <c r="B782">
        <v>583006807</v>
      </c>
      <c r="C782">
        <v>38152</v>
      </c>
      <c r="D782" t="s">
        <v>48</v>
      </c>
      <c r="E782" t="s">
        <v>434</v>
      </c>
      <c r="F782" t="s">
        <v>49</v>
      </c>
      <c r="G782" t="s">
        <v>50</v>
      </c>
      <c r="H782" t="s">
        <v>17</v>
      </c>
      <c r="I782" t="s">
        <v>18</v>
      </c>
      <c r="J782" t="s">
        <v>19</v>
      </c>
      <c r="K782">
        <v>3303</v>
      </c>
      <c r="L782">
        <v>0</v>
      </c>
      <c r="M782" t="s">
        <v>20</v>
      </c>
      <c r="N782">
        <f>L782/500</f>
        <v>0</v>
      </c>
      <c r="P782">
        <f>K782/800</f>
        <v>4.1287500000000001</v>
      </c>
    </row>
    <row r="783" spans="1:16" x14ac:dyDescent="0.35">
      <c r="A783">
        <v>1302</v>
      </c>
      <c r="B783">
        <v>583006807</v>
      </c>
      <c r="C783">
        <v>38152</v>
      </c>
      <c r="D783" t="s">
        <v>48</v>
      </c>
      <c r="E783" t="s">
        <v>434</v>
      </c>
      <c r="F783" t="s">
        <v>49</v>
      </c>
      <c r="G783" t="s">
        <v>50</v>
      </c>
      <c r="H783" t="s">
        <v>17</v>
      </c>
      <c r="I783" t="s">
        <v>18</v>
      </c>
      <c r="J783" t="s">
        <v>19</v>
      </c>
      <c r="K783">
        <v>180</v>
      </c>
      <c r="L783">
        <v>0</v>
      </c>
      <c r="M783" t="s">
        <v>20</v>
      </c>
      <c r="N783">
        <f>L783/500</f>
        <v>0</v>
      </c>
      <c r="P783">
        <f>K783/800</f>
        <v>0.22500000000000001</v>
      </c>
    </row>
    <row r="784" spans="1:16" x14ac:dyDescent="0.35">
      <c r="A784">
        <v>1311</v>
      </c>
      <c r="B784">
        <v>583006807</v>
      </c>
      <c r="C784">
        <v>38152</v>
      </c>
      <c r="D784" t="s">
        <v>48</v>
      </c>
      <c r="E784" t="s">
        <v>434</v>
      </c>
      <c r="F784" t="s">
        <v>49</v>
      </c>
      <c r="G784" t="s">
        <v>50</v>
      </c>
      <c r="H784" t="s">
        <v>17</v>
      </c>
      <c r="I784" t="s">
        <v>18</v>
      </c>
      <c r="J784" t="s">
        <v>19</v>
      </c>
      <c r="K784">
        <v>291</v>
      </c>
      <c r="L784">
        <v>0</v>
      </c>
      <c r="M784" t="s">
        <v>20</v>
      </c>
      <c r="N784">
        <f>L784/500</f>
        <v>0</v>
      </c>
      <c r="P784">
        <f>K784/800</f>
        <v>0.36375000000000002</v>
      </c>
    </row>
    <row r="785" spans="1:16" x14ac:dyDescent="0.35">
      <c r="A785">
        <v>773</v>
      </c>
      <c r="B785">
        <v>583006052</v>
      </c>
      <c r="C785">
        <v>37149</v>
      </c>
      <c r="D785" t="s">
        <v>351</v>
      </c>
      <c r="E785" t="s">
        <v>347</v>
      </c>
      <c r="F785" t="s">
        <v>352</v>
      </c>
      <c r="G785" t="s">
        <v>353</v>
      </c>
      <c r="H785" t="s">
        <v>17</v>
      </c>
      <c r="I785" t="s">
        <v>18</v>
      </c>
      <c r="J785" t="s">
        <v>19</v>
      </c>
      <c r="K785">
        <v>786</v>
      </c>
      <c r="L785">
        <v>0</v>
      </c>
      <c r="M785" t="s">
        <v>20</v>
      </c>
      <c r="N785">
        <f>L785/500</f>
        <v>0</v>
      </c>
      <c r="P785">
        <f>K785/800</f>
        <v>0.98250000000000004</v>
      </c>
    </row>
    <row r="786" spans="1:16" x14ac:dyDescent="0.35">
      <c r="A786">
        <v>774</v>
      </c>
      <c r="B786">
        <v>583006052</v>
      </c>
      <c r="C786">
        <v>37149</v>
      </c>
      <c r="D786" t="s">
        <v>351</v>
      </c>
      <c r="E786" t="s">
        <v>347</v>
      </c>
      <c r="F786" t="s">
        <v>352</v>
      </c>
      <c r="G786" t="s">
        <v>353</v>
      </c>
      <c r="H786" t="s">
        <v>17</v>
      </c>
      <c r="I786" t="s">
        <v>18</v>
      </c>
      <c r="J786" t="s">
        <v>19</v>
      </c>
      <c r="K786">
        <v>621</v>
      </c>
      <c r="L786">
        <v>0</v>
      </c>
      <c r="M786" t="s">
        <v>20</v>
      </c>
      <c r="N786">
        <f>L786/500</f>
        <v>0</v>
      </c>
      <c r="P786">
        <f>K786/800</f>
        <v>0.77625</v>
      </c>
    </row>
    <row r="787" spans="1:16" x14ac:dyDescent="0.35">
      <c r="A787">
        <v>300</v>
      </c>
      <c r="B787">
        <v>583005436</v>
      </c>
      <c r="C787">
        <v>36283</v>
      </c>
      <c r="D787" t="s">
        <v>260</v>
      </c>
      <c r="E787" t="s">
        <v>254</v>
      </c>
      <c r="F787" t="s">
        <v>261</v>
      </c>
      <c r="G787" t="s">
        <v>262</v>
      </c>
      <c r="H787" t="s">
        <v>17</v>
      </c>
      <c r="I787" t="s">
        <v>18</v>
      </c>
      <c r="J787" t="s">
        <v>19</v>
      </c>
      <c r="K787">
        <v>1572</v>
      </c>
      <c r="L787">
        <v>0</v>
      </c>
      <c r="M787" t="s">
        <v>20</v>
      </c>
      <c r="N787">
        <f>L787/500</f>
        <v>0</v>
      </c>
      <c r="P787">
        <f>K787/800</f>
        <v>1.9650000000000001</v>
      </c>
    </row>
    <row r="788" spans="1:16" x14ac:dyDescent="0.35">
      <c r="A788">
        <v>301</v>
      </c>
      <c r="B788">
        <v>583005436</v>
      </c>
      <c r="C788">
        <v>36283</v>
      </c>
      <c r="D788" t="s">
        <v>260</v>
      </c>
      <c r="E788" t="s">
        <v>254</v>
      </c>
      <c r="F788" t="s">
        <v>261</v>
      </c>
      <c r="G788" t="s">
        <v>262</v>
      </c>
      <c r="H788" t="s">
        <v>17</v>
      </c>
      <c r="I788" t="s">
        <v>18</v>
      </c>
      <c r="J788" t="s">
        <v>19</v>
      </c>
      <c r="K788">
        <v>15</v>
      </c>
      <c r="L788">
        <v>0</v>
      </c>
      <c r="M788" t="s">
        <v>20</v>
      </c>
      <c r="N788">
        <f>L788/500</f>
        <v>0</v>
      </c>
      <c r="P788">
        <f>K788/800</f>
        <v>1.8749999999999999E-2</v>
      </c>
    </row>
    <row r="789" spans="1:16" x14ac:dyDescent="0.35">
      <c r="A789">
        <v>302</v>
      </c>
      <c r="B789">
        <v>583005436</v>
      </c>
      <c r="C789">
        <v>36283</v>
      </c>
      <c r="D789" t="s">
        <v>260</v>
      </c>
      <c r="E789" t="s">
        <v>254</v>
      </c>
      <c r="F789" t="s">
        <v>261</v>
      </c>
      <c r="G789" t="s">
        <v>262</v>
      </c>
      <c r="H789" t="s">
        <v>17</v>
      </c>
      <c r="I789" t="s">
        <v>18</v>
      </c>
      <c r="J789" t="s">
        <v>19</v>
      </c>
      <c r="K789">
        <v>90</v>
      </c>
      <c r="L789">
        <v>0</v>
      </c>
      <c r="M789" t="s">
        <v>20</v>
      </c>
      <c r="N789">
        <f>L789/500</f>
        <v>0</v>
      </c>
      <c r="P789">
        <f>K789/800</f>
        <v>0.1125</v>
      </c>
    </row>
    <row r="790" spans="1:16" x14ac:dyDescent="0.35">
      <c r="A790">
        <v>303</v>
      </c>
      <c r="B790">
        <v>583005436</v>
      </c>
      <c r="C790">
        <v>36283</v>
      </c>
      <c r="D790" t="s">
        <v>260</v>
      </c>
      <c r="E790" t="s">
        <v>254</v>
      </c>
      <c r="F790" t="s">
        <v>261</v>
      </c>
      <c r="G790" t="s">
        <v>262</v>
      </c>
      <c r="H790" t="s">
        <v>17</v>
      </c>
      <c r="I790" t="s">
        <v>18</v>
      </c>
      <c r="J790" t="s">
        <v>19</v>
      </c>
      <c r="K790">
        <v>141</v>
      </c>
      <c r="L790">
        <v>0</v>
      </c>
      <c r="M790" t="s">
        <v>20</v>
      </c>
      <c r="N790">
        <f>L790/500</f>
        <v>0</v>
      </c>
      <c r="P790">
        <f>K790/800</f>
        <v>0.17624999999999999</v>
      </c>
    </row>
    <row r="791" spans="1:16" x14ac:dyDescent="0.35">
      <c r="A791">
        <v>831</v>
      </c>
      <c r="B791">
        <v>583006142</v>
      </c>
      <c r="C791">
        <v>37269</v>
      </c>
      <c r="D791" t="s">
        <v>361</v>
      </c>
      <c r="E791" t="s">
        <v>360</v>
      </c>
      <c r="F791" t="s">
        <v>362</v>
      </c>
      <c r="G791" t="s">
        <v>363</v>
      </c>
      <c r="H791" t="s">
        <v>17</v>
      </c>
      <c r="I791" t="s">
        <v>18</v>
      </c>
      <c r="J791" t="s">
        <v>19</v>
      </c>
      <c r="K791">
        <v>42</v>
      </c>
      <c r="L791">
        <v>0</v>
      </c>
      <c r="M791" t="s">
        <v>20</v>
      </c>
      <c r="N791">
        <f>L791/500</f>
        <v>0</v>
      </c>
      <c r="P791">
        <f>K791/800</f>
        <v>5.2499999999999998E-2</v>
      </c>
    </row>
    <row r="792" spans="1:16" x14ac:dyDescent="0.35">
      <c r="A792">
        <v>832</v>
      </c>
      <c r="B792">
        <v>583006142</v>
      </c>
      <c r="C792">
        <v>37269</v>
      </c>
      <c r="D792" t="s">
        <v>361</v>
      </c>
      <c r="E792" t="s">
        <v>360</v>
      </c>
      <c r="F792" t="s">
        <v>362</v>
      </c>
      <c r="G792" t="s">
        <v>363</v>
      </c>
      <c r="H792" t="s">
        <v>17</v>
      </c>
      <c r="I792" t="s">
        <v>18</v>
      </c>
      <c r="J792" t="s">
        <v>19</v>
      </c>
      <c r="K792">
        <v>1335</v>
      </c>
      <c r="L792">
        <v>0</v>
      </c>
      <c r="M792" t="s">
        <v>20</v>
      </c>
      <c r="N792">
        <f>L792/500</f>
        <v>0</v>
      </c>
      <c r="P792">
        <f>K792/800</f>
        <v>1.66875</v>
      </c>
    </row>
    <row r="793" spans="1:16" x14ac:dyDescent="0.35">
      <c r="A793">
        <v>879</v>
      </c>
      <c r="B793">
        <v>583006244</v>
      </c>
      <c r="C793">
        <v>37395</v>
      </c>
      <c r="D793" t="s">
        <v>371</v>
      </c>
      <c r="E793" t="s">
        <v>367</v>
      </c>
      <c r="F793" t="s">
        <v>372</v>
      </c>
      <c r="G793" t="s">
        <v>373</v>
      </c>
      <c r="H793" t="s">
        <v>17</v>
      </c>
      <c r="I793" t="s">
        <v>18</v>
      </c>
      <c r="J793" t="s">
        <v>19</v>
      </c>
      <c r="K793">
        <v>924</v>
      </c>
      <c r="L793">
        <v>0</v>
      </c>
      <c r="M793" t="s">
        <v>20</v>
      </c>
      <c r="N793">
        <f>L793/500</f>
        <v>0</v>
      </c>
      <c r="P793">
        <f>K793/800</f>
        <v>1.155</v>
      </c>
    </row>
    <row r="794" spans="1:16" x14ac:dyDescent="0.35">
      <c r="A794">
        <v>881</v>
      </c>
      <c r="B794">
        <v>583006244</v>
      </c>
      <c r="C794">
        <v>37395</v>
      </c>
      <c r="D794" t="s">
        <v>371</v>
      </c>
      <c r="E794" t="s">
        <v>367</v>
      </c>
      <c r="F794" t="s">
        <v>372</v>
      </c>
      <c r="G794" t="s">
        <v>373</v>
      </c>
      <c r="H794" t="s">
        <v>17</v>
      </c>
      <c r="I794" t="s">
        <v>18</v>
      </c>
      <c r="J794" t="s">
        <v>19</v>
      </c>
      <c r="K794">
        <v>576</v>
      </c>
      <c r="L794">
        <v>0</v>
      </c>
      <c r="M794" t="s">
        <v>20</v>
      </c>
      <c r="N794">
        <f>L794/500</f>
        <v>0</v>
      </c>
      <c r="P794">
        <f>K794/800</f>
        <v>0.72</v>
      </c>
    </row>
    <row r="795" spans="1:16" x14ac:dyDescent="0.35">
      <c r="A795">
        <v>882</v>
      </c>
      <c r="B795">
        <v>583006244</v>
      </c>
      <c r="C795">
        <v>37395</v>
      </c>
      <c r="D795" t="s">
        <v>371</v>
      </c>
      <c r="E795" t="s">
        <v>367</v>
      </c>
      <c r="F795" t="s">
        <v>372</v>
      </c>
      <c r="G795" t="s">
        <v>373</v>
      </c>
      <c r="H795" t="s">
        <v>17</v>
      </c>
      <c r="I795" t="s">
        <v>18</v>
      </c>
      <c r="J795" t="s">
        <v>19</v>
      </c>
      <c r="K795">
        <v>180</v>
      </c>
      <c r="L795">
        <v>0</v>
      </c>
      <c r="M795" t="s">
        <v>20</v>
      </c>
      <c r="N795">
        <f>L795/500</f>
        <v>0</v>
      </c>
      <c r="P795">
        <f>K795/800</f>
        <v>0.22500000000000001</v>
      </c>
    </row>
    <row r="796" spans="1:16" x14ac:dyDescent="0.35">
      <c r="A796">
        <v>883</v>
      </c>
      <c r="B796">
        <v>583006244</v>
      </c>
      <c r="C796">
        <v>37395</v>
      </c>
      <c r="D796" t="s">
        <v>371</v>
      </c>
      <c r="E796" t="s">
        <v>367</v>
      </c>
      <c r="F796" t="s">
        <v>372</v>
      </c>
      <c r="G796" t="s">
        <v>373</v>
      </c>
      <c r="H796" t="s">
        <v>17</v>
      </c>
      <c r="I796" t="s">
        <v>18</v>
      </c>
      <c r="J796" t="s">
        <v>19</v>
      </c>
      <c r="K796">
        <v>216</v>
      </c>
      <c r="L796">
        <v>0</v>
      </c>
      <c r="M796" t="s">
        <v>20</v>
      </c>
      <c r="N796">
        <f>L796/500</f>
        <v>0</v>
      </c>
      <c r="P796">
        <f>K796/800</f>
        <v>0.27</v>
      </c>
    </row>
    <row r="797" spans="1:16" x14ac:dyDescent="0.35">
      <c r="A797">
        <v>896</v>
      </c>
      <c r="B797">
        <v>583006221</v>
      </c>
      <c r="C797">
        <v>37360</v>
      </c>
      <c r="D797" t="s">
        <v>371</v>
      </c>
      <c r="E797" t="s">
        <v>367</v>
      </c>
      <c r="F797" t="s">
        <v>372</v>
      </c>
      <c r="G797" t="s">
        <v>373</v>
      </c>
      <c r="H797" t="s">
        <v>17</v>
      </c>
      <c r="I797" t="s">
        <v>18</v>
      </c>
      <c r="J797" t="s">
        <v>19</v>
      </c>
      <c r="K797">
        <v>36</v>
      </c>
      <c r="L797">
        <v>0</v>
      </c>
      <c r="M797" t="s">
        <v>20</v>
      </c>
      <c r="N797">
        <f>L797/500</f>
        <v>0</v>
      </c>
      <c r="P797">
        <f>K797/800</f>
        <v>4.4999999999999998E-2</v>
      </c>
    </row>
    <row r="798" spans="1:16" x14ac:dyDescent="0.35">
      <c r="A798">
        <v>371</v>
      </c>
      <c r="B798">
        <v>583005598</v>
      </c>
      <c r="C798">
        <v>36510</v>
      </c>
      <c r="D798" t="s">
        <v>271</v>
      </c>
      <c r="E798" t="s">
        <v>270</v>
      </c>
      <c r="F798" t="s">
        <v>272</v>
      </c>
      <c r="G798" t="s">
        <v>273</v>
      </c>
      <c r="H798" t="s">
        <v>17</v>
      </c>
      <c r="I798" t="s">
        <v>18</v>
      </c>
      <c r="J798" t="s">
        <v>19</v>
      </c>
      <c r="K798">
        <v>216</v>
      </c>
      <c r="L798">
        <v>0</v>
      </c>
      <c r="M798" t="s">
        <v>20</v>
      </c>
      <c r="N798">
        <f>L798/500</f>
        <v>0</v>
      </c>
      <c r="P798">
        <f>K798/800</f>
        <v>0.27</v>
      </c>
    </row>
    <row r="799" spans="1:16" x14ac:dyDescent="0.35">
      <c r="A799">
        <v>375</v>
      </c>
      <c r="B799">
        <v>583005598</v>
      </c>
      <c r="C799">
        <v>36510</v>
      </c>
      <c r="D799" t="s">
        <v>271</v>
      </c>
      <c r="E799" t="s">
        <v>270</v>
      </c>
      <c r="F799" t="s">
        <v>272</v>
      </c>
      <c r="G799" t="s">
        <v>273</v>
      </c>
      <c r="H799" t="s">
        <v>17</v>
      </c>
      <c r="I799" t="s">
        <v>18</v>
      </c>
      <c r="J799" t="s">
        <v>19</v>
      </c>
      <c r="K799">
        <v>1515</v>
      </c>
      <c r="L799">
        <v>0</v>
      </c>
      <c r="M799" t="s">
        <v>20</v>
      </c>
      <c r="N799">
        <f>L799/500</f>
        <v>0</v>
      </c>
      <c r="P799">
        <f>K799/800</f>
        <v>1.89375</v>
      </c>
    </row>
    <row r="800" spans="1:16" x14ac:dyDescent="0.35">
      <c r="A800">
        <v>407</v>
      </c>
      <c r="B800">
        <v>583005598</v>
      </c>
      <c r="C800">
        <v>36510</v>
      </c>
      <c r="D800" t="s">
        <v>271</v>
      </c>
      <c r="E800" t="s">
        <v>270</v>
      </c>
      <c r="F800" t="s">
        <v>272</v>
      </c>
      <c r="G800" t="s">
        <v>273</v>
      </c>
      <c r="H800" t="s">
        <v>17</v>
      </c>
      <c r="I800" t="s">
        <v>18</v>
      </c>
      <c r="J800" t="s">
        <v>19</v>
      </c>
      <c r="K800">
        <v>39</v>
      </c>
      <c r="L800">
        <v>0</v>
      </c>
      <c r="M800" t="s">
        <v>20</v>
      </c>
      <c r="N800">
        <f>L800/500</f>
        <v>0</v>
      </c>
      <c r="P800">
        <f>K800/800</f>
        <v>4.8750000000000002E-2</v>
      </c>
    </row>
    <row r="801" spans="1:16" x14ac:dyDescent="0.35">
      <c r="A801">
        <v>193</v>
      </c>
      <c r="B801">
        <v>583005272</v>
      </c>
      <c r="C801">
        <v>36048</v>
      </c>
      <c r="D801" t="s">
        <v>203</v>
      </c>
      <c r="E801" t="s">
        <v>200</v>
      </c>
      <c r="F801" t="s">
        <v>204</v>
      </c>
      <c r="G801" t="s">
        <v>205</v>
      </c>
      <c r="H801" t="s">
        <v>17</v>
      </c>
      <c r="I801" t="s">
        <v>18</v>
      </c>
      <c r="J801" t="s">
        <v>19</v>
      </c>
      <c r="K801">
        <v>144</v>
      </c>
      <c r="L801">
        <v>0</v>
      </c>
      <c r="M801" t="s">
        <v>20</v>
      </c>
      <c r="N801">
        <f>L801/500</f>
        <v>0</v>
      </c>
      <c r="P801">
        <f>K801/800</f>
        <v>0.18</v>
      </c>
    </row>
    <row r="802" spans="1:16" x14ac:dyDescent="0.35">
      <c r="A802">
        <v>196</v>
      </c>
      <c r="B802">
        <v>583005272</v>
      </c>
      <c r="C802">
        <v>36048</v>
      </c>
      <c r="D802" t="s">
        <v>203</v>
      </c>
      <c r="E802" t="s">
        <v>200</v>
      </c>
      <c r="F802" t="s">
        <v>204</v>
      </c>
      <c r="G802" t="s">
        <v>205</v>
      </c>
      <c r="H802" t="s">
        <v>17</v>
      </c>
      <c r="I802" t="s">
        <v>18</v>
      </c>
      <c r="J802" t="s">
        <v>19</v>
      </c>
      <c r="K802">
        <v>156</v>
      </c>
      <c r="L802">
        <v>0</v>
      </c>
      <c r="M802" t="s">
        <v>20</v>
      </c>
      <c r="N802">
        <f>L802/500</f>
        <v>0</v>
      </c>
      <c r="P802">
        <f>K802/800</f>
        <v>0.19500000000000001</v>
      </c>
    </row>
    <row r="803" spans="1:16" x14ac:dyDescent="0.35">
      <c r="A803">
        <v>198</v>
      </c>
      <c r="B803">
        <v>583005272</v>
      </c>
      <c r="C803">
        <v>36048</v>
      </c>
      <c r="D803" t="s">
        <v>203</v>
      </c>
      <c r="E803" t="s">
        <v>200</v>
      </c>
      <c r="F803" t="s">
        <v>204</v>
      </c>
      <c r="G803" t="s">
        <v>205</v>
      </c>
      <c r="H803" t="s">
        <v>17</v>
      </c>
      <c r="I803" t="s">
        <v>18</v>
      </c>
      <c r="J803" t="s">
        <v>19</v>
      </c>
      <c r="K803">
        <v>3597</v>
      </c>
      <c r="L803">
        <v>0</v>
      </c>
      <c r="M803" t="s">
        <v>20</v>
      </c>
      <c r="N803">
        <f>L803/500</f>
        <v>0</v>
      </c>
      <c r="P803">
        <f>K803/800</f>
        <v>4.4962499999999999</v>
      </c>
    </row>
    <row r="804" spans="1:16" x14ac:dyDescent="0.35">
      <c r="A804">
        <v>201</v>
      </c>
      <c r="B804">
        <v>583005272</v>
      </c>
      <c r="C804">
        <v>36048</v>
      </c>
      <c r="D804" t="s">
        <v>203</v>
      </c>
      <c r="E804" t="s">
        <v>200</v>
      </c>
      <c r="F804" t="s">
        <v>204</v>
      </c>
      <c r="G804" t="s">
        <v>205</v>
      </c>
      <c r="H804" t="s">
        <v>17</v>
      </c>
      <c r="I804" t="s">
        <v>18</v>
      </c>
      <c r="J804" t="s">
        <v>19</v>
      </c>
      <c r="K804">
        <v>36</v>
      </c>
      <c r="L804">
        <v>0</v>
      </c>
      <c r="M804" t="s">
        <v>20</v>
      </c>
      <c r="N804">
        <f>L804/500</f>
        <v>0</v>
      </c>
      <c r="P804">
        <f>K804/800</f>
        <v>4.4999999999999998E-2</v>
      </c>
    </row>
    <row r="805" spans="1:16" x14ac:dyDescent="0.35">
      <c r="A805">
        <v>270</v>
      </c>
      <c r="B805">
        <v>583005374</v>
      </c>
      <c r="C805">
        <v>36194</v>
      </c>
      <c r="D805" t="s">
        <v>203</v>
      </c>
      <c r="E805" t="s">
        <v>237</v>
      </c>
      <c r="F805" t="s">
        <v>204</v>
      </c>
      <c r="G805" t="s">
        <v>205</v>
      </c>
      <c r="H805" t="s">
        <v>17</v>
      </c>
      <c r="I805" t="s">
        <v>18</v>
      </c>
      <c r="J805" t="s">
        <v>19</v>
      </c>
      <c r="K805">
        <v>72</v>
      </c>
      <c r="L805">
        <v>0</v>
      </c>
      <c r="M805" t="s">
        <v>20</v>
      </c>
      <c r="N805">
        <f>L805/500</f>
        <v>0</v>
      </c>
      <c r="P805">
        <f>K805/800</f>
        <v>0.09</v>
      </c>
    </row>
    <row r="806" spans="1:16" x14ac:dyDescent="0.35">
      <c r="A806">
        <v>495</v>
      </c>
      <c r="B806">
        <v>583005717</v>
      </c>
      <c r="C806">
        <v>36673</v>
      </c>
      <c r="D806" t="s">
        <v>203</v>
      </c>
      <c r="E806" t="s">
        <v>300</v>
      </c>
      <c r="F806" t="s">
        <v>204</v>
      </c>
      <c r="G806" t="s">
        <v>205</v>
      </c>
      <c r="H806" t="s">
        <v>17</v>
      </c>
      <c r="I806" t="s">
        <v>18</v>
      </c>
      <c r="J806" t="s">
        <v>19</v>
      </c>
      <c r="K806">
        <v>51</v>
      </c>
      <c r="L806">
        <v>0</v>
      </c>
      <c r="M806" t="s">
        <v>20</v>
      </c>
      <c r="N806">
        <f>L806/500</f>
        <v>0</v>
      </c>
      <c r="P806">
        <f>K806/800</f>
        <v>6.3750000000000001E-2</v>
      </c>
    </row>
    <row r="807" spans="1:16" x14ac:dyDescent="0.35">
      <c r="A807">
        <v>730</v>
      </c>
      <c r="B807">
        <v>583006084</v>
      </c>
      <c r="C807">
        <v>37186</v>
      </c>
      <c r="D807" t="s">
        <v>203</v>
      </c>
      <c r="E807" t="s">
        <v>347</v>
      </c>
      <c r="F807" t="s">
        <v>204</v>
      </c>
      <c r="G807" t="s">
        <v>205</v>
      </c>
      <c r="H807" t="s">
        <v>17</v>
      </c>
      <c r="I807" t="s">
        <v>18</v>
      </c>
      <c r="J807" t="s">
        <v>19</v>
      </c>
      <c r="K807">
        <v>189</v>
      </c>
      <c r="L807">
        <v>0</v>
      </c>
      <c r="M807" t="s">
        <v>20</v>
      </c>
      <c r="N807">
        <f>L807/500</f>
        <v>0</v>
      </c>
      <c r="P807">
        <f>K807/800</f>
        <v>0.23624999999999999</v>
      </c>
    </row>
    <row r="808" spans="1:16" x14ac:dyDescent="0.35">
      <c r="A808">
        <v>746</v>
      </c>
      <c r="B808">
        <v>583006084</v>
      </c>
      <c r="C808">
        <v>37186</v>
      </c>
      <c r="D808" t="s">
        <v>203</v>
      </c>
      <c r="E808" t="s">
        <v>347</v>
      </c>
      <c r="F808" t="s">
        <v>204</v>
      </c>
      <c r="G808" t="s">
        <v>205</v>
      </c>
      <c r="H808" t="s">
        <v>17</v>
      </c>
      <c r="I808" t="s">
        <v>18</v>
      </c>
      <c r="J808" t="s">
        <v>19</v>
      </c>
      <c r="K808">
        <v>339</v>
      </c>
      <c r="L808">
        <v>0</v>
      </c>
      <c r="M808" t="s">
        <v>20</v>
      </c>
      <c r="N808">
        <f>L808/500</f>
        <v>0</v>
      </c>
      <c r="P808">
        <f>K808/800</f>
        <v>0.42375000000000002</v>
      </c>
    </row>
    <row r="809" spans="1:16" x14ac:dyDescent="0.35">
      <c r="A809">
        <v>382</v>
      </c>
      <c r="B809">
        <v>583005616</v>
      </c>
      <c r="C809">
        <v>36533</v>
      </c>
      <c r="D809" t="s">
        <v>274</v>
      </c>
      <c r="E809" t="s">
        <v>270</v>
      </c>
      <c r="F809" t="s">
        <v>275</v>
      </c>
      <c r="G809" t="s">
        <v>276</v>
      </c>
      <c r="H809" t="s">
        <v>17</v>
      </c>
      <c r="I809" t="s">
        <v>18</v>
      </c>
      <c r="J809" t="s">
        <v>19</v>
      </c>
      <c r="K809">
        <v>12</v>
      </c>
      <c r="L809">
        <v>0</v>
      </c>
      <c r="M809" t="s">
        <v>20</v>
      </c>
      <c r="N809">
        <f>L809/500</f>
        <v>0</v>
      </c>
      <c r="P809">
        <f>K809/800</f>
        <v>1.4999999999999999E-2</v>
      </c>
    </row>
    <row r="810" spans="1:16" x14ac:dyDescent="0.35">
      <c r="A810">
        <v>682</v>
      </c>
      <c r="B810">
        <v>583006031</v>
      </c>
      <c r="C810">
        <v>37117</v>
      </c>
      <c r="D810" t="s">
        <v>274</v>
      </c>
      <c r="E810" t="s">
        <v>343</v>
      </c>
      <c r="F810" t="s">
        <v>275</v>
      </c>
      <c r="G810" t="s">
        <v>276</v>
      </c>
      <c r="H810" t="s">
        <v>17</v>
      </c>
      <c r="I810" t="s">
        <v>18</v>
      </c>
      <c r="J810" t="s">
        <v>19</v>
      </c>
      <c r="K810">
        <v>1305</v>
      </c>
      <c r="L810">
        <v>0</v>
      </c>
      <c r="M810" t="s">
        <v>20</v>
      </c>
      <c r="N810">
        <f>L810/500</f>
        <v>0</v>
      </c>
      <c r="P810">
        <f>K810/800</f>
        <v>1.6312500000000001</v>
      </c>
    </row>
    <row r="811" spans="1:16" x14ac:dyDescent="0.35">
      <c r="A811">
        <v>15</v>
      </c>
      <c r="B811">
        <v>583005041</v>
      </c>
      <c r="C811">
        <v>35735</v>
      </c>
      <c r="D811" t="s">
        <v>53</v>
      </c>
      <c r="E811" t="s">
        <v>14</v>
      </c>
      <c r="F811" t="s">
        <v>54</v>
      </c>
      <c r="G811" t="s">
        <v>55</v>
      </c>
      <c r="H811" t="s">
        <v>17</v>
      </c>
      <c r="I811" t="s">
        <v>18</v>
      </c>
      <c r="J811" t="s">
        <v>19</v>
      </c>
      <c r="K811">
        <v>33</v>
      </c>
      <c r="L811">
        <v>0</v>
      </c>
      <c r="M811" t="s">
        <v>20</v>
      </c>
      <c r="N811">
        <f>L811/500</f>
        <v>0</v>
      </c>
      <c r="P811">
        <f>K811/800</f>
        <v>4.1250000000000002E-2</v>
      </c>
    </row>
    <row r="812" spans="1:16" x14ac:dyDescent="0.35">
      <c r="A812">
        <v>57</v>
      </c>
      <c r="B812">
        <v>583005090</v>
      </c>
      <c r="C812">
        <v>35809</v>
      </c>
      <c r="D812" t="s">
        <v>53</v>
      </c>
      <c r="E812" t="s">
        <v>81</v>
      </c>
      <c r="F812" t="s">
        <v>54</v>
      </c>
      <c r="G812" t="s">
        <v>55</v>
      </c>
      <c r="H812" t="s">
        <v>17</v>
      </c>
      <c r="I812" t="s">
        <v>18</v>
      </c>
      <c r="J812" t="s">
        <v>19</v>
      </c>
      <c r="K812">
        <v>36</v>
      </c>
      <c r="L812">
        <v>0</v>
      </c>
      <c r="M812" t="s">
        <v>20</v>
      </c>
      <c r="N812">
        <f>L812/500</f>
        <v>0</v>
      </c>
      <c r="P812">
        <f>K812/800</f>
        <v>4.4999999999999998E-2</v>
      </c>
    </row>
    <row r="813" spans="1:16" x14ac:dyDescent="0.35">
      <c r="A813">
        <v>58</v>
      </c>
      <c r="B813">
        <v>583005091</v>
      </c>
      <c r="C813">
        <v>35810</v>
      </c>
      <c r="D813" t="s">
        <v>53</v>
      </c>
      <c r="E813" t="s">
        <v>81</v>
      </c>
      <c r="F813" t="s">
        <v>54</v>
      </c>
      <c r="G813" t="s">
        <v>55</v>
      </c>
      <c r="H813" t="s">
        <v>17</v>
      </c>
      <c r="I813" t="s">
        <v>18</v>
      </c>
      <c r="J813" t="s">
        <v>19</v>
      </c>
      <c r="K813">
        <v>33</v>
      </c>
      <c r="L813">
        <v>0</v>
      </c>
      <c r="M813" t="s">
        <v>20</v>
      </c>
      <c r="N813">
        <f>L813/500</f>
        <v>0</v>
      </c>
      <c r="P813">
        <f>K813/800</f>
        <v>4.1250000000000002E-2</v>
      </c>
    </row>
    <row r="814" spans="1:16" x14ac:dyDescent="0.35">
      <c r="A814">
        <v>62</v>
      </c>
      <c r="B814">
        <v>583005092</v>
      </c>
      <c r="C814">
        <v>35811</v>
      </c>
      <c r="D814" t="s">
        <v>53</v>
      </c>
      <c r="E814" t="s">
        <v>81</v>
      </c>
      <c r="F814" t="s">
        <v>54</v>
      </c>
      <c r="G814" t="s">
        <v>55</v>
      </c>
      <c r="H814" t="s">
        <v>17</v>
      </c>
      <c r="I814" t="s">
        <v>18</v>
      </c>
      <c r="J814" t="s">
        <v>19</v>
      </c>
      <c r="K814">
        <v>36</v>
      </c>
      <c r="L814">
        <v>0</v>
      </c>
      <c r="M814" t="s">
        <v>20</v>
      </c>
      <c r="N814">
        <f>L814/500</f>
        <v>0</v>
      </c>
      <c r="P814">
        <f>K814/800</f>
        <v>4.4999999999999998E-2</v>
      </c>
    </row>
    <row r="815" spans="1:16" x14ac:dyDescent="0.35">
      <c r="A815">
        <v>76</v>
      </c>
      <c r="B815">
        <v>583005093</v>
      </c>
      <c r="C815">
        <v>35812</v>
      </c>
      <c r="D815" t="s">
        <v>53</v>
      </c>
      <c r="E815" t="s">
        <v>81</v>
      </c>
      <c r="F815" t="s">
        <v>54</v>
      </c>
      <c r="G815" t="s">
        <v>55</v>
      </c>
      <c r="H815" t="s">
        <v>17</v>
      </c>
      <c r="I815" t="s">
        <v>18</v>
      </c>
      <c r="J815" t="s">
        <v>19</v>
      </c>
      <c r="K815">
        <v>39</v>
      </c>
      <c r="L815">
        <v>0</v>
      </c>
      <c r="M815" t="s">
        <v>20</v>
      </c>
      <c r="N815">
        <f>L815/500</f>
        <v>0</v>
      </c>
      <c r="P815">
        <f>K815/800</f>
        <v>4.8750000000000002E-2</v>
      </c>
    </row>
    <row r="816" spans="1:16" x14ac:dyDescent="0.35">
      <c r="A816">
        <v>202</v>
      </c>
      <c r="B816">
        <v>583005259</v>
      </c>
      <c r="C816">
        <v>36033</v>
      </c>
      <c r="D816" t="s">
        <v>53</v>
      </c>
      <c r="E816" t="s">
        <v>200</v>
      </c>
      <c r="F816" t="s">
        <v>54</v>
      </c>
      <c r="G816" t="s">
        <v>55</v>
      </c>
      <c r="H816" t="s">
        <v>17</v>
      </c>
      <c r="I816" t="s">
        <v>18</v>
      </c>
      <c r="J816" t="s">
        <v>19</v>
      </c>
      <c r="K816">
        <v>36</v>
      </c>
      <c r="L816">
        <v>0</v>
      </c>
      <c r="M816" t="s">
        <v>20</v>
      </c>
      <c r="N816">
        <f>L816/500</f>
        <v>0</v>
      </c>
      <c r="P816">
        <f>K816/800</f>
        <v>4.4999999999999998E-2</v>
      </c>
    </row>
    <row r="817" spans="1:16" x14ac:dyDescent="0.35">
      <c r="A817">
        <v>469</v>
      </c>
      <c r="B817">
        <v>583005723</v>
      </c>
      <c r="C817">
        <v>36679</v>
      </c>
      <c r="D817" t="s">
        <v>53</v>
      </c>
      <c r="E817" t="s">
        <v>300</v>
      </c>
      <c r="F817" t="s">
        <v>54</v>
      </c>
      <c r="G817" t="s">
        <v>55</v>
      </c>
      <c r="H817" t="s">
        <v>17</v>
      </c>
      <c r="I817" t="s">
        <v>18</v>
      </c>
      <c r="J817" t="s">
        <v>19</v>
      </c>
      <c r="K817">
        <v>45</v>
      </c>
      <c r="L817">
        <v>0</v>
      </c>
      <c r="M817" t="s">
        <v>20</v>
      </c>
      <c r="N817">
        <f>L817/500</f>
        <v>0</v>
      </c>
      <c r="P817">
        <f>K817/800</f>
        <v>5.6250000000000001E-2</v>
      </c>
    </row>
    <row r="818" spans="1:16" x14ac:dyDescent="0.35">
      <c r="A818">
        <v>592</v>
      </c>
      <c r="B818">
        <v>583005844</v>
      </c>
      <c r="C818">
        <v>36853</v>
      </c>
      <c r="D818" t="s">
        <v>53</v>
      </c>
      <c r="E818" t="s">
        <v>318</v>
      </c>
      <c r="F818" t="s">
        <v>54</v>
      </c>
      <c r="G818" t="s">
        <v>55</v>
      </c>
      <c r="H818" t="s">
        <v>17</v>
      </c>
      <c r="I818" t="s">
        <v>18</v>
      </c>
      <c r="J818" t="s">
        <v>19</v>
      </c>
      <c r="K818">
        <v>42</v>
      </c>
      <c r="L818">
        <v>0</v>
      </c>
      <c r="M818" t="s">
        <v>20</v>
      </c>
      <c r="N818">
        <f>L818/500</f>
        <v>0</v>
      </c>
      <c r="P818">
        <f>K818/800</f>
        <v>5.2499999999999998E-2</v>
      </c>
    </row>
    <row r="819" spans="1:16" x14ac:dyDescent="0.35">
      <c r="A819">
        <v>694</v>
      </c>
      <c r="B819">
        <v>583006012</v>
      </c>
      <c r="C819">
        <v>37092</v>
      </c>
      <c r="D819" t="s">
        <v>53</v>
      </c>
      <c r="E819" t="s">
        <v>343</v>
      </c>
      <c r="F819" t="s">
        <v>54</v>
      </c>
      <c r="G819" t="s">
        <v>55</v>
      </c>
      <c r="H819" t="s">
        <v>17</v>
      </c>
      <c r="I819" t="s">
        <v>18</v>
      </c>
      <c r="J819" t="s">
        <v>19</v>
      </c>
      <c r="K819">
        <v>12</v>
      </c>
      <c r="L819">
        <v>0</v>
      </c>
      <c r="M819" t="s">
        <v>20</v>
      </c>
      <c r="N819">
        <f>L819/500</f>
        <v>0</v>
      </c>
      <c r="P819">
        <f>K819/800</f>
        <v>1.4999999999999999E-2</v>
      </c>
    </row>
    <row r="820" spans="1:16" x14ac:dyDescent="0.35">
      <c r="A820">
        <v>873</v>
      </c>
      <c r="B820">
        <v>583006217</v>
      </c>
      <c r="C820">
        <v>37356</v>
      </c>
      <c r="D820" t="s">
        <v>53</v>
      </c>
      <c r="E820" t="s">
        <v>367</v>
      </c>
      <c r="F820" t="s">
        <v>54</v>
      </c>
      <c r="G820" t="s">
        <v>55</v>
      </c>
      <c r="H820" t="s">
        <v>17</v>
      </c>
      <c r="I820" t="s">
        <v>18</v>
      </c>
      <c r="J820" t="s">
        <v>19</v>
      </c>
      <c r="K820">
        <v>9</v>
      </c>
      <c r="L820">
        <v>0</v>
      </c>
      <c r="M820" t="s">
        <v>20</v>
      </c>
      <c r="N820">
        <f>L820/500</f>
        <v>0</v>
      </c>
      <c r="P820">
        <f>K820/800</f>
        <v>1.125E-2</v>
      </c>
    </row>
    <row r="821" spans="1:16" x14ac:dyDescent="0.35">
      <c r="A821">
        <v>874</v>
      </c>
      <c r="B821">
        <v>583006216</v>
      </c>
      <c r="C821">
        <v>37355</v>
      </c>
      <c r="D821" t="s">
        <v>53</v>
      </c>
      <c r="E821" t="s">
        <v>367</v>
      </c>
      <c r="F821" t="s">
        <v>54</v>
      </c>
      <c r="G821" t="s">
        <v>55</v>
      </c>
      <c r="H821" t="s">
        <v>17</v>
      </c>
      <c r="I821" t="s">
        <v>18</v>
      </c>
      <c r="J821" t="s">
        <v>19</v>
      </c>
      <c r="K821">
        <v>36</v>
      </c>
      <c r="L821">
        <v>0</v>
      </c>
      <c r="M821" t="s">
        <v>20</v>
      </c>
      <c r="N821">
        <f>L821/500</f>
        <v>0</v>
      </c>
      <c r="P821">
        <f>K821/800</f>
        <v>4.4999999999999998E-2</v>
      </c>
    </row>
    <row r="822" spans="1:16" x14ac:dyDescent="0.35">
      <c r="A822">
        <v>905</v>
      </c>
      <c r="B822">
        <v>583006222</v>
      </c>
      <c r="C822">
        <v>37361</v>
      </c>
      <c r="D822" t="s">
        <v>53</v>
      </c>
      <c r="E822" t="s">
        <v>367</v>
      </c>
      <c r="F822" t="s">
        <v>54</v>
      </c>
      <c r="G822" t="s">
        <v>55</v>
      </c>
      <c r="H822" t="s">
        <v>17</v>
      </c>
      <c r="I822" t="s">
        <v>18</v>
      </c>
      <c r="J822" t="s">
        <v>19</v>
      </c>
      <c r="K822">
        <v>36</v>
      </c>
      <c r="L822">
        <v>0</v>
      </c>
      <c r="M822" t="s">
        <v>20</v>
      </c>
      <c r="N822">
        <f>L822/500</f>
        <v>0</v>
      </c>
      <c r="P822">
        <f>K822/800</f>
        <v>4.4999999999999998E-2</v>
      </c>
    </row>
    <row r="823" spans="1:16" x14ac:dyDescent="0.35">
      <c r="A823">
        <v>1401</v>
      </c>
      <c r="B823">
        <v>583006842</v>
      </c>
      <c r="C823">
        <v>38209</v>
      </c>
      <c r="D823" t="s">
        <v>53</v>
      </c>
      <c r="E823" t="s">
        <v>444</v>
      </c>
      <c r="F823" t="s">
        <v>54</v>
      </c>
      <c r="G823" t="s">
        <v>55</v>
      </c>
      <c r="H823" t="s">
        <v>17</v>
      </c>
      <c r="I823" t="s">
        <v>18</v>
      </c>
      <c r="J823" t="s">
        <v>19</v>
      </c>
      <c r="K823">
        <v>15</v>
      </c>
      <c r="L823">
        <v>0</v>
      </c>
      <c r="M823" t="s">
        <v>20</v>
      </c>
      <c r="N823">
        <f>L823/500</f>
        <v>0</v>
      </c>
      <c r="P823">
        <f>K823/800</f>
        <v>1.8749999999999999E-2</v>
      </c>
    </row>
    <row r="824" spans="1:16" x14ac:dyDescent="0.35">
      <c r="A824">
        <v>1402</v>
      </c>
      <c r="B824">
        <v>583006843</v>
      </c>
      <c r="C824">
        <v>38210</v>
      </c>
      <c r="D824" t="s">
        <v>53</v>
      </c>
      <c r="E824" t="s">
        <v>444</v>
      </c>
      <c r="F824" t="s">
        <v>54</v>
      </c>
      <c r="G824" t="s">
        <v>55</v>
      </c>
      <c r="H824" t="s">
        <v>17</v>
      </c>
      <c r="I824" t="s">
        <v>18</v>
      </c>
      <c r="J824" t="s">
        <v>19</v>
      </c>
      <c r="K824">
        <v>9</v>
      </c>
      <c r="L824">
        <v>0</v>
      </c>
      <c r="M824" t="s">
        <v>20</v>
      </c>
      <c r="N824">
        <f>L824/500</f>
        <v>0</v>
      </c>
      <c r="P824">
        <f>K824/800</f>
        <v>1.125E-2</v>
      </c>
    </row>
    <row r="825" spans="1:16" x14ac:dyDescent="0.35">
      <c r="A825">
        <v>261</v>
      </c>
      <c r="B825">
        <v>583005377</v>
      </c>
      <c r="C825">
        <v>36198</v>
      </c>
      <c r="D825" t="s">
        <v>244</v>
      </c>
      <c r="E825" t="s">
        <v>237</v>
      </c>
      <c r="F825" t="s">
        <v>245</v>
      </c>
      <c r="G825" t="s">
        <v>246</v>
      </c>
      <c r="H825" t="s">
        <v>17</v>
      </c>
      <c r="I825" t="s">
        <v>18</v>
      </c>
      <c r="J825" t="s">
        <v>19</v>
      </c>
      <c r="K825">
        <v>6</v>
      </c>
      <c r="L825">
        <v>0</v>
      </c>
      <c r="M825" t="s">
        <v>20</v>
      </c>
      <c r="N825">
        <f>L825/500</f>
        <v>0</v>
      </c>
      <c r="P825">
        <f>K825/800</f>
        <v>7.4999999999999997E-3</v>
      </c>
    </row>
    <row r="826" spans="1:16" x14ac:dyDescent="0.35">
      <c r="A826">
        <v>341</v>
      </c>
      <c r="B826">
        <v>583005473</v>
      </c>
      <c r="C826">
        <v>36331</v>
      </c>
      <c r="D826" t="s">
        <v>244</v>
      </c>
      <c r="E826" t="s">
        <v>266</v>
      </c>
      <c r="F826" t="s">
        <v>245</v>
      </c>
      <c r="G826" t="s">
        <v>246</v>
      </c>
      <c r="H826" t="s">
        <v>17</v>
      </c>
      <c r="I826" t="s">
        <v>18</v>
      </c>
      <c r="J826" t="s">
        <v>19</v>
      </c>
      <c r="K826">
        <v>12</v>
      </c>
      <c r="L826">
        <v>0</v>
      </c>
      <c r="M826" t="s">
        <v>20</v>
      </c>
      <c r="N826">
        <f>L826/500</f>
        <v>0</v>
      </c>
      <c r="P826">
        <f>K826/800</f>
        <v>1.4999999999999999E-2</v>
      </c>
    </row>
    <row r="827" spans="1:16" x14ac:dyDescent="0.35">
      <c r="A827">
        <v>632</v>
      </c>
      <c r="B827">
        <v>583005899</v>
      </c>
      <c r="C827">
        <v>36948</v>
      </c>
      <c r="D827" t="s">
        <v>244</v>
      </c>
      <c r="E827" t="s">
        <v>324</v>
      </c>
      <c r="F827" t="s">
        <v>245</v>
      </c>
      <c r="G827" t="s">
        <v>246</v>
      </c>
      <c r="H827" t="s">
        <v>17</v>
      </c>
      <c r="I827" t="s">
        <v>18</v>
      </c>
      <c r="J827" t="s">
        <v>19</v>
      </c>
      <c r="K827">
        <v>45</v>
      </c>
      <c r="L827">
        <v>0</v>
      </c>
      <c r="M827" t="s">
        <v>20</v>
      </c>
      <c r="N827">
        <f>L827/500</f>
        <v>0</v>
      </c>
      <c r="P827">
        <f>K827/800</f>
        <v>5.6250000000000001E-2</v>
      </c>
    </row>
    <row r="828" spans="1:16" x14ac:dyDescent="0.35">
      <c r="A828">
        <v>641</v>
      </c>
      <c r="B828">
        <v>583005900</v>
      </c>
      <c r="C828">
        <v>36950</v>
      </c>
      <c r="D828" t="s">
        <v>244</v>
      </c>
      <c r="E828" t="s">
        <v>324</v>
      </c>
      <c r="F828" t="s">
        <v>245</v>
      </c>
      <c r="G828" t="s">
        <v>246</v>
      </c>
      <c r="H828" t="s">
        <v>17</v>
      </c>
      <c r="I828" t="s">
        <v>18</v>
      </c>
      <c r="J828" t="s">
        <v>19</v>
      </c>
      <c r="K828">
        <v>72</v>
      </c>
      <c r="L828">
        <v>0</v>
      </c>
      <c r="M828" t="s">
        <v>20</v>
      </c>
      <c r="N828">
        <f>L828/500</f>
        <v>0</v>
      </c>
      <c r="P828">
        <f>K828/800</f>
        <v>0.09</v>
      </c>
    </row>
    <row r="829" spans="1:16" x14ac:dyDescent="0.35">
      <c r="A829">
        <v>1428</v>
      </c>
      <c r="B829">
        <v>583006866</v>
      </c>
      <c r="C829">
        <v>38234</v>
      </c>
      <c r="D829" t="s">
        <v>244</v>
      </c>
      <c r="E829" t="s">
        <v>444</v>
      </c>
      <c r="F829" t="s">
        <v>245</v>
      </c>
      <c r="G829" t="s">
        <v>246</v>
      </c>
      <c r="H829" t="s">
        <v>17</v>
      </c>
      <c r="I829" t="s">
        <v>18</v>
      </c>
      <c r="J829" t="s">
        <v>19</v>
      </c>
      <c r="K829">
        <v>2634</v>
      </c>
      <c r="L829">
        <v>0</v>
      </c>
      <c r="M829" t="s">
        <v>20</v>
      </c>
      <c r="N829">
        <f>L829/500</f>
        <v>0</v>
      </c>
      <c r="P829">
        <f>K829/800</f>
        <v>3.2925</v>
      </c>
    </row>
    <row r="830" spans="1:16" x14ac:dyDescent="0.35">
      <c r="A830">
        <v>1430</v>
      </c>
      <c r="B830">
        <v>583006866</v>
      </c>
      <c r="C830">
        <v>38234</v>
      </c>
      <c r="D830" t="s">
        <v>244</v>
      </c>
      <c r="E830" t="s">
        <v>444</v>
      </c>
      <c r="F830" t="s">
        <v>245</v>
      </c>
      <c r="G830" t="s">
        <v>246</v>
      </c>
      <c r="H830" t="s">
        <v>17</v>
      </c>
      <c r="I830" t="s">
        <v>18</v>
      </c>
      <c r="J830" t="s">
        <v>19</v>
      </c>
      <c r="K830">
        <v>555</v>
      </c>
      <c r="L830">
        <v>0</v>
      </c>
      <c r="M830" t="s">
        <v>20</v>
      </c>
      <c r="N830">
        <f>L830/500</f>
        <v>0</v>
      </c>
      <c r="P830">
        <f>K830/800</f>
        <v>0.69374999999999998</v>
      </c>
    </row>
    <row r="831" spans="1:16" x14ac:dyDescent="0.35">
      <c r="A831">
        <v>1431</v>
      </c>
      <c r="B831">
        <v>583006866</v>
      </c>
      <c r="C831">
        <v>38234</v>
      </c>
      <c r="D831" t="s">
        <v>244</v>
      </c>
      <c r="E831" t="s">
        <v>444</v>
      </c>
      <c r="F831" t="s">
        <v>245</v>
      </c>
      <c r="G831" t="s">
        <v>246</v>
      </c>
      <c r="H831" t="s">
        <v>17</v>
      </c>
      <c r="I831" t="s">
        <v>18</v>
      </c>
      <c r="J831" t="s">
        <v>19</v>
      </c>
      <c r="K831">
        <v>684</v>
      </c>
      <c r="L831">
        <v>0</v>
      </c>
      <c r="M831" t="s">
        <v>20</v>
      </c>
      <c r="N831">
        <f>L831/500</f>
        <v>0</v>
      </c>
      <c r="P831">
        <f>K831/800</f>
        <v>0.85499999999999998</v>
      </c>
    </row>
    <row r="832" spans="1:16" x14ac:dyDescent="0.35">
      <c r="A832">
        <v>945</v>
      </c>
      <c r="B832">
        <v>583006378</v>
      </c>
      <c r="C832">
        <v>37570</v>
      </c>
      <c r="D832" t="s">
        <v>344</v>
      </c>
      <c r="E832" t="s">
        <v>386</v>
      </c>
      <c r="F832" t="s">
        <v>345</v>
      </c>
      <c r="G832" t="s">
        <v>346</v>
      </c>
      <c r="H832" t="s">
        <v>17</v>
      </c>
      <c r="I832" t="s">
        <v>63</v>
      </c>
      <c r="J832" t="s">
        <v>64</v>
      </c>
      <c r="K832">
        <v>278</v>
      </c>
      <c r="L832">
        <v>492.06</v>
      </c>
      <c r="M832" t="s">
        <v>20</v>
      </c>
      <c r="N832">
        <f>L832/500</f>
        <v>0.98411999999999999</v>
      </c>
    </row>
    <row r="833" spans="1:16" x14ac:dyDescent="0.35">
      <c r="A833">
        <v>946</v>
      </c>
      <c r="B833">
        <v>583006377</v>
      </c>
      <c r="C833">
        <v>37569</v>
      </c>
      <c r="D833" t="s">
        <v>344</v>
      </c>
      <c r="E833" t="s">
        <v>386</v>
      </c>
      <c r="F833" t="s">
        <v>345</v>
      </c>
      <c r="G833" t="s">
        <v>346</v>
      </c>
      <c r="H833" t="s">
        <v>17</v>
      </c>
      <c r="I833" t="s">
        <v>63</v>
      </c>
      <c r="J833" t="s">
        <v>64</v>
      </c>
      <c r="K833">
        <v>87</v>
      </c>
      <c r="L833">
        <v>153.99</v>
      </c>
      <c r="M833" t="s">
        <v>20</v>
      </c>
      <c r="N833">
        <f>L833/500</f>
        <v>0.30798000000000003</v>
      </c>
    </row>
    <row r="834" spans="1:16" x14ac:dyDescent="0.35">
      <c r="A834">
        <v>1356</v>
      </c>
      <c r="B834">
        <v>583006759</v>
      </c>
      <c r="C834">
        <v>38092</v>
      </c>
      <c r="D834" t="s">
        <v>344</v>
      </c>
      <c r="E834" t="s">
        <v>434</v>
      </c>
      <c r="F834" t="s">
        <v>345</v>
      </c>
      <c r="G834" t="s">
        <v>346</v>
      </c>
      <c r="H834" t="s">
        <v>17</v>
      </c>
      <c r="I834" t="s">
        <v>63</v>
      </c>
      <c r="J834" t="s">
        <v>64</v>
      </c>
      <c r="K834">
        <v>74</v>
      </c>
      <c r="L834">
        <v>130.97999999999999</v>
      </c>
      <c r="M834" t="s">
        <v>20</v>
      </c>
      <c r="N834">
        <f>L834/500</f>
        <v>0.26195999999999997</v>
      </c>
    </row>
    <row r="835" spans="1:16" x14ac:dyDescent="0.35">
      <c r="A835">
        <v>688</v>
      </c>
      <c r="B835">
        <v>583006011</v>
      </c>
      <c r="C835">
        <v>37091</v>
      </c>
      <c r="D835" t="s">
        <v>344</v>
      </c>
      <c r="E835" t="s">
        <v>343</v>
      </c>
      <c r="F835" t="s">
        <v>345</v>
      </c>
      <c r="G835" t="s">
        <v>346</v>
      </c>
      <c r="H835" t="s">
        <v>17</v>
      </c>
      <c r="I835" t="s">
        <v>18</v>
      </c>
      <c r="J835" t="s">
        <v>19</v>
      </c>
      <c r="K835">
        <v>69</v>
      </c>
      <c r="L835">
        <v>0</v>
      </c>
      <c r="M835" t="s">
        <v>20</v>
      </c>
      <c r="N835">
        <f>L835/500</f>
        <v>0</v>
      </c>
      <c r="P835">
        <f>K835/800</f>
        <v>8.6249999999999993E-2</v>
      </c>
    </row>
    <row r="836" spans="1:16" x14ac:dyDescent="0.35">
      <c r="A836">
        <v>1031</v>
      </c>
      <c r="B836">
        <v>583006433</v>
      </c>
      <c r="C836">
        <v>37643</v>
      </c>
      <c r="D836" t="s">
        <v>344</v>
      </c>
      <c r="E836" t="s">
        <v>393</v>
      </c>
      <c r="F836" t="s">
        <v>345</v>
      </c>
      <c r="G836" t="s">
        <v>346</v>
      </c>
      <c r="H836" t="s">
        <v>17</v>
      </c>
      <c r="I836" t="s">
        <v>18</v>
      </c>
      <c r="J836" t="s">
        <v>19</v>
      </c>
      <c r="K836">
        <v>12</v>
      </c>
      <c r="L836">
        <v>0</v>
      </c>
      <c r="M836" t="s">
        <v>20</v>
      </c>
      <c r="N836">
        <f>L836/500</f>
        <v>0</v>
      </c>
      <c r="P836">
        <f>K836/800</f>
        <v>1.4999999999999999E-2</v>
      </c>
    </row>
    <row r="837" spans="1:16" x14ac:dyDescent="0.35">
      <c r="A837">
        <v>1126</v>
      </c>
      <c r="B837">
        <v>583006516</v>
      </c>
      <c r="C837">
        <v>37762</v>
      </c>
      <c r="D837" t="s">
        <v>344</v>
      </c>
      <c r="E837" t="s">
        <v>404</v>
      </c>
      <c r="F837" t="s">
        <v>345</v>
      </c>
      <c r="G837" t="s">
        <v>346</v>
      </c>
      <c r="H837" t="s">
        <v>17</v>
      </c>
      <c r="I837" t="s">
        <v>18</v>
      </c>
      <c r="J837" t="s">
        <v>19</v>
      </c>
      <c r="K837">
        <v>612</v>
      </c>
      <c r="L837">
        <v>0</v>
      </c>
      <c r="M837" t="s">
        <v>20</v>
      </c>
      <c r="N837">
        <f>L837/500</f>
        <v>0</v>
      </c>
      <c r="P837">
        <f>K837/800</f>
        <v>0.76500000000000001</v>
      </c>
    </row>
    <row r="838" spans="1:16" x14ac:dyDescent="0.35">
      <c r="A838">
        <v>1127</v>
      </c>
      <c r="B838">
        <v>583006516</v>
      </c>
      <c r="C838">
        <v>37762</v>
      </c>
      <c r="D838" t="s">
        <v>344</v>
      </c>
      <c r="E838" t="s">
        <v>404</v>
      </c>
      <c r="F838" t="s">
        <v>345</v>
      </c>
      <c r="G838" t="s">
        <v>346</v>
      </c>
      <c r="H838" t="s">
        <v>17</v>
      </c>
      <c r="I838" t="s">
        <v>18</v>
      </c>
      <c r="J838" t="s">
        <v>19</v>
      </c>
      <c r="K838">
        <v>2673</v>
      </c>
      <c r="L838">
        <v>0</v>
      </c>
      <c r="M838" t="s">
        <v>20</v>
      </c>
      <c r="N838">
        <f>L838/500</f>
        <v>0</v>
      </c>
      <c r="P838">
        <f>K838/800</f>
        <v>3.3412500000000001</v>
      </c>
    </row>
    <row r="839" spans="1:16" x14ac:dyDescent="0.35">
      <c r="A839">
        <v>1128</v>
      </c>
      <c r="B839">
        <v>583006516</v>
      </c>
      <c r="C839">
        <v>37762</v>
      </c>
      <c r="D839" t="s">
        <v>344</v>
      </c>
      <c r="E839" t="s">
        <v>404</v>
      </c>
      <c r="F839" t="s">
        <v>345</v>
      </c>
      <c r="G839" t="s">
        <v>346</v>
      </c>
      <c r="H839" t="s">
        <v>17</v>
      </c>
      <c r="I839" t="s">
        <v>18</v>
      </c>
      <c r="J839" t="s">
        <v>19</v>
      </c>
      <c r="K839">
        <v>630</v>
      </c>
      <c r="L839">
        <v>0</v>
      </c>
      <c r="M839" t="s">
        <v>20</v>
      </c>
      <c r="N839">
        <f>L839/500</f>
        <v>0</v>
      </c>
      <c r="P839">
        <f>K839/800</f>
        <v>0.78749999999999998</v>
      </c>
    </row>
    <row r="840" spans="1:16" x14ac:dyDescent="0.35">
      <c r="A840">
        <v>112</v>
      </c>
      <c r="B840">
        <v>583005174</v>
      </c>
      <c r="C840">
        <v>35912</v>
      </c>
      <c r="D840" t="s">
        <v>168</v>
      </c>
      <c r="E840" t="s">
        <v>126</v>
      </c>
      <c r="F840" t="s">
        <v>169</v>
      </c>
      <c r="G840" t="s">
        <v>170</v>
      </c>
      <c r="H840" t="s">
        <v>17</v>
      </c>
      <c r="I840" t="s">
        <v>18</v>
      </c>
      <c r="J840" t="s">
        <v>19</v>
      </c>
      <c r="K840">
        <v>30</v>
      </c>
      <c r="L840">
        <v>0</v>
      </c>
      <c r="M840" t="s">
        <v>20</v>
      </c>
      <c r="N840">
        <f>L840/500</f>
        <v>0</v>
      </c>
      <c r="P840">
        <f>K840/800</f>
        <v>3.7499999999999999E-2</v>
      </c>
    </row>
    <row r="841" spans="1:16" x14ac:dyDescent="0.35">
      <c r="A841">
        <v>1195</v>
      </c>
      <c r="B841">
        <v>583006657</v>
      </c>
      <c r="C841">
        <v>37940</v>
      </c>
      <c r="D841" t="s">
        <v>421</v>
      </c>
      <c r="E841" t="s">
        <v>420</v>
      </c>
      <c r="F841" t="s">
        <v>422</v>
      </c>
      <c r="G841" t="s">
        <v>423</v>
      </c>
      <c r="H841" t="s">
        <v>17</v>
      </c>
      <c r="I841" t="s">
        <v>18</v>
      </c>
      <c r="J841" t="s">
        <v>19</v>
      </c>
      <c r="K841">
        <v>1053</v>
      </c>
      <c r="L841">
        <v>0</v>
      </c>
      <c r="M841" t="s">
        <v>20</v>
      </c>
      <c r="N841">
        <f>L841/500</f>
        <v>0</v>
      </c>
      <c r="P841">
        <f>K841/800</f>
        <v>1.3162499999999999</v>
      </c>
    </row>
    <row r="842" spans="1:16" x14ac:dyDescent="0.35">
      <c r="A842">
        <v>1196</v>
      </c>
      <c r="B842">
        <v>583006657</v>
      </c>
      <c r="C842">
        <v>37940</v>
      </c>
      <c r="D842" t="s">
        <v>421</v>
      </c>
      <c r="E842" t="s">
        <v>420</v>
      </c>
      <c r="F842" t="s">
        <v>422</v>
      </c>
      <c r="G842" t="s">
        <v>423</v>
      </c>
      <c r="H842" t="s">
        <v>17</v>
      </c>
      <c r="I842" t="s">
        <v>18</v>
      </c>
      <c r="J842" t="s">
        <v>19</v>
      </c>
      <c r="K842">
        <v>684</v>
      </c>
      <c r="L842">
        <v>0</v>
      </c>
      <c r="M842" t="s">
        <v>20</v>
      </c>
      <c r="N842">
        <f>L842/500</f>
        <v>0</v>
      </c>
      <c r="P842">
        <f>K842/800</f>
        <v>0.85499999999999998</v>
      </c>
    </row>
    <row r="843" spans="1:16" x14ac:dyDescent="0.35">
      <c r="A843">
        <v>1197</v>
      </c>
      <c r="B843">
        <v>583006657</v>
      </c>
      <c r="C843">
        <v>37940</v>
      </c>
      <c r="D843" t="s">
        <v>421</v>
      </c>
      <c r="E843" t="s">
        <v>420</v>
      </c>
      <c r="F843" t="s">
        <v>422</v>
      </c>
      <c r="G843" t="s">
        <v>423</v>
      </c>
      <c r="H843" t="s">
        <v>17</v>
      </c>
      <c r="I843" t="s">
        <v>18</v>
      </c>
      <c r="J843" t="s">
        <v>19</v>
      </c>
      <c r="K843">
        <v>39</v>
      </c>
      <c r="L843">
        <v>0</v>
      </c>
      <c r="M843" t="s">
        <v>20</v>
      </c>
      <c r="N843">
        <f>L843/500</f>
        <v>0</v>
      </c>
      <c r="P843">
        <f>K843/800</f>
        <v>4.8750000000000002E-2</v>
      </c>
    </row>
    <row r="844" spans="1:16" x14ac:dyDescent="0.35">
      <c r="A844">
        <v>96</v>
      </c>
      <c r="B844">
        <v>583005140</v>
      </c>
      <c r="C844">
        <v>35873</v>
      </c>
      <c r="D844" t="s">
        <v>147</v>
      </c>
      <c r="E844" t="s">
        <v>126</v>
      </c>
      <c r="F844" t="s">
        <v>148</v>
      </c>
      <c r="G844" t="s">
        <v>149</v>
      </c>
      <c r="H844" t="s">
        <v>17</v>
      </c>
      <c r="I844" t="s">
        <v>18</v>
      </c>
      <c r="J844" t="s">
        <v>19</v>
      </c>
      <c r="K844">
        <v>90</v>
      </c>
      <c r="L844">
        <v>0</v>
      </c>
      <c r="M844" t="s">
        <v>20</v>
      </c>
      <c r="N844">
        <f>L844/500</f>
        <v>0</v>
      </c>
      <c r="P844">
        <f>K844/800</f>
        <v>0.1125</v>
      </c>
    </row>
    <row r="845" spans="1:16" x14ac:dyDescent="0.35">
      <c r="A845">
        <v>134</v>
      </c>
      <c r="B845">
        <v>583005195</v>
      </c>
      <c r="C845">
        <v>35946</v>
      </c>
      <c r="D845" t="s">
        <v>147</v>
      </c>
      <c r="E845" t="s">
        <v>177</v>
      </c>
      <c r="F845" t="s">
        <v>148</v>
      </c>
      <c r="G845" t="s">
        <v>149</v>
      </c>
      <c r="H845" t="s">
        <v>17</v>
      </c>
      <c r="I845" t="s">
        <v>18</v>
      </c>
      <c r="J845" t="s">
        <v>19</v>
      </c>
      <c r="K845">
        <v>1365</v>
      </c>
      <c r="L845">
        <v>0</v>
      </c>
      <c r="M845" t="s">
        <v>20</v>
      </c>
      <c r="N845">
        <f>L845/500</f>
        <v>0</v>
      </c>
      <c r="P845">
        <f>K845/800</f>
        <v>1.70625</v>
      </c>
    </row>
    <row r="846" spans="1:16" x14ac:dyDescent="0.35">
      <c r="A846">
        <v>135</v>
      </c>
      <c r="B846">
        <v>583005195</v>
      </c>
      <c r="C846">
        <v>35946</v>
      </c>
      <c r="D846" t="s">
        <v>147</v>
      </c>
      <c r="E846" t="s">
        <v>177</v>
      </c>
      <c r="F846" t="s">
        <v>148</v>
      </c>
      <c r="G846" t="s">
        <v>149</v>
      </c>
      <c r="H846" t="s">
        <v>17</v>
      </c>
      <c r="I846" t="s">
        <v>18</v>
      </c>
      <c r="J846" t="s">
        <v>19</v>
      </c>
      <c r="K846">
        <v>246</v>
      </c>
      <c r="L846">
        <v>0</v>
      </c>
      <c r="M846" t="s">
        <v>20</v>
      </c>
      <c r="N846">
        <f>L846/500</f>
        <v>0</v>
      </c>
      <c r="P846">
        <f>K846/800</f>
        <v>0.3075</v>
      </c>
    </row>
    <row r="847" spans="1:16" x14ac:dyDescent="0.35">
      <c r="A847">
        <v>136</v>
      </c>
      <c r="B847">
        <v>583005195</v>
      </c>
      <c r="C847">
        <v>35946</v>
      </c>
      <c r="D847" t="s">
        <v>147</v>
      </c>
      <c r="E847" t="s">
        <v>177</v>
      </c>
      <c r="F847" t="s">
        <v>148</v>
      </c>
      <c r="G847" t="s">
        <v>149</v>
      </c>
      <c r="H847" t="s">
        <v>17</v>
      </c>
      <c r="I847" t="s">
        <v>18</v>
      </c>
      <c r="J847" t="s">
        <v>19</v>
      </c>
      <c r="K847">
        <v>135</v>
      </c>
      <c r="L847">
        <v>0</v>
      </c>
      <c r="M847" t="s">
        <v>20</v>
      </c>
      <c r="N847">
        <f>L847/500</f>
        <v>0</v>
      </c>
      <c r="P847">
        <f>K847/800</f>
        <v>0.16875000000000001</v>
      </c>
    </row>
    <row r="848" spans="1:16" x14ac:dyDescent="0.35">
      <c r="A848">
        <v>137</v>
      </c>
      <c r="B848">
        <v>583005195</v>
      </c>
      <c r="C848">
        <v>35946</v>
      </c>
      <c r="D848" t="s">
        <v>147</v>
      </c>
      <c r="E848" t="s">
        <v>177</v>
      </c>
      <c r="F848" t="s">
        <v>148</v>
      </c>
      <c r="G848" t="s">
        <v>149</v>
      </c>
      <c r="H848" t="s">
        <v>17</v>
      </c>
      <c r="I848" t="s">
        <v>18</v>
      </c>
      <c r="J848" t="s">
        <v>19</v>
      </c>
      <c r="K848">
        <v>72</v>
      </c>
      <c r="L848">
        <v>0</v>
      </c>
      <c r="M848" t="s">
        <v>20</v>
      </c>
      <c r="N848">
        <f>L848/500</f>
        <v>0</v>
      </c>
      <c r="P848">
        <f>K848/800</f>
        <v>0.09</v>
      </c>
    </row>
    <row r="849" spans="1:16" x14ac:dyDescent="0.35">
      <c r="A849">
        <v>307</v>
      </c>
      <c r="B849">
        <v>583005414</v>
      </c>
      <c r="C849">
        <v>36253</v>
      </c>
      <c r="D849" t="s">
        <v>147</v>
      </c>
      <c r="E849" t="s">
        <v>254</v>
      </c>
      <c r="F849" t="s">
        <v>148</v>
      </c>
      <c r="G849" t="s">
        <v>149</v>
      </c>
      <c r="H849" t="s">
        <v>17</v>
      </c>
      <c r="I849" t="s">
        <v>18</v>
      </c>
      <c r="J849" t="s">
        <v>19</v>
      </c>
      <c r="K849">
        <v>9</v>
      </c>
      <c r="L849">
        <v>0</v>
      </c>
      <c r="M849" t="s">
        <v>20</v>
      </c>
      <c r="N849">
        <f>L849/500</f>
        <v>0</v>
      </c>
      <c r="P849">
        <f>K849/800</f>
        <v>1.125E-2</v>
      </c>
    </row>
    <row r="850" spans="1:16" x14ac:dyDescent="0.35">
      <c r="A850">
        <v>308</v>
      </c>
      <c r="B850">
        <v>583005416</v>
      </c>
      <c r="C850">
        <v>36255</v>
      </c>
      <c r="D850" t="s">
        <v>147</v>
      </c>
      <c r="E850" t="s">
        <v>254</v>
      </c>
      <c r="F850" t="s">
        <v>148</v>
      </c>
      <c r="G850" t="s">
        <v>149</v>
      </c>
      <c r="H850" t="s">
        <v>17</v>
      </c>
      <c r="I850" t="s">
        <v>18</v>
      </c>
      <c r="J850" t="s">
        <v>19</v>
      </c>
      <c r="K850">
        <v>36</v>
      </c>
      <c r="L850">
        <v>0</v>
      </c>
      <c r="M850" t="s">
        <v>20</v>
      </c>
      <c r="N850">
        <f>L850/500</f>
        <v>0</v>
      </c>
      <c r="P850">
        <f>K850/800</f>
        <v>4.4999999999999998E-2</v>
      </c>
    </row>
    <row r="851" spans="1:16" x14ac:dyDescent="0.35">
      <c r="A851">
        <v>315</v>
      </c>
      <c r="B851">
        <v>583005415</v>
      </c>
      <c r="C851">
        <v>36254</v>
      </c>
      <c r="D851" t="s">
        <v>147</v>
      </c>
      <c r="E851" t="s">
        <v>254</v>
      </c>
      <c r="F851" t="s">
        <v>148</v>
      </c>
      <c r="G851" t="s">
        <v>149</v>
      </c>
      <c r="H851" t="s">
        <v>17</v>
      </c>
      <c r="I851" t="s">
        <v>18</v>
      </c>
      <c r="J851" t="s">
        <v>19</v>
      </c>
      <c r="K851">
        <v>45</v>
      </c>
      <c r="L851">
        <v>0</v>
      </c>
      <c r="M851" t="s">
        <v>20</v>
      </c>
      <c r="N851">
        <f>L851/500</f>
        <v>0</v>
      </c>
      <c r="P851">
        <f>K851/800</f>
        <v>5.6250000000000001E-2</v>
      </c>
    </row>
    <row r="852" spans="1:16" x14ac:dyDescent="0.35">
      <c r="A852">
        <v>359</v>
      </c>
      <c r="B852">
        <v>583005509</v>
      </c>
      <c r="C852">
        <v>36384</v>
      </c>
      <c r="D852" t="s">
        <v>147</v>
      </c>
      <c r="E852" t="s">
        <v>266</v>
      </c>
      <c r="F852" t="s">
        <v>148</v>
      </c>
      <c r="G852" t="s">
        <v>149</v>
      </c>
      <c r="H852" t="s">
        <v>17</v>
      </c>
      <c r="I852" t="s">
        <v>18</v>
      </c>
      <c r="J852" t="s">
        <v>19</v>
      </c>
      <c r="K852">
        <v>45</v>
      </c>
      <c r="L852">
        <v>0</v>
      </c>
      <c r="M852" t="s">
        <v>20</v>
      </c>
      <c r="N852">
        <f>L852/500</f>
        <v>0</v>
      </c>
      <c r="P852">
        <f>K852/800</f>
        <v>5.6250000000000001E-2</v>
      </c>
    </row>
    <row r="853" spans="1:16" x14ac:dyDescent="0.35">
      <c r="A853">
        <v>367</v>
      </c>
      <c r="B853">
        <v>583005508</v>
      </c>
      <c r="C853">
        <v>36383</v>
      </c>
      <c r="D853" t="s">
        <v>147</v>
      </c>
      <c r="E853" t="s">
        <v>266</v>
      </c>
      <c r="F853" t="s">
        <v>148</v>
      </c>
      <c r="G853" t="s">
        <v>149</v>
      </c>
      <c r="H853" t="s">
        <v>17</v>
      </c>
      <c r="I853" t="s">
        <v>18</v>
      </c>
      <c r="J853" t="s">
        <v>19</v>
      </c>
      <c r="K853">
        <v>12</v>
      </c>
      <c r="L853">
        <v>0</v>
      </c>
      <c r="M853" t="s">
        <v>20</v>
      </c>
      <c r="N853">
        <f>L853/500</f>
        <v>0</v>
      </c>
      <c r="P853">
        <f>K853/800</f>
        <v>1.4999999999999999E-2</v>
      </c>
    </row>
    <row r="854" spans="1:16" x14ac:dyDescent="0.35">
      <c r="A854">
        <v>516</v>
      </c>
      <c r="B854">
        <v>583005733</v>
      </c>
      <c r="C854">
        <v>36691</v>
      </c>
      <c r="D854" t="s">
        <v>147</v>
      </c>
      <c r="E854" t="s">
        <v>300</v>
      </c>
      <c r="F854" t="s">
        <v>148</v>
      </c>
      <c r="G854" t="s">
        <v>149</v>
      </c>
      <c r="H854" t="s">
        <v>17</v>
      </c>
      <c r="I854" t="s">
        <v>18</v>
      </c>
      <c r="J854" t="s">
        <v>19</v>
      </c>
      <c r="K854">
        <v>36</v>
      </c>
      <c r="L854">
        <v>0</v>
      </c>
      <c r="M854" t="s">
        <v>20</v>
      </c>
      <c r="N854">
        <f>L854/500</f>
        <v>0</v>
      </c>
      <c r="P854">
        <f>K854/800</f>
        <v>4.4999999999999998E-2</v>
      </c>
    </row>
    <row r="855" spans="1:16" x14ac:dyDescent="0.35">
      <c r="A855">
        <v>539</v>
      </c>
      <c r="B855">
        <v>583005783</v>
      </c>
      <c r="C855">
        <v>36767</v>
      </c>
      <c r="D855" t="s">
        <v>147</v>
      </c>
      <c r="E855" t="s">
        <v>310</v>
      </c>
      <c r="F855" t="s">
        <v>148</v>
      </c>
      <c r="G855" t="s">
        <v>149</v>
      </c>
      <c r="H855" t="s">
        <v>17</v>
      </c>
      <c r="I855" t="s">
        <v>18</v>
      </c>
      <c r="J855" t="s">
        <v>19</v>
      </c>
      <c r="K855">
        <v>54</v>
      </c>
      <c r="L855">
        <v>0</v>
      </c>
      <c r="M855" t="s">
        <v>20</v>
      </c>
      <c r="N855">
        <f>L855/500</f>
        <v>0</v>
      </c>
      <c r="P855">
        <f>K855/800</f>
        <v>6.7500000000000004E-2</v>
      </c>
    </row>
    <row r="856" spans="1:16" x14ac:dyDescent="0.35">
      <c r="A856">
        <v>554</v>
      </c>
      <c r="B856">
        <v>583005782</v>
      </c>
      <c r="C856">
        <v>36766</v>
      </c>
      <c r="D856" t="s">
        <v>147</v>
      </c>
      <c r="E856" t="s">
        <v>310</v>
      </c>
      <c r="F856" t="s">
        <v>148</v>
      </c>
      <c r="G856" t="s">
        <v>149</v>
      </c>
      <c r="H856" t="s">
        <v>17</v>
      </c>
      <c r="I856" t="s">
        <v>18</v>
      </c>
      <c r="J856" t="s">
        <v>19</v>
      </c>
      <c r="K856">
        <v>120</v>
      </c>
      <c r="L856">
        <v>0</v>
      </c>
      <c r="M856" t="s">
        <v>20</v>
      </c>
      <c r="N856">
        <f>L856/500</f>
        <v>0</v>
      </c>
      <c r="P856">
        <f>K856/800</f>
        <v>0.15</v>
      </c>
    </row>
    <row r="857" spans="1:16" x14ac:dyDescent="0.35">
      <c r="A857">
        <v>583</v>
      </c>
      <c r="B857">
        <v>583005847</v>
      </c>
      <c r="C857">
        <v>36858</v>
      </c>
      <c r="D857" t="s">
        <v>147</v>
      </c>
      <c r="E857" t="s">
        <v>318</v>
      </c>
      <c r="F857" t="s">
        <v>148</v>
      </c>
      <c r="G857" t="s">
        <v>149</v>
      </c>
      <c r="H857" t="s">
        <v>17</v>
      </c>
      <c r="I857" t="s">
        <v>18</v>
      </c>
      <c r="J857" t="s">
        <v>19</v>
      </c>
      <c r="K857">
        <v>6</v>
      </c>
      <c r="L857">
        <v>0</v>
      </c>
      <c r="M857" t="s">
        <v>20</v>
      </c>
      <c r="N857">
        <f>L857/500</f>
        <v>0</v>
      </c>
      <c r="P857">
        <f>K857/800</f>
        <v>7.4999999999999997E-3</v>
      </c>
    </row>
    <row r="858" spans="1:16" x14ac:dyDescent="0.35">
      <c r="A858">
        <v>587</v>
      </c>
      <c r="B858">
        <v>583005846</v>
      </c>
      <c r="C858">
        <v>36857</v>
      </c>
      <c r="D858" t="s">
        <v>147</v>
      </c>
      <c r="E858" t="s">
        <v>318</v>
      </c>
      <c r="F858" t="s">
        <v>148</v>
      </c>
      <c r="G858" t="s">
        <v>149</v>
      </c>
      <c r="H858" t="s">
        <v>17</v>
      </c>
      <c r="I858" t="s">
        <v>18</v>
      </c>
      <c r="J858" t="s">
        <v>19</v>
      </c>
      <c r="K858">
        <v>36</v>
      </c>
      <c r="L858">
        <v>0</v>
      </c>
      <c r="M858" t="s">
        <v>20</v>
      </c>
      <c r="N858">
        <f>L858/500</f>
        <v>0</v>
      </c>
      <c r="P858">
        <f>K858/800</f>
        <v>4.4999999999999998E-2</v>
      </c>
    </row>
    <row r="859" spans="1:16" x14ac:dyDescent="0.35">
      <c r="A859">
        <v>702</v>
      </c>
      <c r="B859">
        <v>583006075</v>
      </c>
      <c r="C859">
        <v>37176</v>
      </c>
      <c r="D859" t="s">
        <v>147</v>
      </c>
      <c r="E859" t="s">
        <v>347</v>
      </c>
      <c r="F859" t="s">
        <v>148</v>
      </c>
      <c r="G859" t="s">
        <v>149</v>
      </c>
      <c r="H859" t="s">
        <v>17</v>
      </c>
      <c r="I859" t="s">
        <v>18</v>
      </c>
      <c r="J859" t="s">
        <v>19</v>
      </c>
      <c r="K859">
        <v>72</v>
      </c>
      <c r="L859">
        <v>0</v>
      </c>
      <c r="M859" t="s">
        <v>20</v>
      </c>
      <c r="N859">
        <f>L859/500</f>
        <v>0</v>
      </c>
      <c r="P859">
        <f>K859/800</f>
        <v>0.09</v>
      </c>
    </row>
    <row r="860" spans="1:16" x14ac:dyDescent="0.35">
      <c r="A860">
        <v>703</v>
      </c>
      <c r="B860">
        <v>583006074</v>
      </c>
      <c r="C860">
        <v>37175</v>
      </c>
      <c r="D860" t="s">
        <v>147</v>
      </c>
      <c r="E860" t="s">
        <v>347</v>
      </c>
      <c r="F860" t="s">
        <v>148</v>
      </c>
      <c r="G860" t="s">
        <v>149</v>
      </c>
      <c r="H860" t="s">
        <v>17</v>
      </c>
      <c r="I860" t="s">
        <v>18</v>
      </c>
      <c r="J860" t="s">
        <v>19</v>
      </c>
      <c r="K860">
        <v>36</v>
      </c>
      <c r="L860">
        <v>0</v>
      </c>
      <c r="M860" t="s">
        <v>20</v>
      </c>
      <c r="N860">
        <f>L860/500</f>
        <v>0</v>
      </c>
      <c r="P860">
        <f>K860/800</f>
        <v>4.4999999999999998E-2</v>
      </c>
    </row>
    <row r="861" spans="1:16" x14ac:dyDescent="0.35">
      <c r="A861">
        <v>715</v>
      </c>
      <c r="B861">
        <v>583006079</v>
      </c>
      <c r="C861">
        <v>37180</v>
      </c>
      <c r="D861" t="s">
        <v>147</v>
      </c>
      <c r="E861" t="s">
        <v>347</v>
      </c>
      <c r="F861" t="s">
        <v>148</v>
      </c>
      <c r="G861" t="s">
        <v>149</v>
      </c>
      <c r="H861" t="s">
        <v>17</v>
      </c>
      <c r="I861" t="s">
        <v>18</v>
      </c>
      <c r="J861" t="s">
        <v>19</v>
      </c>
      <c r="K861">
        <v>72</v>
      </c>
      <c r="L861">
        <v>0</v>
      </c>
      <c r="M861" t="s">
        <v>20</v>
      </c>
      <c r="N861">
        <f>L861/500</f>
        <v>0</v>
      </c>
      <c r="P861">
        <f>K861/800</f>
        <v>0.09</v>
      </c>
    </row>
    <row r="862" spans="1:16" x14ac:dyDescent="0.35">
      <c r="A862">
        <v>750</v>
      </c>
      <c r="B862">
        <v>583006071</v>
      </c>
      <c r="C862">
        <v>37172</v>
      </c>
      <c r="D862" t="s">
        <v>147</v>
      </c>
      <c r="E862" t="s">
        <v>347</v>
      </c>
      <c r="F862" t="s">
        <v>148</v>
      </c>
      <c r="G862" t="s">
        <v>149</v>
      </c>
      <c r="H862" t="s">
        <v>17</v>
      </c>
      <c r="I862" t="s">
        <v>18</v>
      </c>
      <c r="J862" t="s">
        <v>19</v>
      </c>
      <c r="K862">
        <v>36</v>
      </c>
      <c r="L862">
        <v>0</v>
      </c>
      <c r="M862" t="s">
        <v>20</v>
      </c>
      <c r="N862">
        <f>L862/500</f>
        <v>0</v>
      </c>
      <c r="P862">
        <f>K862/800</f>
        <v>4.4999999999999998E-2</v>
      </c>
    </row>
    <row r="863" spans="1:16" x14ac:dyDescent="0.35">
      <c r="A863">
        <v>753</v>
      </c>
      <c r="B863">
        <v>583006073</v>
      </c>
      <c r="C863">
        <v>37174</v>
      </c>
      <c r="D863" t="s">
        <v>147</v>
      </c>
      <c r="E863" t="s">
        <v>347</v>
      </c>
      <c r="F863" t="s">
        <v>148</v>
      </c>
      <c r="G863" t="s">
        <v>149</v>
      </c>
      <c r="H863" t="s">
        <v>17</v>
      </c>
      <c r="I863" t="s">
        <v>18</v>
      </c>
      <c r="J863" t="s">
        <v>19</v>
      </c>
      <c r="K863">
        <v>48</v>
      </c>
      <c r="L863">
        <v>0</v>
      </c>
      <c r="M863" t="s">
        <v>20</v>
      </c>
      <c r="N863">
        <f>L863/500</f>
        <v>0</v>
      </c>
      <c r="P863">
        <f>K863/800</f>
        <v>0.06</v>
      </c>
    </row>
    <row r="864" spans="1:16" x14ac:dyDescent="0.35">
      <c r="A864">
        <v>868</v>
      </c>
      <c r="B864">
        <v>583006255</v>
      </c>
      <c r="C864">
        <v>37406</v>
      </c>
      <c r="D864" t="s">
        <v>147</v>
      </c>
      <c r="E864" t="s">
        <v>367</v>
      </c>
      <c r="F864" t="s">
        <v>148</v>
      </c>
      <c r="G864" t="s">
        <v>149</v>
      </c>
      <c r="H864" t="s">
        <v>17</v>
      </c>
      <c r="I864" t="s">
        <v>18</v>
      </c>
      <c r="J864" t="s">
        <v>19</v>
      </c>
      <c r="K864">
        <v>18</v>
      </c>
      <c r="L864">
        <v>0</v>
      </c>
      <c r="M864" t="s">
        <v>20</v>
      </c>
      <c r="N864">
        <f>L864/500</f>
        <v>0</v>
      </c>
      <c r="P864">
        <f>K864/800</f>
        <v>2.2499999999999999E-2</v>
      </c>
    </row>
    <row r="865" spans="1:16" x14ac:dyDescent="0.35">
      <c r="A865">
        <v>870</v>
      </c>
      <c r="B865">
        <v>583006253</v>
      </c>
      <c r="C865">
        <v>37404</v>
      </c>
      <c r="D865" t="s">
        <v>147</v>
      </c>
      <c r="E865" t="s">
        <v>367</v>
      </c>
      <c r="F865" t="s">
        <v>148</v>
      </c>
      <c r="G865" t="s">
        <v>149</v>
      </c>
      <c r="H865" t="s">
        <v>17</v>
      </c>
      <c r="I865" t="s">
        <v>18</v>
      </c>
      <c r="J865" t="s">
        <v>19</v>
      </c>
      <c r="K865">
        <v>36</v>
      </c>
      <c r="L865">
        <v>0</v>
      </c>
      <c r="M865" t="s">
        <v>20</v>
      </c>
      <c r="N865">
        <f>L865/500</f>
        <v>0</v>
      </c>
      <c r="P865">
        <f>K865/800</f>
        <v>4.4999999999999998E-2</v>
      </c>
    </row>
    <row r="866" spans="1:16" x14ac:dyDescent="0.35">
      <c r="A866">
        <v>871</v>
      </c>
      <c r="B866">
        <v>583006253</v>
      </c>
      <c r="C866">
        <v>37404</v>
      </c>
      <c r="D866" t="s">
        <v>147</v>
      </c>
      <c r="E866" t="s">
        <v>367</v>
      </c>
      <c r="F866" t="s">
        <v>148</v>
      </c>
      <c r="G866" t="s">
        <v>149</v>
      </c>
      <c r="H866" t="s">
        <v>17</v>
      </c>
      <c r="I866" t="s">
        <v>18</v>
      </c>
      <c r="J866" t="s">
        <v>19</v>
      </c>
      <c r="K866">
        <v>144</v>
      </c>
      <c r="L866">
        <v>0</v>
      </c>
      <c r="M866" t="s">
        <v>20</v>
      </c>
      <c r="N866">
        <f>L866/500</f>
        <v>0</v>
      </c>
      <c r="P866">
        <f>K866/800</f>
        <v>0.18</v>
      </c>
    </row>
    <row r="867" spans="1:16" x14ac:dyDescent="0.35">
      <c r="A867">
        <v>875</v>
      </c>
      <c r="B867">
        <v>583006254</v>
      </c>
      <c r="C867">
        <v>37405</v>
      </c>
      <c r="D867" t="s">
        <v>147</v>
      </c>
      <c r="E867" t="s">
        <v>367</v>
      </c>
      <c r="F867" t="s">
        <v>148</v>
      </c>
      <c r="G867" t="s">
        <v>149</v>
      </c>
      <c r="H867" t="s">
        <v>17</v>
      </c>
      <c r="I867" t="s">
        <v>18</v>
      </c>
      <c r="J867" t="s">
        <v>19</v>
      </c>
      <c r="K867">
        <v>72</v>
      </c>
      <c r="L867">
        <v>0</v>
      </c>
      <c r="M867" t="s">
        <v>20</v>
      </c>
      <c r="N867">
        <f>L867/500</f>
        <v>0</v>
      </c>
      <c r="P867">
        <f>K867/800</f>
        <v>0.09</v>
      </c>
    </row>
    <row r="868" spans="1:16" x14ac:dyDescent="0.35">
      <c r="A868">
        <v>878</v>
      </c>
      <c r="B868">
        <v>583006251</v>
      </c>
      <c r="C868">
        <v>37402</v>
      </c>
      <c r="D868" t="s">
        <v>147</v>
      </c>
      <c r="E868" t="s">
        <v>367</v>
      </c>
      <c r="F868" t="s">
        <v>148</v>
      </c>
      <c r="G868" t="s">
        <v>149</v>
      </c>
      <c r="H868" t="s">
        <v>17</v>
      </c>
      <c r="I868" t="s">
        <v>18</v>
      </c>
      <c r="J868" t="s">
        <v>19</v>
      </c>
      <c r="K868">
        <v>36</v>
      </c>
      <c r="L868">
        <v>0</v>
      </c>
      <c r="M868" t="s">
        <v>20</v>
      </c>
      <c r="N868">
        <f>L868/500</f>
        <v>0</v>
      </c>
      <c r="P868">
        <f>K868/800</f>
        <v>4.4999999999999998E-2</v>
      </c>
    </row>
    <row r="869" spans="1:16" x14ac:dyDescent="0.35">
      <c r="A869">
        <v>886</v>
      </c>
      <c r="B869">
        <v>583006249</v>
      </c>
      <c r="C869">
        <v>37400</v>
      </c>
      <c r="D869" t="s">
        <v>147</v>
      </c>
      <c r="E869" t="s">
        <v>367</v>
      </c>
      <c r="F869" t="s">
        <v>148</v>
      </c>
      <c r="G869" t="s">
        <v>149</v>
      </c>
      <c r="H869" t="s">
        <v>17</v>
      </c>
      <c r="I869" t="s">
        <v>18</v>
      </c>
      <c r="J869" t="s">
        <v>19</v>
      </c>
      <c r="K869">
        <v>72</v>
      </c>
      <c r="L869">
        <v>0</v>
      </c>
      <c r="M869" t="s">
        <v>20</v>
      </c>
      <c r="N869">
        <f>L869/500</f>
        <v>0</v>
      </c>
      <c r="P869">
        <f>K869/800</f>
        <v>0.09</v>
      </c>
    </row>
    <row r="870" spans="1:16" x14ac:dyDescent="0.35">
      <c r="A870">
        <v>889</v>
      </c>
      <c r="B870">
        <v>583006250</v>
      </c>
      <c r="C870">
        <v>37401</v>
      </c>
      <c r="D870" t="s">
        <v>147</v>
      </c>
      <c r="E870" t="s">
        <v>367</v>
      </c>
      <c r="F870" t="s">
        <v>148</v>
      </c>
      <c r="G870" t="s">
        <v>149</v>
      </c>
      <c r="H870" t="s">
        <v>17</v>
      </c>
      <c r="I870" t="s">
        <v>18</v>
      </c>
      <c r="J870" t="s">
        <v>19</v>
      </c>
      <c r="K870">
        <v>135</v>
      </c>
      <c r="L870">
        <v>0</v>
      </c>
      <c r="M870" t="s">
        <v>20</v>
      </c>
      <c r="N870">
        <f>L870/500</f>
        <v>0</v>
      </c>
      <c r="P870">
        <f>K870/800</f>
        <v>0.16875000000000001</v>
      </c>
    </row>
    <row r="871" spans="1:16" x14ac:dyDescent="0.35">
      <c r="A871">
        <v>1318</v>
      </c>
      <c r="B871">
        <v>583006801</v>
      </c>
      <c r="C871">
        <v>38143</v>
      </c>
      <c r="D871" t="s">
        <v>147</v>
      </c>
      <c r="E871" t="s">
        <v>434</v>
      </c>
      <c r="F871" t="s">
        <v>148</v>
      </c>
      <c r="G871" t="s">
        <v>149</v>
      </c>
      <c r="H871" t="s">
        <v>17</v>
      </c>
      <c r="I871" t="s">
        <v>18</v>
      </c>
      <c r="J871" t="s">
        <v>19</v>
      </c>
      <c r="K871">
        <v>27</v>
      </c>
      <c r="L871">
        <v>0</v>
      </c>
      <c r="M871" t="s">
        <v>20</v>
      </c>
      <c r="N871">
        <f>L871/500</f>
        <v>0</v>
      </c>
      <c r="P871">
        <f>K871/800</f>
        <v>3.3750000000000002E-2</v>
      </c>
    </row>
    <row r="872" spans="1:16" x14ac:dyDescent="0.35">
      <c r="A872">
        <v>1323</v>
      </c>
      <c r="B872">
        <v>583006798</v>
      </c>
      <c r="C872">
        <v>38139</v>
      </c>
      <c r="D872" t="s">
        <v>147</v>
      </c>
      <c r="E872" t="s">
        <v>434</v>
      </c>
      <c r="F872" t="s">
        <v>148</v>
      </c>
      <c r="G872" t="s">
        <v>149</v>
      </c>
      <c r="H872" t="s">
        <v>17</v>
      </c>
      <c r="I872" t="s">
        <v>18</v>
      </c>
      <c r="J872" t="s">
        <v>19</v>
      </c>
      <c r="K872">
        <v>15</v>
      </c>
      <c r="L872">
        <v>0</v>
      </c>
      <c r="M872" t="s">
        <v>20</v>
      </c>
      <c r="N872">
        <f>L872/500</f>
        <v>0</v>
      </c>
      <c r="P872">
        <f>K872/800</f>
        <v>1.8749999999999999E-2</v>
      </c>
    </row>
    <row r="873" spans="1:16" x14ac:dyDescent="0.35">
      <c r="A873">
        <v>1324</v>
      </c>
      <c r="B873">
        <v>583006800</v>
      </c>
      <c r="C873">
        <v>38141</v>
      </c>
      <c r="D873" t="s">
        <v>147</v>
      </c>
      <c r="E873" t="s">
        <v>434</v>
      </c>
      <c r="F873" t="s">
        <v>148</v>
      </c>
      <c r="G873" t="s">
        <v>149</v>
      </c>
      <c r="H873" t="s">
        <v>17</v>
      </c>
      <c r="I873" t="s">
        <v>18</v>
      </c>
      <c r="J873" t="s">
        <v>19</v>
      </c>
      <c r="K873">
        <v>54</v>
      </c>
      <c r="L873">
        <v>0</v>
      </c>
      <c r="M873" t="s">
        <v>20</v>
      </c>
      <c r="N873">
        <f>L873/500</f>
        <v>0</v>
      </c>
      <c r="P873">
        <f>K873/800</f>
        <v>6.7500000000000004E-2</v>
      </c>
    </row>
    <row r="874" spans="1:16" x14ac:dyDescent="0.35">
      <c r="A874">
        <v>1327</v>
      </c>
      <c r="B874">
        <v>583006795</v>
      </c>
      <c r="C874">
        <v>38136</v>
      </c>
      <c r="D874" t="s">
        <v>147</v>
      </c>
      <c r="E874" t="s">
        <v>434</v>
      </c>
      <c r="F874" t="s">
        <v>148</v>
      </c>
      <c r="G874" t="s">
        <v>149</v>
      </c>
      <c r="H874" t="s">
        <v>17</v>
      </c>
      <c r="I874" t="s">
        <v>18</v>
      </c>
      <c r="J874" t="s">
        <v>19</v>
      </c>
      <c r="K874">
        <v>180</v>
      </c>
      <c r="L874">
        <v>0</v>
      </c>
      <c r="M874" t="s">
        <v>20</v>
      </c>
      <c r="N874">
        <f>L874/500</f>
        <v>0</v>
      </c>
      <c r="P874">
        <f>K874/800</f>
        <v>0.22500000000000001</v>
      </c>
    </row>
    <row r="875" spans="1:16" x14ac:dyDescent="0.35">
      <c r="A875">
        <v>1328</v>
      </c>
      <c r="B875">
        <v>583006795</v>
      </c>
      <c r="C875">
        <v>38136</v>
      </c>
      <c r="D875" t="s">
        <v>147</v>
      </c>
      <c r="E875" t="s">
        <v>434</v>
      </c>
      <c r="F875" t="s">
        <v>148</v>
      </c>
      <c r="G875" t="s">
        <v>149</v>
      </c>
      <c r="H875" t="s">
        <v>17</v>
      </c>
      <c r="I875" t="s">
        <v>18</v>
      </c>
      <c r="J875" t="s">
        <v>19</v>
      </c>
      <c r="K875">
        <v>24</v>
      </c>
      <c r="L875">
        <v>0</v>
      </c>
      <c r="M875" t="s">
        <v>20</v>
      </c>
      <c r="N875">
        <f>L875/500</f>
        <v>0</v>
      </c>
      <c r="P875">
        <f>K875/800</f>
        <v>0.03</v>
      </c>
    </row>
    <row r="876" spans="1:16" x14ac:dyDescent="0.35">
      <c r="A876">
        <v>1365</v>
      </c>
      <c r="B876">
        <v>583006796</v>
      </c>
      <c r="C876">
        <v>38137</v>
      </c>
      <c r="D876" t="s">
        <v>147</v>
      </c>
      <c r="E876" t="s">
        <v>434</v>
      </c>
      <c r="F876" t="s">
        <v>148</v>
      </c>
      <c r="G876" t="s">
        <v>149</v>
      </c>
      <c r="H876" t="s">
        <v>17</v>
      </c>
      <c r="I876" t="s">
        <v>18</v>
      </c>
      <c r="J876" t="s">
        <v>19</v>
      </c>
      <c r="K876">
        <v>105</v>
      </c>
      <c r="L876">
        <v>0</v>
      </c>
      <c r="M876" t="s">
        <v>20</v>
      </c>
      <c r="N876">
        <f>L876/500</f>
        <v>0</v>
      </c>
      <c r="P876">
        <f>K876/800</f>
        <v>0.13125000000000001</v>
      </c>
    </row>
    <row r="877" spans="1:16" x14ac:dyDescent="0.35">
      <c r="A877">
        <v>1366</v>
      </c>
      <c r="B877">
        <v>583006796</v>
      </c>
      <c r="C877">
        <v>38137</v>
      </c>
      <c r="D877" t="s">
        <v>147</v>
      </c>
      <c r="E877" t="s">
        <v>434</v>
      </c>
      <c r="F877" t="s">
        <v>148</v>
      </c>
      <c r="G877" t="s">
        <v>149</v>
      </c>
      <c r="H877" t="s">
        <v>17</v>
      </c>
      <c r="I877" t="s">
        <v>18</v>
      </c>
      <c r="J877" t="s">
        <v>19</v>
      </c>
      <c r="K877">
        <v>36</v>
      </c>
      <c r="L877">
        <v>0</v>
      </c>
      <c r="M877" t="s">
        <v>20</v>
      </c>
      <c r="N877">
        <f>L877/500</f>
        <v>0</v>
      </c>
      <c r="P877">
        <f>K877/800</f>
        <v>4.4999999999999998E-2</v>
      </c>
    </row>
    <row r="878" spans="1:16" x14ac:dyDescent="0.35">
      <c r="A878">
        <v>1367</v>
      </c>
      <c r="B878">
        <v>583006797</v>
      </c>
      <c r="C878">
        <v>38138</v>
      </c>
      <c r="D878" t="s">
        <v>147</v>
      </c>
      <c r="E878" t="s">
        <v>434</v>
      </c>
      <c r="F878" t="s">
        <v>148</v>
      </c>
      <c r="G878" t="s">
        <v>149</v>
      </c>
      <c r="H878" t="s">
        <v>17</v>
      </c>
      <c r="I878" t="s">
        <v>18</v>
      </c>
      <c r="J878" t="s">
        <v>19</v>
      </c>
      <c r="K878">
        <v>36</v>
      </c>
      <c r="L878">
        <v>0</v>
      </c>
      <c r="M878" t="s">
        <v>20</v>
      </c>
      <c r="N878">
        <f>L878/500</f>
        <v>0</v>
      </c>
      <c r="P878">
        <f>K878/800</f>
        <v>4.4999999999999998E-2</v>
      </c>
    </row>
    <row r="879" spans="1:16" x14ac:dyDescent="0.35">
      <c r="A879">
        <v>416</v>
      </c>
      <c r="B879">
        <v>583005579</v>
      </c>
      <c r="C879">
        <v>36481</v>
      </c>
      <c r="D879" t="s">
        <v>165</v>
      </c>
      <c r="E879" t="s">
        <v>270</v>
      </c>
      <c r="F879" t="s">
        <v>166</v>
      </c>
      <c r="G879" t="s">
        <v>167</v>
      </c>
      <c r="H879" t="s">
        <v>17</v>
      </c>
      <c r="I879" t="s">
        <v>18</v>
      </c>
      <c r="J879" t="s">
        <v>19</v>
      </c>
      <c r="K879">
        <v>45</v>
      </c>
      <c r="L879">
        <v>0</v>
      </c>
      <c r="M879" t="s">
        <v>20</v>
      </c>
      <c r="N879">
        <f>L879/500</f>
        <v>0</v>
      </c>
      <c r="P879">
        <f>K879/800</f>
        <v>5.6250000000000001E-2</v>
      </c>
    </row>
    <row r="880" spans="1:16" x14ac:dyDescent="0.35">
      <c r="A880">
        <v>514</v>
      </c>
      <c r="B880">
        <v>583005739</v>
      </c>
      <c r="C880">
        <v>36697</v>
      </c>
      <c r="D880" t="s">
        <v>165</v>
      </c>
      <c r="E880" t="s">
        <v>300</v>
      </c>
      <c r="F880" t="s">
        <v>166</v>
      </c>
      <c r="G880" t="s">
        <v>167</v>
      </c>
      <c r="H880" t="s">
        <v>17</v>
      </c>
      <c r="I880" t="s">
        <v>18</v>
      </c>
      <c r="J880" t="s">
        <v>19</v>
      </c>
      <c r="K880">
        <v>3585</v>
      </c>
      <c r="L880">
        <v>0</v>
      </c>
      <c r="M880" t="s">
        <v>20</v>
      </c>
      <c r="N880">
        <f>L880/500</f>
        <v>0</v>
      </c>
      <c r="P880">
        <f>K880/800</f>
        <v>4.4812500000000002</v>
      </c>
    </row>
    <row r="881" spans="1:16" x14ac:dyDescent="0.35">
      <c r="A881">
        <v>515</v>
      </c>
      <c r="B881">
        <v>583005739</v>
      </c>
      <c r="C881">
        <v>36697</v>
      </c>
      <c r="D881" t="s">
        <v>165</v>
      </c>
      <c r="E881" t="s">
        <v>300</v>
      </c>
      <c r="F881" t="s">
        <v>166</v>
      </c>
      <c r="G881" t="s">
        <v>167</v>
      </c>
      <c r="H881" t="s">
        <v>17</v>
      </c>
      <c r="I881" t="s">
        <v>18</v>
      </c>
      <c r="J881" t="s">
        <v>19</v>
      </c>
      <c r="K881">
        <v>288</v>
      </c>
      <c r="L881">
        <v>0</v>
      </c>
      <c r="M881" t="s">
        <v>20</v>
      </c>
      <c r="N881">
        <f>L881/500</f>
        <v>0</v>
      </c>
      <c r="P881">
        <f>K881/800</f>
        <v>0.36</v>
      </c>
    </row>
    <row r="882" spans="1:16" x14ac:dyDescent="0.35">
      <c r="A882">
        <v>663</v>
      </c>
      <c r="B882">
        <v>583005994</v>
      </c>
      <c r="C882">
        <v>37074</v>
      </c>
      <c r="D882" t="s">
        <v>165</v>
      </c>
      <c r="E882" t="s">
        <v>343</v>
      </c>
      <c r="F882" t="s">
        <v>166</v>
      </c>
      <c r="G882" t="s">
        <v>167</v>
      </c>
      <c r="H882" t="s">
        <v>17</v>
      </c>
      <c r="I882" t="s">
        <v>18</v>
      </c>
      <c r="J882" t="s">
        <v>19</v>
      </c>
      <c r="K882">
        <v>63</v>
      </c>
      <c r="L882">
        <v>0</v>
      </c>
      <c r="M882" t="s">
        <v>20</v>
      </c>
      <c r="N882">
        <f>L882/500</f>
        <v>0</v>
      </c>
      <c r="P882">
        <f>K882/800</f>
        <v>7.8750000000000001E-2</v>
      </c>
    </row>
    <row r="883" spans="1:16" x14ac:dyDescent="0.35">
      <c r="A883">
        <v>1144</v>
      </c>
      <c r="B883">
        <v>583006635</v>
      </c>
      <c r="C883">
        <v>37915</v>
      </c>
      <c r="D883" t="s">
        <v>165</v>
      </c>
      <c r="E883" t="s">
        <v>413</v>
      </c>
      <c r="F883" t="s">
        <v>166</v>
      </c>
      <c r="G883" t="s">
        <v>167</v>
      </c>
      <c r="H883" t="s">
        <v>17</v>
      </c>
      <c r="I883" t="s">
        <v>18</v>
      </c>
      <c r="J883" t="s">
        <v>19</v>
      </c>
      <c r="K883">
        <v>576</v>
      </c>
      <c r="L883">
        <v>0</v>
      </c>
      <c r="M883" t="s">
        <v>20</v>
      </c>
      <c r="N883">
        <f>L883/500</f>
        <v>0</v>
      </c>
      <c r="P883">
        <f>K883/800</f>
        <v>0.72</v>
      </c>
    </row>
    <row r="884" spans="1:16" x14ac:dyDescent="0.35">
      <c r="A884">
        <v>1155</v>
      </c>
      <c r="B884">
        <v>583006635</v>
      </c>
      <c r="C884">
        <v>37915</v>
      </c>
      <c r="D884" t="s">
        <v>165</v>
      </c>
      <c r="E884" t="s">
        <v>413</v>
      </c>
      <c r="F884" t="s">
        <v>166</v>
      </c>
      <c r="G884" t="s">
        <v>167</v>
      </c>
      <c r="H884" t="s">
        <v>17</v>
      </c>
      <c r="I884" t="s">
        <v>18</v>
      </c>
      <c r="J884" t="s">
        <v>19</v>
      </c>
      <c r="K884">
        <v>288</v>
      </c>
      <c r="L884">
        <v>0</v>
      </c>
      <c r="M884" t="s">
        <v>20</v>
      </c>
      <c r="N884">
        <f>L884/500</f>
        <v>0</v>
      </c>
      <c r="P884">
        <f>K884/800</f>
        <v>0.36</v>
      </c>
    </row>
    <row r="885" spans="1:16" x14ac:dyDescent="0.35">
      <c r="A885">
        <v>1156</v>
      </c>
      <c r="B885">
        <v>583006635</v>
      </c>
      <c r="C885">
        <v>37915</v>
      </c>
      <c r="D885" t="s">
        <v>165</v>
      </c>
      <c r="E885" t="s">
        <v>413</v>
      </c>
      <c r="F885" t="s">
        <v>166</v>
      </c>
      <c r="G885" t="s">
        <v>167</v>
      </c>
      <c r="H885" t="s">
        <v>17</v>
      </c>
      <c r="I885" t="s">
        <v>18</v>
      </c>
      <c r="J885" t="s">
        <v>19</v>
      </c>
      <c r="K885">
        <v>2937</v>
      </c>
      <c r="L885">
        <v>0</v>
      </c>
      <c r="M885" t="s">
        <v>20</v>
      </c>
      <c r="N885">
        <f>L885/500</f>
        <v>0</v>
      </c>
      <c r="P885">
        <f>K885/800</f>
        <v>3.6712500000000001</v>
      </c>
    </row>
    <row r="886" spans="1:16" x14ac:dyDescent="0.35">
      <c r="A886">
        <v>1157</v>
      </c>
      <c r="B886">
        <v>583006635</v>
      </c>
      <c r="C886">
        <v>37915</v>
      </c>
      <c r="D886" t="s">
        <v>165</v>
      </c>
      <c r="E886" t="s">
        <v>413</v>
      </c>
      <c r="F886" t="s">
        <v>166</v>
      </c>
      <c r="G886" t="s">
        <v>167</v>
      </c>
      <c r="H886" t="s">
        <v>17</v>
      </c>
      <c r="I886" t="s">
        <v>18</v>
      </c>
      <c r="J886" t="s">
        <v>19</v>
      </c>
      <c r="K886">
        <v>180</v>
      </c>
      <c r="L886">
        <v>0</v>
      </c>
      <c r="M886" t="s">
        <v>20</v>
      </c>
      <c r="N886">
        <f>L886/500</f>
        <v>0</v>
      </c>
      <c r="P886">
        <f>K886/800</f>
        <v>0.22500000000000001</v>
      </c>
    </row>
    <row r="887" spans="1:16" x14ac:dyDescent="0.35">
      <c r="A887">
        <v>276</v>
      </c>
      <c r="B887">
        <v>583005394</v>
      </c>
      <c r="C887">
        <v>36215</v>
      </c>
      <c r="D887" t="s">
        <v>199</v>
      </c>
      <c r="E887" t="s">
        <v>237</v>
      </c>
      <c r="F887" t="s">
        <v>201</v>
      </c>
      <c r="G887" t="s">
        <v>202</v>
      </c>
      <c r="H887" t="s">
        <v>17</v>
      </c>
      <c r="I887" t="s">
        <v>63</v>
      </c>
      <c r="J887" t="s">
        <v>64</v>
      </c>
      <c r="K887">
        <v>8</v>
      </c>
      <c r="L887">
        <v>13.2</v>
      </c>
      <c r="M887" t="s">
        <v>20</v>
      </c>
      <c r="N887">
        <f>L887/500</f>
        <v>2.64E-2</v>
      </c>
    </row>
    <row r="888" spans="1:16" x14ac:dyDescent="0.35">
      <c r="A888">
        <v>697</v>
      </c>
      <c r="B888">
        <v>583005992</v>
      </c>
      <c r="C888">
        <v>37072</v>
      </c>
      <c r="D888" t="s">
        <v>199</v>
      </c>
      <c r="E888" t="s">
        <v>343</v>
      </c>
      <c r="F888" t="s">
        <v>201</v>
      </c>
      <c r="G888" t="s">
        <v>202</v>
      </c>
      <c r="H888" t="s">
        <v>17</v>
      </c>
      <c r="I888" t="s">
        <v>63</v>
      </c>
      <c r="J888" t="s">
        <v>64</v>
      </c>
      <c r="K888">
        <v>15</v>
      </c>
      <c r="L888">
        <v>26.55</v>
      </c>
      <c r="M888" t="s">
        <v>20</v>
      </c>
      <c r="N888">
        <f>L888/500</f>
        <v>5.3100000000000001E-2</v>
      </c>
    </row>
    <row r="889" spans="1:16" x14ac:dyDescent="0.35">
      <c r="A889">
        <v>173</v>
      </c>
      <c r="B889">
        <v>583005290</v>
      </c>
      <c r="C889">
        <v>36074</v>
      </c>
      <c r="D889" t="s">
        <v>199</v>
      </c>
      <c r="E889" t="s">
        <v>200</v>
      </c>
      <c r="F889" t="s">
        <v>201</v>
      </c>
      <c r="G889" t="s">
        <v>202</v>
      </c>
      <c r="H889" t="s">
        <v>17</v>
      </c>
      <c r="I889" t="s">
        <v>18</v>
      </c>
      <c r="J889" t="s">
        <v>19</v>
      </c>
      <c r="K889">
        <v>213</v>
      </c>
      <c r="L889">
        <v>0</v>
      </c>
      <c r="M889" t="s">
        <v>20</v>
      </c>
      <c r="N889">
        <f>L889/500</f>
        <v>0</v>
      </c>
      <c r="P889">
        <f>K889/800</f>
        <v>0.26624999999999999</v>
      </c>
    </row>
    <row r="890" spans="1:16" x14ac:dyDescent="0.35">
      <c r="A890">
        <v>176</v>
      </c>
      <c r="B890">
        <v>583005287</v>
      </c>
      <c r="C890">
        <v>36071</v>
      </c>
      <c r="D890" t="s">
        <v>199</v>
      </c>
      <c r="E890" t="s">
        <v>200</v>
      </c>
      <c r="F890" t="s">
        <v>201</v>
      </c>
      <c r="G890" t="s">
        <v>202</v>
      </c>
      <c r="H890" t="s">
        <v>17</v>
      </c>
      <c r="I890" t="s">
        <v>18</v>
      </c>
      <c r="J890" t="s">
        <v>19</v>
      </c>
      <c r="K890">
        <v>423</v>
      </c>
      <c r="L890">
        <v>0</v>
      </c>
      <c r="M890" t="s">
        <v>20</v>
      </c>
      <c r="N890">
        <f>L890/500</f>
        <v>0</v>
      </c>
      <c r="P890">
        <f>K890/800</f>
        <v>0.52875000000000005</v>
      </c>
    </row>
    <row r="891" spans="1:16" x14ac:dyDescent="0.35">
      <c r="A891">
        <v>178</v>
      </c>
      <c r="B891">
        <v>583005287</v>
      </c>
      <c r="C891">
        <v>36071</v>
      </c>
      <c r="D891" t="s">
        <v>199</v>
      </c>
      <c r="E891" t="s">
        <v>200</v>
      </c>
      <c r="F891" t="s">
        <v>201</v>
      </c>
      <c r="G891" t="s">
        <v>202</v>
      </c>
      <c r="H891" t="s">
        <v>17</v>
      </c>
      <c r="I891" t="s">
        <v>18</v>
      </c>
      <c r="J891" t="s">
        <v>19</v>
      </c>
      <c r="K891">
        <v>2484</v>
      </c>
      <c r="L891">
        <v>0</v>
      </c>
      <c r="M891" t="s">
        <v>20</v>
      </c>
      <c r="N891">
        <f>L891/500</f>
        <v>0</v>
      </c>
      <c r="P891">
        <f>K891/800</f>
        <v>3.105</v>
      </c>
    </row>
    <row r="892" spans="1:16" x14ac:dyDescent="0.35">
      <c r="A892">
        <v>179</v>
      </c>
      <c r="B892">
        <v>583005287</v>
      </c>
      <c r="C892">
        <v>36071</v>
      </c>
      <c r="D892" t="s">
        <v>199</v>
      </c>
      <c r="E892" t="s">
        <v>200</v>
      </c>
      <c r="F892" t="s">
        <v>201</v>
      </c>
      <c r="G892" t="s">
        <v>202</v>
      </c>
      <c r="H892" t="s">
        <v>17</v>
      </c>
      <c r="I892" t="s">
        <v>18</v>
      </c>
      <c r="J892" t="s">
        <v>19</v>
      </c>
      <c r="K892">
        <v>1251</v>
      </c>
      <c r="L892">
        <v>0</v>
      </c>
      <c r="M892" t="s">
        <v>20</v>
      </c>
      <c r="N892">
        <f>L892/500</f>
        <v>0</v>
      </c>
      <c r="P892">
        <f>K892/800</f>
        <v>1.56375</v>
      </c>
    </row>
    <row r="893" spans="1:16" x14ac:dyDescent="0.35">
      <c r="A893">
        <v>502</v>
      </c>
      <c r="B893">
        <v>583005734</v>
      </c>
      <c r="C893">
        <v>36692</v>
      </c>
      <c r="D893" t="s">
        <v>199</v>
      </c>
      <c r="E893" t="s">
        <v>300</v>
      </c>
      <c r="F893" t="s">
        <v>201</v>
      </c>
      <c r="G893" t="s">
        <v>202</v>
      </c>
      <c r="H893" t="s">
        <v>17</v>
      </c>
      <c r="I893" t="s">
        <v>18</v>
      </c>
      <c r="J893" t="s">
        <v>19</v>
      </c>
      <c r="K893">
        <v>189</v>
      </c>
      <c r="L893">
        <v>0</v>
      </c>
      <c r="M893" t="s">
        <v>20</v>
      </c>
      <c r="N893">
        <f>L893/500</f>
        <v>0</v>
      </c>
      <c r="P893">
        <f>K893/800</f>
        <v>0.23624999999999999</v>
      </c>
    </row>
    <row r="894" spans="1:16" x14ac:dyDescent="0.35">
      <c r="A894">
        <v>558</v>
      </c>
      <c r="B894">
        <v>583005876</v>
      </c>
      <c r="C894">
        <v>36906</v>
      </c>
      <c r="D894" t="s">
        <v>199</v>
      </c>
      <c r="E894" t="s">
        <v>318</v>
      </c>
      <c r="F894" t="s">
        <v>201</v>
      </c>
      <c r="G894" t="s">
        <v>202</v>
      </c>
      <c r="H894" t="s">
        <v>17</v>
      </c>
      <c r="I894" t="s">
        <v>18</v>
      </c>
      <c r="J894" t="s">
        <v>19</v>
      </c>
      <c r="K894">
        <v>2898</v>
      </c>
      <c r="L894">
        <v>0</v>
      </c>
      <c r="M894" t="s">
        <v>20</v>
      </c>
      <c r="N894">
        <f>L894/500</f>
        <v>0</v>
      </c>
      <c r="P894">
        <f>K894/800</f>
        <v>3.6225000000000001</v>
      </c>
    </row>
    <row r="895" spans="1:16" x14ac:dyDescent="0.35">
      <c r="A895">
        <v>576</v>
      </c>
      <c r="B895">
        <v>583005876</v>
      </c>
      <c r="C895">
        <v>36906</v>
      </c>
      <c r="D895" t="s">
        <v>199</v>
      </c>
      <c r="E895" t="s">
        <v>318</v>
      </c>
      <c r="F895" t="s">
        <v>201</v>
      </c>
      <c r="G895" t="s">
        <v>202</v>
      </c>
      <c r="H895" t="s">
        <v>17</v>
      </c>
      <c r="I895" t="s">
        <v>18</v>
      </c>
      <c r="J895" t="s">
        <v>19</v>
      </c>
      <c r="K895">
        <v>972</v>
      </c>
      <c r="L895">
        <v>0</v>
      </c>
      <c r="M895" t="s">
        <v>20</v>
      </c>
      <c r="N895">
        <f>L895/500</f>
        <v>0</v>
      </c>
      <c r="P895">
        <f>K895/800</f>
        <v>1.2150000000000001</v>
      </c>
    </row>
    <row r="896" spans="1:16" x14ac:dyDescent="0.35">
      <c r="A896">
        <v>606</v>
      </c>
      <c r="B896">
        <v>583005944</v>
      </c>
      <c r="C896">
        <v>36999</v>
      </c>
      <c r="D896" t="s">
        <v>199</v>
      </c>
      <c r="E896" t="s">
        <v>324</v>
      </c>
      <c r="F896" t="s">
        <v>201</v>
      </c>
      <c r="G896" t="s">
        <v>202</v>
      </c>
      <c r="H896" t="s">
        <v>17</v>
      </c>
      <c r="I896" t="s">
        <v>18</v>
      </c>
      <c r="J896" t="s">
        <v>19</v>
      </c>
      <c r="K896">
        <v>75</v>
      </c>
      <c r="L896">
        <v>0</v>
      </c>
      <c r="M896" t="s">
        <v>20</v>
      </c>
      <c r="N896">
        <f>L896/500</f>
        <v>0</v>
      </c>
      <c r="P896">
        <f>K896/800</f>
        <v>9.375E-2</v>
      </c>
    </row>
    <row r="897" spans="1:16" x14ac:dyDescent="0.35">
      <c r="A897">
        <v>607</v>
      </c>
      <c r="B897">
        <v>583005942</v>
      </c>
      <c r="C897">
        <v>36997</v>
      </c>
      <c r="D897" t="s">
        <v>199</v>
      </c>
      <c r="E897" t="s">
        <v>324</v>
      </c>
      <c r="F897" t="s">
        <v>201</v>
      </c>
      <c r="G897" t="s">
        <v>202</v>
      </c>
      <c r="H897" t="s">
        <v>17</v>
      </c>
      <c r="I897" t="s">
        <v>18</v>
      </c>
      <c r="J897" t="s">
        <v>19</v>
      </c>
      <c r="K897">
        <v>45</v>
      </c>
      <c r="L897">
        <v>0</v>
      </c>
      <c r="M897" t="s">
        <v>20</v>
      </c>
      <c r="N897">
        <f>L897/500</f>
        <v>0</v>
      </c>
      <c r="P897">
        <f>K897/800</f>
        <v>5.6250000000000001E-2</v>
      </c>
    </row>
    <row r="898" spans="1:16" x14ac:dyDescent="0.35">
      <c r="A898">
        <v>760</v>
      </c>
      <c r="B898">
        <v>583006100</v>
      </c>
      <c r="C898">
        <v>37205</v>
      </c>
      <c r="D898" t="s">
        <v>199</v>
      </c>
      <c r="E898" t="s">
        <v>347</v>
      </c>
      <c r="F898" t="s">
        <v>201</v>
      </c>
      <c r="G898" t="s">
        <v>202</v>
      </c>
      <c r="H898" t="s">
        <v>17</v>
      </c>
      <c r="I898" t="s">
        <v>18</v>
      </c>
      <c r="J898" t="s">
        <v>19</v>
      </c>
      <c r="K898">
        <v>360</v>
      </c>
      <c r="L898">
        <v>0</v>
      </c>
      <c r="M898" t="s">
        <v>20</v>
      </c>
      <c r="N898">
        <f>L898/500</f>
        <v>0</v>
      </c>
      <c r="P898">
        <f>K898/800</f>
        <v>0.45</v>
      </c>
    </row>
    <row r="899" spans="1:16" x14ac:dyDescent="0.35">
      <c r="A899">
        <v>765</v>
      </c>
      <c r="B899">
        <v>583006100</v>
      </c>
      <c r="C899">
        <v>37205</v>
      </c>
      <c r="D899" t="s">
        <v>199</v>
      </c>
      <c r="E899" t="s">
        <v>347</v>
      </c>
      <c r="F899" t="s">
        <v>201</v>
      </c>
      <c r="G899" t="s">
        <v>202</v>
      </c>
      <c r="H899" t="s">
        <v>17</v>
      </c>
      <c r="I899" t="s">
        <v>18</v>
      </c>
      <c r="J899" t="s">
        <v>19</v>
      </c>
      <c r="K899">
        <v>1635</v>
      </c>
      <c r="L899">
        <v>0</v>
      </c>
      <c r="M899" t="s">
        <v>20</v>
      </c>
      <c r="N899">
        <f>L899/500</f>
        <v>0</v>
      </c>
      <c r="P899">
        <f>K899/800</f>
        <v>2.0437500000000002</v>
      </c>
    </row>
    <row r="900" spans="1:16" x14ac:dyDescent="0.35">
      <c r="A900">
        <v>766</v>
      </c>
      <c r="B900">
        <v>583006100</v>
      </c>
      <c r="C900">
        <v>37205</v>
      </c>
      <c r="D900" t="s">
        <v>199</v>
      </c>
      <c r="E900" t="s">
        <v>347</v>
      </c>
      <c r="F900" t="s">
        <v>201</v>
      </c>
      <c r="G900" t="s">
        <v>202</v>
      </c>
      <c r="H900" t="s">
        <v>17</v>
      </c>
      <c r="I900" t="s">
        <v>18</v>
      </c>
      <c r="J900" t="s">
        <v>19</v>
      </c>
      <c r="K900">
        <v>2211</v>
      </c>
      <c r="L900">
        <v>0</v>
      </c>
      <c r="M900" t="s">
        <v>20</v>
      </c>
      <c r="N900">
        <f>L900/500</f>
        <v>0</v>
      </c>
      <c r="P900">
        <f>K900/800</f>
        <v>2.7637499999999999</v>
      </c>
    </row>
    <row r="901" spans="1:16" x14ac:dyDescent="0.35">
      <c r="A901">
        <v>767</v>
      </c>
      <c r="B901">
        <v>583006100</v>
      </c>
      <c r="C901">
        <v>37205</v>
      </c>
      <c r="D901" t="s">
        <v>199</v>
      </c>
      <c r="E901" t="s">
        <v>347</v>
      </c>
      <c r="F901" t="s">
        <v>201</v>
      </c>
      <c r="G901" t="s">
        <v>202</v>
      </c>
      <c r="H901" t="s">
        <v>17</v>
      </c>
      <c r="I901" t="s">
        <v>18</v>
      </c>
      <c r="J901" t="s">
        <v>19</v>
      </c>
      <c r="K901">
        <v>198</v>
      </c>
      <c r="L901">
        <v>0</v>
      </c>
      <c r="M901" t="s">
        <v>20</v>
      </c>
      <c r="N901">
        <f>L901/500</f>
        <v>0</v>
      </c>
      <c r="P901">
        <f>K901/800</f>
        <v>0.2475</v>
      </c>
    </row>
    <row r="902" spans="1:16" x14ac:dyDescent="0.35">
      <c r="A902">
        <v>983</v>
      </c>
      <c r="B902">
        <v>583006330</v>
      </c>
      <c r="C902">
        <v>37508</v>
      </c>
      <c r="D902" t="s">
        <v>199</v>
      </c>
      <c r="E902" t="s">
        <v>386</v>
      </c>
      <c r="F902" t="s">
        <v>201</v>
      </c>
      <c r="G902" t="s">
        <v>202</v>
      </c>
      <c r="H902" t="s">
        <v>17</v>
      </c>
      <c r="I902" t="s">
        <v>18</v>
      </c>
      <c r="J902" t="s">
        <v>19</v>
      </c>
      <c r="K902">
        <v>120</v>
      </c>
      <c r="L902">
        <v>0</v>
      </c>
      <c r="M902" t="s">
        <v>20</v>
      </c>
      <c r="N902">
        <f>L902/500</f>
        <v>0</v>
      </c>
      <c r="P902">
        <f>K902/800</f>
        <v>0.15</v>
      </c>
    </row>
    <row r="903" spans="1:16" x14ac:dyDescent="0.35">
      <c r="A903">
        <v>996</v>
      </c>
      <c r="B903">
        <v>583006297</v>
      </c>
      <c r="C903">
        <v>37466</v>
      </c>
      <c r="D903" t="s">
        <v>199</v>
      </c>
      <c r="E903" t="s">
        <v>386</v>
      </c>
      <c r="F903" t="s">
        <v>201</v>
      </c>
      <c r="G903" t="s">
        <v>202</v>
      </c>
      <c r="H903" t="s">
        <v>17</v>
      </c>
      <c r="I903" t="s">
        <v>18</v>
      </c>
      <c r="J903" t="s">
        <v>19</v>
      </c>
      <c r="K903">
        <v>24</v>
      </c>
      <c r="L903">
        <v>0</v>
      </c>
      <c r="M903" t="s">
        <v>20</v>
      </c>
      <c r="N903">
        <f>L903/500</f>
        <v>0</v>
      </c>
      <c r="P903">
        <f>K903/800</f>
        <v>0.03</v>
      </c>
    </row>
    <row r="904" spans="1:16" x14ac:dyDescent="0.35">
      <c r="A904">
        <v>1055</v>
      </c>
      <c r="B904">
        <v>583006417</v>
      </c>
      <c r="C904">
        <v>37625</v>
      </c>
      <c r="D904" t="s">
        <v>199</v>
      </c>
      <c r="E904" t="s">
        <v>393</v>
      </c>
      <c r="F904" t="s">
        <v>201</v>
      </c>
      <c r="G904" t="s">
        <v>202</v>
      </c>
      <c r="H904" t="s">
        <v>17</v>
      </c>
      <c r="I904" t="s">
        <v>18</v>
      </c>
      <c r="J904" t="s">
        <v>19</v>
      </c>
      <c r="K904">
        <v>12</v>
      </c>
      <c r="L904">
        <v>0</v>
      </c>
      <c r="M904" t="s">
        <v>20</v>
      </c>
      <c r="N904">
        <f>L904/500</f>
        <v>0</v>
      </c>
      <c r="P904">
        <f>K904/800</f>
        <v>1.4999999999999999E-2</v>
      </c>
    </row>
    <row r="905" spans="1:16" x14ac:dyDescent="0.35">
      <c r="A905">
        <v>1307</v>
      </c>
      <c r="B905">
        <v>583006819</v>
      </c>
      <c r="C905">
        <v>38168</v>
      </c>
      <c r="D905" t="s">
        <v>438</v>
      </c>
      <c r="E905" t="s">
        <v>434</v>
      </c>
      <c r="F905" t="s">
        <v>439</v>
      </c>
      <c r="G905" t="s">
        <v>440</v>
      </c>
      <c r="H905" t="s">
        <v>17</v>
      </c>
      <c r="I905" t="s">
        <v>18</v>
      </c>
      <c r="J905" t="s">
        <v>19</v>
      </c>
      <c r="K905">
        <v>1044</v>
      </c>
      <c r="L905">
        <v>0</v>
      </c>
      <c r="M905" t="s">
        <v>20</v>
      </c>
      <c r="N905">
        <f>L905/500</f>
        <v>0</v>
      </c>
      <c r="P905">
        <f>K905/800</f>
        <v>1.3049999999999999</v>
      </c>
    </row>
    <row r="906" spans="1:16" x14ac:dyDescent="0.35">
      <c r="A906">
        <v>1352</v>
      </c>
      <c r="B906">
        <v>583006819</v>
      </c>
      <c r="C906">
        <v>38168</v>
      </c>
      <c r="D906" t="s">
        <v>438</v>
      </c>
      <c r="E906" t="s">
        <v>434</v>
      </c>
      <c r="F906" t="s">
        <v>439</v>
      </c>
      <c r="G906" t="s">
        <v>440</v>
      </c>
      <c r="H906" t="s">
        <v>17</v>
      </c>
      <c r="I906" t="s">
        <v>18</v>
      </c>
      <c r="J906" t="s">
        <v>19</v>
      </c>
      <c r="K906">
        <v>1242</v>
      </c>
      <c r="L906">
        <v>0</v>
      </c>
      <c r="M906" t="s">
        <v>20</v>
      </c>
      <c r="N906">
        <f>L906/500</f>
        <v>0</v>
      </c>
      <c r="P906">
        <f>K906/800</f>
        <v>1.5525</v>
      </c>
    </row>
    <row r="907" spans="1:16" x14ac:dyDescent="0.35">
      <c r="A907">
        <v>200</v>
      </c>
      <c r="B907">
        <v>583005264</v>
      </c>
      <c r="C907">
        <v>36039</v>
      </c>
      <c r="D907" t="s">
        <v>212</v>
      </c>
      <c r="E907" t="s">
        <v>200</v>
      </c>
      <c r="F907" t="s">
        <v>213</v>
      </c>
      <c r="G907" t="s">
        <v>214</v>
      </c>
      <c r="H907" t="s">
        <v>17</v>
      </c>
      <c r="I907" t="s">
        <v>18</v>
      </c>
      <c r="J907" t="s">
        <v>19</v>
      </c>
      <c r="K907">
        <v>117</v>
      </c>
      <c r="L907">
        <v>0</v>
      </c>
      <c r="M907" t="s">
        <v>20</v>
      </c>
      <c r="N907">
        <f>L907/500</f>
        <v>0</v>
      </c>
      <c r="P907">
        <f>K907/800</f>
        <v>0.14624999999999999</v>
      </c>
    </row>
    <row r="908" spans="1:16" x14ac:dyDescent="0.35">
      <c r="A908">
        <v>1374</v>
      </c>
      <c r="B908">
        <v>583006881</v>
      </c>
      <c r="C908">
        <v>38257</v>
      </c>
      <c r="D908" t="s">
        <v>445</v>
      </c>
      <c r="E908" t="s">
        <v>444</v>
      </c>
      <c r="F908" t="s">
        <v>446</v>
      </c>
      <c r="G908" t="s">
        <v>447</v>
      </c>
      <c r="H908" t="s">
        <v>17</v>
      </c>
      <c r="I908" t="s">
        <v>18</v>
      </c>
      <c r="J908" t="s">
        <v>19</v>
      </c>
      <c r="K908">
        <v>108</v>
      </c>
      <c r="L908">
        <v>0</v>
      </c>
      <c r="M908" t="s">
        <v>20</v>
      </c>
      <c r="N908">
        <f>L908/500</f>
        <v>0</v>
      </c>
      <c r="P908">
        <f>K908/800</f>
        <v>0.13500000000000001</v>
      </c>
    </row>
    <row r="909" spans="1:16" x14ac:dyDescent="0.35">
      <c r="A909">
        <v>1375</v>
      </c>
      <c r="B909">
        <v>583006881</v>
      </c>
      <c r="C909">
        <v>38257</v>
      </c>
      <c r="D909" t="s">
        <v>445</v>
      </c>
      <c r="E909" t="s">
        <v>444</v>
      </c>
      <c r="F909" t="s">
        <v>446</v>
      </c>
      <c r="G909" t="s">
        <v>447</v>
      </c>
      <c r="H909" t="s">
        <v>17</v>
      </c>
      <c r="I909" t="s">
        <v>18</v>
      </c>
      <c r="J909" t="s">
        <v>19</v>
      </c>
      <c r="K909">
        <v>360</v>
      </c>
      <c r="L909">
        <v>0</v>
      </c>
      <c r="M909" t="s">
        <v>20</v>
      </c>
      <c r="N909">
        <f>L909/500</f>
        <v>0</v>
      </c>
      <c r="P909">
        <f>K909/800</f>
        <v>0.45</v>
      </c>
    </row>
    <row r="910" spans="1:16" x14ac:dyDescent="0.35">
      <c r="A910">
        <v>1376</v>
      </c>
      <c r="B910">
        <v>583006881</v>
      </c>
      <c r="C910">
        <v>38257</v>
      </c>
      <c r="D910" t="s">
        <v>445</v>
      </c>
      <c r="E910" t="s">
        <v>444</v>
      </c>
      <c r="F910" t="s">
        <v>446</v>
      </c>
      <c r="G910" t="s">
        <v>447</v>
      </c>
      <c r="H910" t="s">
        <v>17</v>
      </c>
      <c r="I910" t="s">
        <v>18</v>
      </c>
      <c r="J910" t="s">
        <v>19</v>
      </c>
      <c r="K910">
        <v>180</v>
      </c>
      <c r="L910">
        <v>0</v>
      </c>
      <c r="M910" t="s">
        <v>20</v>
      </c>
      <c r="N910">
        <f>L910/500</f>
        <v>0</v>
      </c>
      <c r="P910">
        <f>K910/800</f>
        <v>0.22500000000000001</v>
      </c>
    </row>
    <row r="911" spans="1:16" x14ac:dyDescent="0.35">
      <c r="A911">
        <v>1377</v>
      </c>
      <c r="B911">
        <v>583006881</v>
      </c>
      <c r="C911">
        <v>38257</v>
      </c>
      <c r="D911" t="s">
        <v>445</v>
      </c>
      <c r="E911" t="s">
        <v>444</v>
      </c>
      <c r="F911" t="s">
        <v>446</v>
      </c>
      <c r="G911" t="s">
        <v>447</v>
      </c>
      <c r="H911" t="s">
        <v>17</v>
      </c>
      <c r="I911" t="s">
        <v>18</v>
      </c>
      <c r="J911" t="s">
        <v>19</v>
      </c>
      <c r="K911">
        <v>951</v>
      </c>
      <c r="L911">
        <v>0</v>
      </c>
      <c r="M911" t="s">
        <v>20</v>
      </c>
      <c r="N911">
        <f>L911/500</f>
        <v>0</v>
      </c>
      <c r="P911">
        <f>K911/800</f>
        <v>1.18875</v>
      </c>
    </row>
    <row r="912" spans="1:16" x14ac:dyDescent="0.35">
      <c r="A912">
        <v>68</v>
      </c>
      <c r="B912">
        <v>583005102</v>
      </c>
      <c r="C912">
        <v>35822</v>
      </c>
      <c r="D912" t="s">
        <v>110</v>
      </c>
      <c r="E912" t="s">
        <v>81</v>
      </c>
      <c r="F912" t="s">
        <v>111</v>
      </c>
      <c r="G912" t="s">
        <v>112</v>
      </c>
      <c r="H912" t="s">
        <v>17</v>
      </c>
      <c r="I912" t="s">
        <v>18</v>
      </c>
      <c r="J912" t="s">
        <v>19</v>
      </c>
      <c r="K912">
        <v>45</v>
      </c>
      <c r="L912">
        <v>0</v>
      </c>
      <c r="M912" t="s">
        <v>20</v>
      </c>
      <c r="N912">
        <f>L912/500</f>
        <v>0</v>
      </c>
      <c r="P912">
        <f>K912/800</f>
        <v>5.6250000000000001E-2</v>
      </c>
    </row>
    <row r="913" spans="1:16" x14ac:dyDescent="0.35">
      <c r="A913">
        <v>90</v>
      </c>
      <c r="B913">
        <v>583005169</v>
      </c>
      <c r="C913">
        <v>35907</v>
      </c>
      <c r="D913" t="s">
        <v>110</v>
      </c>
      <c r="E913" t="s">
        <v>126</v>
      </c>
      <c r="F913" t="s">
        <v>111</v>
      </c>
      <c r="G913" t="s">
        <v>112</v>
      </c>
      <c r="H913" t="s">
        <v>17</v>
      </c>
      <c r="I913" t="s">
        <v>18</v>
      </c>
      <c r="J913" t="s">
        <v>19</v>
      </c>
      <c r="K913">
        <v>51</v>
      </c>
      <c r="L913">
        <v>0</v>
      </c>
      <c r="M913" t="s">
        <v>20</v>
      </c>
      <c r="N913">
        <f>L913/500</f>
        <v>0</v>
      </c>
      <c r="P913">
        <f>K913/800</f>
        <v>6.3750000000000001E-2</v>
      </c>
    </row>
    <row r="914" spans="1:16" x14ac:dyDescent="0.35">
      <c r="A914">
        <v>161</v>
      </c>
      <c r="B914">
        <v>583005204</v>
      </c>
      <c r="C914">
        <v>35961</v>
      </c>
      <c r="D914" t="s">
        <v>110</v>
      </c>
      <c r="E914" t="s">
        <v>177</v>
      </c>
      <c r="F914" t="s">
        <v>111</v>
      </c>
      <c r="G914" t="s">
        <v>112</v>
      </c>
      <c r="H914" t="s">
        <v>17</v>
      </c>
      <c r="I914" t="s">
        <v>18</v>
      </c>
      <c r="J914" t="s">
        <v>19</v>
      </c>
      <c r="K914">
        <v>93</v>
      </c>
      <c r="L914">
        <v>0</v>
      </c>
      <c r="M914" t="s">
        <v>20</v>
      </c>
      <c r="N914">
        <f>L914/500</f>
        <v>0</v>
      </c>
      <c r="P914">
        <f>K914/800</f>
        <v>0.11625000000000001</v>
      </c>
    </row>
    <row r="915" spans="1:16" x14ac:dyDescent="0.35">
      <c r="A915">
        <v>162</v>
      </c>
      <c r="B915">
        <v>583005206</v>
      </c>
      <c r="C915">
        <v>35963</v>
      </c>
      <c r="D915" t="s">
        <v>110</v>
      </c>
      <c r="E915" t="s">
        <v>177</v>
      </c>
      <c r="F915" t="s">
        <v>111</v>
      </c>
      <c r="G915" t="s">
        <v>112</v>
      </c>
      <c r="H915" t="s">
        <v>17</v>
      </c>
      <c r="I915" t="s">
        <v>18</v>
      </c>
      <c r="J915" t="s">
        <v>19</v>
      </c>
      <c r="K915">
        <v>57</v>
      </c>
      <c r="L915">
        <v>0</v>
      </c>
      <c r="M915" t="s">
        <v>20</v>
      </c>
      <c r="N915">
        <f>L915/500</f>
        <v>0</v>
      </c>
      <c r="P915">
        <f>K915/800</f>
        <v>7.1249999999999994E-2</v>
      </c>
    </row>
    <row r="916" spans="1:16" x14ac:dyDescent="0.35">
      <c r="A916">
        <v>197</v>
      </c>
      <c r="B916">
        <v>583005275</v>
      </c>
      <c r="C916">
        <v>36051</v>
      </c>
      <c r="D916" t="s">
        <v>110</v>
      </c>
      <c r="E916" t="s">
        <v>200</v>
      </c>
      <c r="F916" t="s">
        <v>111</v>
      </c>
      <c r="G916" t="s">
        <v>112</v>
      </c>
      <c r="H916" t="s">
        <v>17</v>
      </c>
      <c r="I916" t="s">
        <v>18</v>
      </c>
      <c r="J916" t="s">
        <v>19</v>
      </c>
      <c r="K916">
        <v>36</v>
      </c>
      <c r="L916">
        <v>0</v>
      </c>
      <c r="M916" t="s">
        <v>20</v>
      </c>
      <c r="N916">
        <f>L916/500</f>
        <v>0</v>
      </c>
      <c r="P916">
        <f>K916/800</f>
        <v>4.4999999999999998E-2</v>
      </c>
    </row>
    <row r="917" spans="1:16" x14ac:dyDescent="0.35">
      <c r="A917">
        <v>319</v>
      </c>
      <c r="B917">
        <v>583005467</v>
      </c>
      <c r="C917">
        <v>36325</v>
      </c>
      <c r="D917" t="s">
        <v>110</v>
      </c>
      <c r="E917" t="s">
        <v>266</v>
      </c>
      <c r="F917" t="s">
        <v>111</v>
      </c>
      <c r="G917" t="s">
        <v>112</v>
      </c>
      <c r="H917" t="s">
        <v>17</v>
      </c>
      <c r="I917" t="s">
        <v>18</v>
      </c>
      <c r="J917" t="s">
        <v>19</v>
      </c>
      <c r="K917">
        <v>9</v>
      </c>
      <c r="L917">
        <v>0</v>
      </c>
      <c r="M917" t="s">
        <v>20</v>
      </c>
      <c r="N917">
        <f>L917/500</f>
        <v>0</v>
      </c>
      <c r="P917">
        <f>K917/800</f>
        <v>1.125E-2</v>
      </c>
    </row>
    <row r="918" spans="1:16" x14ac:dyDescent="0.35">
      <c r="A918">
        <v>340</v>
      </c>
      <c r="B918">
        <v>583005466</v>
      </c>
      <c r="C918">
        <v>36324</v>
      </c>
      <c r="D918" t="s">
        <v>110</v>
      </c>
      <c r="E918" t="s">
        <v>266</v>
      </c>
      <c r="F918" t="s">
        <v>111</v>
      </c>
      <c r="G918" t="s">
        <v>112</v>
      </c>
      <c r="H918" t="s">
        <v>17</v>
      </c>
      <c r="I918" t="s">
        <v>18</v>
      </c>
      <c r="J918" t="s">
        <v>19</v>
      </c>
      <c r="K918">
        <v>15</v>
      </c>
      <c r="L918">
        <v>0</v>
      </c>
      <c r="M918" t="s">
        <v>20</v>
      </c>
      <c r="N918">
        <f>L918/500</f>
        <v>0</v>
      </c>
      <c r="P918">
        <f>K918/800</f>
        <v>1.8749999999999999E-2</v>
      </c>
    </row>
    <row r="919" spans="1:16" x14ac:dyDescent="0.35">
      <c r="A919">
        <v>348</v>
      </c>
      <c r="B919">
        <v>583005465</v>
      </c>
      <c r="C919">
        <v>36323</v>
      </c>
      <c r="D919" t="s">
        <v>110</v>
      </c>
      <c r="E919" t="s">
        <v>266</v>
      </c>
      <c r="F919" t="s">
        <v>111</v>
      </c>
      <c r="G919" t="s">
        <v>112</v>
      </c>
      <c r="H919" t="s">
        <v>17</v>
      </c>
      <c r="I919" t="s">
        <v>18</v>
      </c>
      <c r="J919" t="s">
        <v>19</v>
      </c>
      <c r="K919">
        <v>45</v>
      </c>
      <c r="L919">
        <v>0</v>
      </c>
      <c r="M919" t="s">
        <v>20</v>
      </c>
      <c r="N919">
        <f>L919/500</f>
        <v>0</v>
      </c>
      <c r="P919">
        <f>K919/800</f>
        <v>5.6250000000000001E-2</v>
      </c>
    </row>
    <row r="920" spans="1:16" x14ac:dyDescent="0.35">
      <c r="A920">
        <v>513</v>
      </c>
      <c r="B920">
        <v>583005701</v>
      </c>
      <c r="C920">
        <v>36657</v>
      </c>
      <c r="D920" t="s">
        <v>110</v>
      </c>
      <c r="E920" t="s">
        <v>300</v>
      </c>
      <c r="F920" t="s">
        <v>111</v>
      </c>
      <c r="G920" t="s">
        <v>112</v>
      </c>
      <c r="H920" t="s">
        <v>17</v>
      </c>
      <c r="I920" t="s">
        <v>18</v>
      </c>
      <c r="J920" t="s">
        <v>19</v>
      </c>
      <c r="K920">
        <v>45</v>
      </c>
      <c r="L920">
        <v>0</v>
      </c>
      <c r="M920" t="s">
        <v>20</v>
      </c>
      <c r="N920">
        <f>L920/500</f>
        <v>0</v>
      </c>
      <c r="P920">
        <f>K920/800</f>
        <v>5.6250000000000001E-2</v>
      </c>
    </row>
    <row r="921" spans="1:16" x14ac:dyDescent="0.35">
      <c r="A921">
        <v>543</v>
      </c>
      <c r="B921">
        <v>583005788</v>
      </c>
      <c r="C921">
        <v>36774</v>
      </c>
      <c r="D921" t="s">
        <v>110</v>
      </c>
      <c r="E921" t="s">
        <v>310</v>
      </c>
      <c r="F921" t="s">
        <v>111</v>
      </c>
      <c r="G921" t="s">
        <v>112</v>
      </c>
      <c r="H921" t="s">
        <v>17</v>
      </c>
      <c r="I921" t="s">
        <v>18</v>
      </c>
      <c r="J921" t="s">
        <v>19</v>
      </c>
      <c r="K921">
        <v>45</v>
      </c>
      <c r="L921">
        <v>0</v>
      </c>
      <c r="M921" t="s">
        <v>20</v>
      </c>
      <c r="N921">
        <f>L921/500</f>
        <v>0</v>
      </c>
      <c r="P921">
        <f>K921/800</f>
        <v>5.6250000000000001E-2</v>
      </c>
    </row>
    <row r="922" spans="1:16" x14ac:dyDescent="0.35">
      <c r="A922">
        <v>546</v>
      </c>
      <c r="B922">
        <v>583005789</v>
      </c>
      <c r="C922">
        <v>36775</v>
      </c>
      <c r="D922" t="s">
        <v>110</v>
      </c>
      <c r="E922" t="s">
        <v>310</v>
      </c>
      <c r="F922" t="s">
        <v>111</v>
      </c>
      <c r="G922" t="s">
        <v>112</v>
      </c>
      <c r="H922" t="s">
        <v>17</v>
      </c>
      <c r="I922" t="s">
        <v>18</v>
      </c>
      <c r="J922" t="s">
        <v>19</v>
      </c>
      <c r="K922">
        <v>51</v>
      </c>
      <c r="L922">
        <v>0</v>
      </c>
      <c r="M922" t="s">
        <v>20</v>
      </c>
      <c r="N922">
        <f>L922/500</f>
        <v>0</v>
      </c>
      <c r="P922">
        <f>K922/800</f>
        <v>6.3750000000000001E-2</v>
      </c>
    </row>
    <row r="923" spans="1:16" x14ac:dyDescent="0.35">
      <c r="A923">
        <v>562</v>
      </c>
      <c r="B923">
        <v>583005854</v>
      </c>
      <c r="C923">
        <v>36865</v>
      </c>
      <c r="D923" t="s">
        <v>110</v>
      </c>
      <c r="E923" t="s">
        <v>318</v>
      </c>
      <c r="F923" t="s">
        <v>111</v>
      </c>
      <c r="G923" t="s">
        <v>112</v>
      </c>
      <c r="H923" t="s">
        <v>17</v>
      </c>
      <c r="I923" t="s">
        <v>18</v>
      </c>
      <c r="J923" t="s">
        <v>19</v>
      </c>
      <c r="K923">
        <v>36</v>
      </c>
      <c r="L923">
        <v>0</v>
      </c>
      <c r="M923" t="s">
        <v>20</v>
      </c>
      <c r="N923">
        <f>L923/500</f>
        <v>0</v>
      </c>
      <c r="P923">
        <f>K923/800</f>
        <v>4.4999999999999998E-2</v>
      </c>
    </row>
    <row r="924" spans="1:16" x14ac:dyDescent="0.35">
      <c r="A924">
        <v>589</v>
      </c>
      <c r="B924">
        <v>583005852</v>
      </c>
      <c r="C924">
        <v>36863</v>
      </c>
      <c r="D924" t="s">
        <v>110</v>
      </c>
      <c r="E924" t="s">
        <v>318</v>
      </c>
      <c r="F924" t="s">
        <v>111</v>
      </c>
      <c r="G924" t="s">
        <v>112</v>
      </c>
      <c r="H924" t="s">
        <v>17</v>
      </c>
      <c r="I924" t="s">
        <v>18</v>
      </c>
      <c r="J924" t="s">
        <v>19</v>
      </c>
      <c r="K924">
        <v>45</v>
      </c>
      <c r="L924">
        <v>0</v>
      </c>
      <c r="M924" t="s">
        <v>20</v>
      </c>
      <c r="N924">
        <f>L924/500</f>
        <v>0</v>
      </c>
      <c r="P924">
        <f>K924/800</f>
        <v>5.6250000000000001E-2</v>
      </c>
    </row>
    <row r="925" spans="1:16" x14ac:dyDescent="0.35">
      <c r="A925">
        <v>591</v>
      </c>
      <c r="B925">
        <v>583005853</v>
      </c>
      <c r="C925">
        <v>36864</v>
      </c>
      <c r="D925" t="s">
        <v>110</v>
      </c>
      <c r="E925" t="s">
        <v>318</v>
      </c>
      <c r="F925" t="s">
        <v>111</v>
      </c>
      <c r="G925" t="s">
        <v>112</v>
      </c>
      <c r="H925" t="s">
        <v>17</v>
      </c>
      <c r="I925" t="s">
        <v>18</v>
      </c>
      <c r="J925" t="s">
        <v>19</v>
      </c>
      <c r="K925">
        <v>60</v>
      </c>
      <c r="L925">
        <v>0</v>
      </c>
      <c r="M925" t="s">
        <v>20</v>
      </c>
      <c r="N925">
        <f>L925/500</f>
        <v>0</v>
      </c>
      <c r="P925">
        <f>K925/800</f>
        <v>7.4999999999999997E-2</v>
      </c>
    </row>
    <row r="926" spans="1:16" x14ac:dyDescent="0.35">
      <c r="A926">
        <v>683</v>
      </c>
      <c r="B926">
        <v>583005996</v>
      </c>
      <c r="C926">
        <v>37076</v>
      </c>
      <c r="D926" t="s">
        <v>110</v>
      </c>
      <c r="E926" t="s">
        <v>343</v>
      </c>
      <c r="F926" t="s">
        <v>111</v>
      </c>
      <c r="G926" t="s">
        <v>112</v>
      </c>
      <c r="H926" t="s">
        <v>17</v>
      </c>
      <c r="I926" t="s">
        <v>18</v>
      </c>
      <c r="J926" t="s">
        <v>19</v>
      </c>
      <c r="K926">
        <v>24</v>
      </c>
      <c r="L926">
        <v>0</v>
      </c>
      <c r="M926" t="s">
        <v>20</v>
      </c>
      <c r="N926">
        <f>L926/500</f>
        <v>0</v>
      </c>
      <c r="P926">
        <f>K926/800</f>
        <v>0.03</v>
      </c>
    </row>
    <row r="927" spans="1:16" x14ac:dyDescent="0.35">
      <c r="A927">
        <v>684</v>
      </c>
      <c r="B927">
        <v>583005995</v>
      </c>
      <c r="C927">
        <v>37075</v>
      </c>
      <c r="D927" t="s">
        <v>110</v>
      </c>
      <c r="E927" t="s">
        <v>343</v>
      </c>
      <c r="F927" t="s">
        <v>111</v>
      </c>
      <c r="G927" t="s">
        <v>112</v>
      </c>
      <c r="H927" t="s">
        <v>17</v>
      </c>
      <c r="I927" t="s">
        <v>18</v>
      </c>
      <c r="J927" t="s">
        <v>19</v>
      </c>
      <c r="K927">
        <v>21</v>
      </c>
      <c r="L927">
        <v>0</v>
      </c>
      <c r="M927" t="s">
        <v>20</v>
      </c>
      <c r="N927">
        <f>L927/500</f>
        <v>0</v>
      </c>
      <c r="P927">
        <f>K927/800</f>
        <v>2.6249999999999999E-2</v>
      </c>
    </row>
    <row r="928" spans="1:16" x14ac:dyDescent="0.35">
      <c r="A928">
        <v>704</v>
      </c>
      <c r="B928">
        <v>583006069</v>
      </c>
      <c r="C928">
        <v>37170</v>
      </c>
      <c r="D928" t="s">
        <v>110</v>
      </c>
      <c r="E928" t="s">
        <v>347</v>
      </c>
      <c r="F928" t="s">
        <v>111</v>
      </c>
      <c r="G928" t="s">
        <v>112</v>
      </c>
      <c r="H928" t="s">
        <v>17</v>
      </c>
      <c r="I928" t="s">
        <v>18</v>
      </c>
      <c r="J928" t="s">
        <v>19</v>
      </c>
      <c r="K928">
        <v>36</v>
      </c>
      <c r="L928">
        <v>0</v>
      </c>
      <c r="M928" t="s">
        <v>20</v>
      </c>
      <c r="N928">
        <f>L928/500</f>
        <v>0</v>
      </c>
      <c r="P928">
        <f>K928/800</f>
        <v>4.4999999999999998E-2</v>
      </c>
    </row>
    <row r="929" spans="1:16" x14ac:dyDescent="0.35">
      <c r="A929">
        <v>718</v>
      </c>
      <c r="B929">
        <v>583006070</v>
      </c>
      <c r="C929">
        <v>37171</v>
      </c>
      <c r="D929" t="s">
        <v>110</v>
      </c>
      <c r="E929" t="s">
        <v>347</v>
      </c>
      <c r="F929" t="s">
        <v>111</v>
      </c>
      <c r="G929" t="s">
        <v>112</v>
      </c>
      <c r="H929" t="s">
        <v>17</v>
      </c>
      <c r="I929" t="s">
        <v>18</v>
      </c>
      <c r="J929" t="s">
        <v>19</v>
      </c>
      <c r="K929">
        <v>12</v>
      </c>
      <c r="L929">
        <v>0</v>
      </c>
      <c r="M929" t="s">
        <v>20</v>
      </c>
      <c r="N929">
        <f>L929/500</f>
        <v>0</v>
      </c>
      <c r="P929">
        <f>K929/800</f>
        <v>1.4999999999999999E-2</v>
      </c>
    </row>
    <row r="930" spans="1:16" x14ac:dyDescent="0.35">
      <c r="A930">
        <v>880</v>
      </c>
      <c r="B930">
        <v>583006209</v>
      </c>
      <c r="C930">
        <v>37348</v>
      </c>
      <c r="D930" t="s">
        <v>110</v>
      </c>
      <c r="E930" t="s">
        <v>367</v>
      </c>
      <c r="F930" t="s">
        <v>111</v>
      </c>
      <c r="G930" t="s">
        <v>112</v>
      </c>
      <c r="H930" t="s">
        <v>17</v>
      </c>
      <c r="I930" t="s">
        <v>18</v>
      </c>
      <c r="J930" t="s">
        <v>19</v>
      </c>
      <c r="K930">
        <v>36</v>
      </c>
      <c r="L930">
        <v>0</v>
      </c>
      <c r="M930" t="s">
        <v>20</v>
      </c>
      <c r="N930">
        <f>L930/500</f>
        <v>0</v>
      </c>
      <c r="P930">
        <f>K930/800</f>
        <v>4.4999999999999998E-2</v>
      </c>
    </row>
    <row r="931" spans="1:16" x14ac:dyDescent="0.35">
      <c r="A931">
        <v>909</v>
      </c>
      <c r="B931">
        <v>583006208</v>
      </c>
      <c r="C931">
        <v>37347</v>
      </c>
      <c r="D931" t="s">
        <v>110</v>
      </c>
      <c r="E931" t="s">
        <v>367</v>
      </c>
      <c r="F931" t="s">
        <v>111</v>
      </c>
      <c r="G931" t="s">
        <v>112</v>
      </c>
      <c r="H931" t="s">
        <v>17</v>
      </c>
      <c r="I931" t="s">
        <v>18</v>
      </c>
      <c r="J931" t="s">
        <v>19</v>
      </c>
      <c r="K931">
        <v>54</v>
      </c>
      <c r="L931">
        <v>0</v>
      </c>
      <c r="M931" t="s">
        <v>20</v>
      </c>
      <c r="N931">
        <f>L931/500</f>
        <v>0</v>
      </c>
      <c r="P931">
        <f>K931/800</f>
        <v>6.7500000000000004E-2</v>
      </c>
    </row>
    <row r="932" spans="1:16" x14ac:dyDescent="0.35">
      <c r="A932">
        <v>958</v>
      </c>
      <c r="B932">
        <v>583006295</v>
      </c>
      <c r="C932">
        <v>37464</v>
      </c>
      <c r="D932" t="s">
        <v>110</v>
      </c>
      <c r="E932" t="s">
        <v>386</v>
      </c>
      <c r="F932" t="s">
        <v>111</v>
      </c>
      <c r="G932" t="s">
        <v>112</v>
      </c>
      <c r="H932" t="s">
        <v>17</v>
      </c>
      <c r="I932" t="s">
        <v>18</v>
      </c>
      <c r="J932" t="s">
        <v>19</v>
      </c>
      <c r="K932">
        <v>9</v>
      </c>
      <c r="L932">
        <v>0</v>
      </c>
      <c r="M932" t="s">
        <v>20</v>
      </c>
      <c r="N932">
        <f>L932/500</f>
        <v>0</v>
      </c>
      <c r="P932">
        <f>K932/800</f>
        <v>1.125E-2</v>
      </c>
    </row>
    <row r="933" spans="1:16" x14ac:dyDescent="0.35">
      <c r="A933">
        <v>998</v>
      </c>
      <c r="B933">
        <v>583006294</v>
      </c>
      <c r="C933">
        <v>37463</v>
      </c>
      <c r="D933" t="s">
        <v>110</v>
      </c>
      <c r="E933" t="s">
        <v>386</v>
      </c>
      <c r="F933" t="s">
        <v>111</v>
      </c>
      <c r="G933" t="s">
        <v>112</v>
      </c>
      <c r="H933" t="s">
        <v>17</v>
      </c>
      <c r="I933" t="s">
        <v>18</v>
      </c>
      <c r="J933" t="s">
        <v>19</v>
      </c>
      <c r="K933">
        <v>48</v>
      </c>
      <c r="L933">
        <v>0</v>
      </c>
      <c r="M933" t="s">
        <v>20</v>
      </c>
      <c r="N933">
        <f>L933/500</f>
        <v>0</v>
      </c>
      <c r="P933">
        <f>K933/800</f>
        <v>0.06</v>
      </c>
    </row>
    <row r="934" spans="1:16" x14ac:dyDescent="0.35">
      <c r="A934">
        <v>999</v>
      </c>
      <c r="B934">
        <v>583006296</v>
      </c>
      <c r="C934">
        <v>37465</v>
      </c>
      <c r="D934" t="s">
        <v>110</v>
      </c>
      <c r="E934" t="s">
        <v>386</v>
      </c>
      <c r="F934" t="s">
        <v>111</v>
      </c>
      <c r="G934" t="s">
        <v>112</v>
      </c>
      <c r="H934" t="s">
        <v>17</v>
      </c>
      <c r="I934" t="s">
        <v>18</v>
      </c>
      <c r="J934" t="s">
        <v>19</v>
      </c>
      <c r="K934">
        <v>45</v>
      </c>
      <c r="L934">
        <v>0</v>
      </c>
      <c r="M934" t="s">
        <v>20</v>
      </c>
      <c r="N934">
        <f>L934/500</f>
        <v>0</v>
      </c>
      <c r="P934">
        <f>K934/800</f>
        <v>5.6250000000000001E-2</v>
      </c>
    </row>
    <row r="935" spans="1:16" x14ac:dyDescent="0.35">
      <c r="A935">
        <v>1053</v>
      </c>
      <c r="B935">
        <v>583006425</v>
      </c>
      <c r="C935">
        <v>37633</v>
      </c>
      <c r="D935" t="s">
        <v>110</v>
      </c>
      <c r="E935" t="s">
        <v>393</v>
      </c>
      <c r="F935" t="s">
        <v>111</v>
      </c>
      <c r="G935" t="s">
        <v>112</v>
      </c>
      <c r="H935" t="s">
        <v>17</v>
      </c>
      <c r="I935" t="s">
        <v>18</v>
      </c>
      <c r="J935" t="s">
        <v>19</v>
      </c>
      <c r="K935">
        <v>6</v>
      </c>
      <c r="L935">
        <v>0</v>
      </c>
      <c r="M935" t="s">
        <v>20</v>
      </c>
      <c r="N935">
        <f>L935/500</f>
        <v>0</v>
      </c>
      <c r="P935">
        <f>K935/800</f>
        <v>7.4999999999999997E-3</v>
      </c>
    </row>
    <row r="936" spans="1:16" x14ac:dyDescent="0.35">
      <c r="A936">
        <v>1336</v>
      </c>
      <c r="B936">
        <v>583006771</v>
      </c>
      <c r="C936">
        <v>38105</v>
      </c>
      <c r="D936" t="s">
        <v>110</v>
      </c>
      <c r="E936" t="s">
        <v>434</v>
      </c>
      <c r="F936" t="s">
        <v>111</v>
      </c>
      <c r="G936" t="s">
        <v>112</v>
      </c>
      <c r="H936" t="s">
        <v>17</v>
      </c>
      <c r="I936" t="s">
        <v>18</v>
      </c>
      <c r="J936" t="s">
        <v>19</v>
      </c>
      <c r="K936">
        <v>36</v>
      </c>
      <c r="L936">
        <v>0</v>
      </c>
      <c r="M936" t="s">
        <v>20</v>
      </c>
      <c r="N936">
        <f>L936/500</f>
        <v>0</v>
      </c>
      <c r="P936">
        <f>K936/800</f>
        <v>4.4999999999999998E-2</v>
      </c>
    </row>
    <row r="937" spans="1:16" x14ac:dyDescent="0.35">
      <c r="A937">
        <v>458</v>
      </c>
      <c r="B937">
        <v>583005675</v>
      </c>
      <c r="C937">
        <v>36617</v>
      </c>
      <c r="D937" t="s">
        <v>296</v>
      </c>
      <c r="E937" t="s">
        <v>297</v>
      </c>
      <c r="F937" t="s">
        <v>298</v>
      </c>
      <c r="G937" t="s">
        <v>299</v>
      </c>
      <c r="H937" t="s">
        <v>17</v>
      </c>
      <c r="I937" t="s">
        <v>18</v>
      </c>
      <c r="J937" t="s">
        <v>19</v>
      </c>
      <c r="K937">
        <v>963</v>
      </c>
      <c r="L937">
        <v>0</v>
      </c>
      <c r="M937" t="s">
        <v>20</v>
      </c>
      <c r="N937">
        <f>L937/500</f>
        <v>0</v>
      </c>
      <c r="P937">
        <f>K937/800</f>
        <v>1.2037500000000001</v>
      </c>
    </row>
    <row r="938" spans="1:16" x14ac:dyDescent="0.35">
      <c r="A938">
        <v>459</v>
      </c>
      <c r="B938">
        <v>583005675</v>
      </c>
      <c r="C938">
        <v>36617</v>
      </c>
      <c r="D938" t="s">
        <v>296</v>
      </c>
      <c r="E938" t="s">
        <v>297</v>
      </c>
      <c r="F938" t="s">
        <v>298</v>
      </c>
      <c r="G938" t="s">
        <v>299</v>
      </c>
      <c r="H938" t="s">
        <v>17</v>
      </c>
      <c r="I938" t="s">
        <v>18</v>
      </c>
      <c r="J938" t="s">
        <v>19</v>
      </c>
      <c r="K938">
        <v>144</v>
      </c>
      <c r="L938">
        <v>0</v>
      </c>
      <c r="M938" t="s">
        <v>20</v>
      </c>
      <c r="N938">
        <f>L938/500</f>
        <v>0</v>
      </c>
      <c r="P938">
        <f>K938/800</f>
        <v>0.18</v>
      </c>
    </row>
    <row r="939" spans="1:16" x14ac:dyDescent="0.35">
      <c r="A939">
        <v>710</v>
      </c>
      <c r="B939">
        <v>583006099</v>
      </c>
      <c r="C939">
        <v>37204</v>
      </c>
      <c r="D939" t="s">
        <v>348</v>
      </c>
      <c r="E939" t="s">
        <v>347</v>
      </c>
      <c r="F939" t="s">
        <v>349</v>
      </c>
      <c r="G939" t="s">
        <v>350</v>
      </c>
      <c r="H939" t="s">
        <v>17</v>
      </c>
      <c r="I939" t="s">
        <v>18</v>
      </c>
      <c r="J939" t="s">
        <v>19</v>
      </c>
      <c r="K939">
        <v>57</v>
      </c>
      <c r="L939">
        <v>0</v>
      </c>
      <c r="M939" t="s">
        <v>20</v>
      </c>
      <c r="N939">
        <f>L939/500</f>
        <v>0</v>
      </c>
      <c r="P939">
        <f>K939/800</f>
        <v>7.1249999999999994E-2</v>
      </c>
    </row>
    <row r="940" spans="1:16" x14ac:dyDescent="0.35">
      <c r="A940">
        <v>711</v>
      </c>
      <c r="B940">
        <v>583006099</v>
      </c>
      <c r="C940">
        <v>37204</v>
      </c>
      <c r="D940" t="s">
        <v>348</v>
      </c>
      <c r="E940" t="s">
        <v>347</v>
      </c>
      <c r="F940" t="s">
        <v>349</v>
      </c>
      <c r="G940" t="s">
        <v>350</v>
      </c>
      <c r="H940" t="s">
        <v>17</v>
      </c>
      <c r="I940" t="s">
        <v>18</v>
      </c>
      <c r="J940" t="s">
        <v>19</v>
      </c>
      <c r="K940">
        <v>1461</v>
      </c>
      <c r="L940">
        <v>0</v>
      </c>
      <c r="M940" t="s">
        <v>20</v>
      </c>
      <c r="N940">
        <f>L940/500</f>
        <v>0</v>
      </c>
      <c r="P940">
        <f>K940/800</f>
        <v>1.8262499999999999</v>
      </c>
    </row>
    <row r="941" spans="1:16" x14ac:dyDescent="0.35">
      <c r="A941">
        <v>712</v>
      </c>
      <c r="B941">
        <v>583006099</v>
      </c>
      <c r="C941">
        <v>37204</v>
      </c>
      <c r="D941" t="s">
        <v>348</v>
      </c>
      <c r="E941" t="s">
        <v>347</v>
      </c>
      <c r="F941" t="s">
        <v>349</v>
      </c>
      <c r="G941" t="s">
        <v>350</v>
      </c>
      <c r="H941" t="s">
        <v>17</v>
      </c>
      <c r="I941" t="s">
        <v>18</v>
      </c>
      <c r="J941" t="s">
        <v>19</v>
      </c>
      <c r="K941">
        <v>627</v>
      </c>
      <c r="L941">
        <v>0</v>
      </c>
      <c r="M941" t="s">
        <v>20</v>
      </c>
      <c r="N941">
        <f>L941/500</f>
        <v>0</v>
      </c>
      <c r="P941">
        <f>K941/800</f>
        <v>0.78374999999999995</v>
      </c>
    </row>
    <row r="942" spans="1:16" x14ac:dyDescent="0.35">
      <c r="A942">
        <v>713</v>
      </c>
      <c r="B942">
        <v>583006099</v>
      </c>
      <c r="C942">
        <v>37204</v>
      </c>
      <c r="D942" t="s">
        <v>348</v>
      </c>
      <c r="E942" t="s">
        <v>347</v>
      </c>
      <c r="F942" t="s">
        <v>349</v>
      </c>
      <c r="G942" t="s">
        <v>350</v>
      </c>
      <c r="H942" t="s">
        <v>17</v>
      </c>
      <c r="I942" t="s">
        <v>18</v>
      </c>
      <c r="J942" t="s">
        <v>19</v>
      </c>
      <c r="K942">
        <v>636</v>
      </c>
      <c r="L942">
        <v>0</v>
      </c>
      <c r="M942" t="s">
        <v>20</v>
      </c>
      <c r="N942">
        <f>L942/500</f>
        <v>0</v>
      </c>
      <c r="P942">
        <f>K942/800</f>
        <v>0.79500000000000004</v>
      </c>
    </row>
    <row r="943" spans="1:16" x14ac:dyDescent="0.35">
      <c r="A943">
        <v>208</v>
      </c>
      <c r="B943">
        <v>583005301</v>
      </c>
      <c r="C943">
        <v>36097</v>
      </c>
      <c r="D943" t="s">
        <v>216</v>
      </c>
      <c r="E943" t="s">
        <v>217</v>
      </c>
      <c r="F943" t="s">
        <v>218</v>
      </c>
      <c r="G943" t="s">
        <v>219</v>
      </c>
      <c r="H943" t="s">
        <v>17</v>
      </c>
      <c r="I943" t="s">
        <v>18</v>
      </c>
      <c r="J943" t="s">
        <v>19</v>
      </c>
      <c r="K943">
        <v>144</v>
      </c>
      <c r="L943">
        <v>0</v>
      </c>
      <c r="M943" t="s">
        <v>20</v>
      </c>
      <c r="N943">
        <f>L943/500</f>
        <v>0</v>
      </c>
      <c r="P943">
        <f>K943/800</f>
        <v>0.18</v>
      </c>
    </row>
    <row r="944" spans="1:16" x14ac:dyDescent="0.35">
      <c r="A944">
        <v>209</v>
      </c>
      <c r="B944">
        <v>583005301</v>
      </c>
      <c r="C944">
        <v>36097</v>
      </c>
      <c r="D944" t="s">
        <v>216</v>
      </c>
      <c r="E944" t="s">
        <v>217</v>
      </c>
      <c r="F944" t="s">
        <v>218</v>
      </c>
      <c r="G944" t="s">
        <v>219</v>
      </c>
      <c r="H944" t="s">
        <v>17</v>
      </c>
      <c r="I944" t="s">
        <v>18</v>
      </c>
      <c r="J944" t="s">
        <v>19</v>
      </c>
      <c r="K944">
        <v>90</v>
      </c>
      <c r="L944">
        <v>0</v>
      </c>
      <c r="M944" t="s">
        <v>20</v>
      </c>
      <c r="N944">
        <f>L944/500</f>
        <v>0</v>
      </c>
      <c r="P944">
        <f>K944/800</f>
        <v>0.1125</v>
      </c>
    </row>
    <row r="945" spans="1:16" x14ac:dyDescent="0.35">
      <c r="A945">
        <v>210</v>
      </c>
      <c r="B945">
        <v>583005301</v>
      </c>
      <c r="C945">
        <v>36097</v>
      </c>
      <c r="D945" t="s">
        <v>216</v>
      </c>
      <c r="E945" t="s">
        <v>217</v>
      </c>
      <c r="F945" t="s">
        <v>218</v>
      </c>
      <c r="G945" t="s">
        <v>219</v>
      </c>
      <c r="H945" t="s">
        <v>17</v>
      </c>
      <c r="I945" t="s">
        <v>18</v>
      </c>
      <c r="J945" t="s">
        <v>19</v>
      </c>
      <c r="K945">
        <v>3444</v>
      </c>
      <c r="L945">
        <v>0</v>
      </c>
      <c r="M945" t="s">
        <v>20</v>
      </c>
      <c r="N945">
        <f>L945/500</f>
        <v>0</v>
      </c>
      <c r="P945">
        <f>K945/800</f>
        <v>4.3049999999999997</v>
      </c>
    </row>
    <row r="946" spans="1:16" x14ac:dyDescent="0.35">
      <c r="A946">
        <v>211</v>
      </c>
      <c r="B946">
        <v>583005301</v>
      </c>
      <c r="C946">
        <v>36097</v>
      </c>
      <c r="D946" t="s">
        <v>216</v>
      </c>
      <c r="E946" t="s">
        <v>217</v>
      </c>
      <c r="F946" t="s">
        <v>218</v>
      </c>
      <c r="G946" t="s">
        <v>219</v>
      </c>
      <c r="H946" t="s">
        <v>17</v>
      </c>
      <c r="I946" t="s">
        <v>18</v>
      </c>
      <c r="J946" t="s">
        <v>19</v>
      </c>
      <c r="K946">
        <v>252</v>
      </c>
      <c r="L946">
        <v>0</v>
      </c>
      <c r="M946" t="s">
        <v>20</v>
      </c>
      <c r="N946">
        <f>L946/500</f>
        <v>0</v>
      </c>
      <c r="P946">
        <f>K946/800</f>
        <v>0.315</v>
      </c>
    </row>
    <row r="947" spans="1:16" x14ac:dyDescent="0.35">
      <c r="A947">
        <v>834</v>
      </c>
      <c r="B947">
        <v>583006168</v>
      </c>
      <c r="C947">
        <v>37299</v>
      </c>
      <c r="D947" t="s">
        <v>216</v>
      </c>
      <c r="E947" t="s">
        <v>360</v>
      </c>
      <c r="F947" t="s">
        <v>218</v>
      </c>
      <c r="G947" t="s">
        <v>219</v>
      </c>
      <c r="H947" t="s">
        <v>17</v>
      </c>
      <c r="I947" t="s">
        <v>18</v>
      </c>
      <c r="J947" t="s">
        <v>19</v>
      </c>
      <c r="K947">
        <v>1305</v>
      </c>
      <c r="L947">
        <v>0</v>
      </c>
      <c r="M947" t="s">
        <v>20</v>
      </c>
      <c r="N947">
        <f>L947/500</f>
        <v>0</v>
      </c>
      <c r="P947">
        <f>K947/800</f>
        <v>1.6312500000000001</v>
      </c>
    </row>
    <row r="948" spans="1:16" x14ac:dyDescent="0.35">
      <c r="A948">
        <v>835</v>
      </c>
      <c r="B948">
        <v>583006168</v>
      </c>
      <c r="C948">
        <v>37299</v>
      </c>
      <c r="D948" t="s">
        <v>216</v>
      </c>
      <c r="E948" t="s">
        <v>360</v>
      </c>
      <c r="F948" t="s">
        <v>218</v>
      </c>
      <c r="G948" t="s">
        <v>219</v>
      </c>
      <c r="H948" t="s">
        <v>17</v>
      </c>
      <c r="I948" t="s">
        <v>18</v>
      </c>
      <c r="J948" t="s">
        <v>19</v>
      </c>
      <c r="K948">
        <v>2175</v>
      </c>
      <c r="L948">
        <v>0</v>
      </c>
      <c r="M948" t="s">
        <v>20</v>
      </c>
      <c r="N948">
        <f>L948/500</f>
        <v>0</v>
      </c>
      <c r="P948">
        <f>K948/800</f>
        <v>2.71875</v>
      </c>
    </row>
    <row r="949" spans="1:16" x14ac:dyDescent="0.35">
      <c r="A949">
        <v>836</v>
      </c>
      <c r="B949">
        <v>583006168</v>
      </c>
      <c r="C949">
        <v>37299</v>
      </c>
      <c r="D949" t="s">
        <v>216</v>
      </c>
      <c r="E949" t="s">
        <v>360</v>
      </c>
      <c r="F949" t="s">
        <v>218</v>
      </c>
      <c r="G949" t="s">
        <v>219</v>
      </c>
      <c r="H949" t="s">
        <v>17</v>
      </c>
      <c r="I949" t="s">
        <v>18</v>
      </c>
      <c r="J949" t="s">
        <v>19</v>
      </c>
      <c r="K949">
        <v>36</v>
      </c>
      <c r="L949">
        <v>0</v>
      </c>
      <c r="M949" t="s">
        <v>20</v>
      </c>
      <c r="N949">
        <f>L949/500</f>
        <v>0</v>
      </c>
      <c r="P949">
        <f>K949/800</f>
        <v>4.4999999999999998E-2</v>
      </c>
    </row>
    <row r="950" spans="1:16" x14ac:dyDescent="0.35">
      <c r="A950">
        <v>1150</v>
      </c>
      <c r="B950">
        <v>583006639</v>
      </c>
      <c r="C950">
        <v>37919</v>
      </c>
      <c r="D950" t="s">
        <v>216</v>
      </c>
      <c r="E950" t="s">
        <v>413</v>
      </c>
      <c r="F950" t="s">
        <v>218</v>
      </c>
      <c r="G950" t="s">
        <v>219</v>
      </c>
      <c r="H950" t="s">
        <v>17</v>
      </c>
      <c r="I950" t="s">
        <v>18</v>
      </c>
      <c r="J950" t="s">
        <v>19</v>
      </c>
      <c r="K950">
        <v>702</v>
      </c>
      <c r="L950">
        <v>0</v>
      </c>
      <c r="M950" t="s">
        <v>20</v>
      </c>
      <c r="N950">
        <f>L950/500</f>
        <v>0</v>
      </c>
      <c r="P950">
        <f>K950/800</f>
        <v>0.87749999999999995</v>
      </c>
    </row>
    <row r="951" spans="1:16" x14ac:dyDescent="0.35">
      <c r="A951">
        <v>1151</v>
      </c>
      <c r="B951">
        <v>583006639</v>
      </c>
      <c r="C951">
        <v>37919</v>
      </c>
      <c r="D951" t="s">
        <v>216</v>
      </c>
      <c r="E951" t="s">
        <v>413</v>
      </c>
      <c r="F951" t="s">
        <v>218</v>
      </c>
      <c r="G951" t="s">
        <v>219</v>
      </c>
      <c r="H951" t="s">
        <v>17</v>
      </c>
      <c r="I951" t="s">
        <v>18</v>
      </c>
      <c r="J951" t="s">
        <v>19</v>
      </c>
      <c r="K951">
        <v>180</v>
      </c>
      <c r="L951">
        <v>0</v>
      </c>
      <c r="M951" t="s">
        <v>20</v>
      </c>
      <c r="N951">
        <f>L951/500</f>
        <v>0</v>
      </c>
      <c r="P951">
        <f>K951/800</f>
        <v>0.22500000000000001</v>
      </c>
    </row>
    <row r="952" spans="1:16" x14ac:dyDescent="0.35">
      <c r="A952">
        <v>1152</v>
      </c>
      <c r="B952">
        <v>583006639</v>
      </c>
      <c r="C952">
        <v>37919</v>
      </c>
      <c r="D952" t="s">
        <v>216</v>
      </c>
      <c r="E952" t="s">
        <v>413</v>
      </c>
      <c r="F952" t="s">
        <v>218</v>
      </c>
      <c r="G952" t="s">
        <v>219</v>
      </c>
      <c r="H952" t="s">
        <v>17</v>
      </c>
      <c r="I952" t="s">
        <v>18</v>
      </c>
      <c r="J952" t="s">
        <v>19</v>
      </c>
      <c r="K952">
        <v>966</v>
      </c>
      <c r="L952">
        <v>0</v>
      </c>
      <c r="M952" t="s">
        <v>20</v>
      </c>
      <c r="N952">
        <f>L952/500</f>
        <v>0</v>
      </c>
      <c r="P952">
        <f>K952/800</f>
        <v>1.2075</v>
      </c>
    </row>
    <row r="953" spans="1:16" x14ac:dyDescent="0.35">
      <c r="A953">
        <v>306</v>
      </c>
      <c r="B953">
        <v>583005442</v>
      </c>
      <c r="C953">
        <v>36289</v>
      </c>
      <c r="D953" t="s">
        <v>263</v>
      </c>
      <c r="E953" t="s">
        <v>254</v>
      </c>
      <c r="F953" t="s">
        <v>264</v>
      </c>
      <c r="G953" t="s">
        <v>265</v>
      </c>
      <c r="H953" t="s">
        <v>17</v>
      </c>
      <c r="I953" t="s">
        <v>63</v>
      </c>
      <c r="J953" t="s">
        <v>64</v>
      </c>
      <c r="K953">
        <v>54</v>
      </c>
      <c r="L953">
        <v>95.58</v>
      </c>
      <c r="M953" t="s">
        <v>20</v>
      </c>
      <c r="N953">
        <f>L953/500</f>
        <v>0.19116</v>
      </c>
    </row>
    <row r="954" spans="1:16" x14ac:dyDescent="0.35">
      <c r="A954">
        <v>944</v>
      </c>
      <c r="B954">
        <v>583006384</v>
      </c>
      <c r="C954">
        <v>37577</v>
      </c>
      <c r="D954" t="s">
        <v>263</v>
      </c>
      <c r="E954" t="s">
        <v>386</v>
      </c>
      <c r="F954" t="s">
        <v>264</v>
      </c>
      <c r="G954" t="s">
        <v>265</v>
      </c>
      <c r="H954" t="s">
        <v>17</v>
      </c>
      <c r="I954" t="s">
        <v>63</v>
      </c>
      <c r="J954" t="s">
        <v>64</v>
      </c>
      <c r="K954">
        <v>58</v>
      </c>
      <c r="L954">
        <v>102.66</v>
      </c>
      <c r="M954" t="s">
        <v>20</v>
      </c>
      <c r="N954">
        <f>L954/500</f>
        <v>0.20532</v>
      </c>
    </row>
    <row r="955" spans="1:16" x14ac:dyDescent="0.35">
      <c r="A955">
        <v>1077</v>
      </c>
      <c r="B955">
        <v>583006441</v>
      </c>
      <c r="C955">
        <v>37654</v>
      </c>
      <c r="D955" t="s">
        <v>263</v>
      </c>
      <c r="E955" t="s">
        <v>393</v>
      </c>
      <c r="F955" t="s">
        <v>264</v>
      </c>
      <c r="G955" t="s">
        <v>265</v>
      </c>
      <c r="H955" t="s">
        <v>17</v>
      </c>
      <c r="I955" t="s">
        <v>63</v>
      </c>
      <c r="J955" t="s">
        <v>64</v>
      </c>
      <c r="K955">
        <v>48</v>
      </c>
      <c r="L955">
        <v>84.96</v>
      </c>
      <c r="M955" t="s">
        <v>20</v>
      </c>
      <c r="N955">
        <f>L955/500</f>
        <v>0.16991999999999999</v>
      </c>
    </row>
    <row r="956" spans="1:16" x14ac:dyDescent="0.35">
      <c r="A956">
        <v>1251</v>
      </c>
      <c r="B956">
        <v>583006705</v>
      </c>
      <c r="C956">
        <v>38011</v>
      </c>
      <c r="D956" t="s">
        <v>263</v>
      </c>
      <c r="E956" t="s">
        <v>424</v>
      </c>
      <c r="F956" t="s">
        <v>264</v>
      </c>
      <c r="G956" t="s">
        <v>265</v>
      </c>
      <c r="H956" t="s">
        <v>17</v>
      </c>
      <c r="I956" t="s">
        <v>63</v>
      </c>
      <c r="J956" t="s">
        <v>64</v>
      </c>
      <c r="K956">
        <v>60</v>
      </c>
      <c r="L956">
        <v>106.2</v>
      </c>
      <c r="M956" t="s">
        <v>20</v>
      </c>
      <c r="N956">
        <f>L956/500</f>
        <v>0.21240000000000001</v>
      </c>
    </row>
    <row r="957" spans="1:16" x14ac:dyDescent="0.35">
      <c r="A957">
        <v>1259</v>
      </c>
      <c r="B957">
        <v>583006707</v>
      </c>
      <c r="C957">
        <v>38013</v>
      </c>
      <c r="D957" t="s">
        <v>263</v>
      </c>
      <c r="E957" t="s">
        <v>424</v>
      </c>
      <c r="F957" t="s">
        <v>264</v>
      </c>
      <c r="G957" t="s">
        <v>265</v>
      </c>
      <c r="H957" t="s">
        <v>17</v>
      </c>
      <c r="I957" t="s">
        <v>63</v>
      </c>
      <c r="J957" t="s">
        <v>64</v>
      </c>
      <c r="K957">
        <v>32</v>
      </c>
      <c r="L957">
        <v>56.64</v>
      </c>
      <c r="M957" t="s">
        <v>20</v>
      </c>
      <c r="N957">
        <f>L957/500</f>
        <v>0.11328000000000001</v>
      </c>
    </row>
    <row r="958" spans="1:16" x14ac:dyDescent="0.35">
      <c r="A958">
        <v>1342</v>
      </c>
      <c r="B958">
        <v>583006817</v>
      </c>
      <c r="C958">
        <v>38166</v>
      </c>
      <c r="D958" t="s">
        <v>263</v>
      </c>
      <c r="E958" t="s">
        <v>434</v>
      </c>
      <c r="F958" t="s">
        <v>264</v>
      </c>
      <c r="G958" t="s">
        <v>265</v>
      </c>
      <c r="H958" t="s">
        <v>17</v>
      </c>
      <c r="I958" t="s">
        <v>63</v>
      </c>
      <c r="J958" t="s">
        <v>64</v>
      </c>
      <c r="K958">
        <v>63</v>
      </c>
      <c r="L958">
        <v>111.51</v>
      </c>
      <c r="M958" t="s">
        <v>20</v>
      </c>
      <c r="N958">
        <f>L958/500</f>
        <v>0.22302000000000002</v>
      </c>
    </row>
    <row r="959" spans="1:16" x14ac:dyDescent="0.35">
      <c r="A959">
        <v>305</v>
      </c>
      <c r="B959">
        <v>583005443</v>
      </c>
      <c r="C959">
        <v>36290</v>
      </c>
      <c r="D959" t="s">
        <v>263</v>
      </c>
      <c r="E959" t="s">
        <v>254</v>
      </c>
      <c r="F959" t="s">
        <v>264</v>
      </c>
      <c r="G959" t="s">
        <v>265</v>
      </c>
      <c r="H959" t="s">
        <v>17</v>
      </c>
      <c r="I959" t="s">
        <v>18</v>
      </c>
      <c r="J959" t="s">
        <v>19</v>
      </c>
      <c r="K959">
        <v>24</v>
      </c>
      <c r="L959">
        <v>0</v>
      </c>
      <c r="M959" t="s">
        <v>20</v>
      </c>
      <c r="N959">
        <f>L959/500</f>
        <v>0</v>
      </c>
      <c r="P959">
        <f>K959/800</f>
        <v>0.03</v>
      </c>
    </row>
    <row r="960" spans="1:16" x14ac:dyDescent="0.35">
      <c r="A960">
        <v>380</v>
      </c>
      <c r="B960">
        <v>583005615</v>
      </c>
      <c r="C960">
        <v>36532</v>
      </c>
      <c r="D960" t="s">
        <v>263</v>
      </c>
      <c r="E960" t="s">
        <v>270</v>
      </c>
      <c r="F960" t="s">
        <v>264</v>
      </c>
      <c r="G960" t="s">
        <v>265</v>
      </c>
      <c r="H960" t="s">
        <v>17</v>
      </c>
      <c r="I960" t="s">
        <v>18</v>
      </c>
      <c r="J960" t="s">
        <v>19</v>
      </c>
      <c r="K960">
        <v>45</v>
      </c>
      <c r="L960">
        <v>0</v>
      </c>
      <c r="M960" t="s">
        <v>20</v>
      </c>
      <c r="N960">
        <f>L960/500</f>
        <v>0</v>
      </c>
      <c r="P960">
        <f>K960/800</f>
        <v>5.6250000000000001E-2</v>
      </c>
    </row>
    <row r="961" spans="1:16" x14ac:dyDescent="0.35">
      <c r="A961">
        <v>410</v>
      </c>
      <c r="B961">
        <v>583005589</v>
      </c>
      <c r="C961">
        <v>36500</v>
      </c>
      <c r="D961" t="s">
        <v>289</v>
      </c>
      <c r="E961" t="s">
        <v>270</v>
      </c>
      <c r="F961" t="s">
        <v>290</v>
      </c>
      <c r="G961" t="s">
        <v>291</v>
      </c>
      <c r="H961" t="s">
        <v>17</v>
      </c>
      <c r="I961" t="s">
        <v>18</v>
      </c>
      <c r="J961" t="s">
        <v>19</v>
      </c>
      <c r="K961">
        <v>1026</v>
      </c>
      <c r="L961">
        <v>0</v>
      </c>
      <c r="M961" t="s">
        <v>20</v>
      </c>
      <c r="N961">
        <f>L961/500</f>
        <v>0</v>
      </c>
      <c r="P961">
        <f>K961/800</f>
        <v>1.2825</v>
      </c>
    </row>
    <row r="962" spans="1:16" x14ac:dyDescent="0.35">
      <c r="A962">
        <v>411</v>
      </c>
      <c r="B962">
        <v>583005589</v>
      </c>
      <c r="C962">
        <v>36500</v>
      </c>
      <c r="D962" t="s">
        <v>289</v>
      </c>
      <c r="E962" t="s">
        <v>270</v>
      </c>
      <c r="F962" t="s">
        <v>290</v>
      </c>
      <c r="G962" t="s">
        <v>291</v>
      </c>
      <c r="H962" t="s">
        <v>17</v>
      </c>
      <c r="I962" t="s">
        <v>18</v>
      </c>
      <c r="J962" t="s">
        <v>19</v>
      </c>
      <c r="K962">
        <v>2727</v>
      </c>
      <c r="L962">
        <v>0</v>
      </c>
      <c r="M962" t="s">
        <v>20</v>
      </c>
      <c r="N962">
        <f>L962/500</f>
        <v>0</v>
      </c>
      <c r="P962">
        <f>K962/800</f>
        <v>3.4087499999999999</v>
      </c>
    </row>
    <row r="963" spans="1:16" x14ac:dyDescent="0.35">
      <c r="A963">
        <v>417</v>
      </c>
      <c r="B963">
        <v>583005589</v>
      </c>
      <c r="C963">
        <v>36500</v>
      </c>
      <c r="D963" t="s">
        <v>289</v>
      </c>
      <c r="E963" t="s">
        <v>270</v>
      </c>
      <c r="F963" t="s">
        <v>290</v>
      </c>
      <c r="G963" t="s">
        <v>291</v>
      </c>
      <c r="H963" t="s">
        <v>17</v>
      </c>
      <c r="I963" t="s">
        <v>18</v>
      </c>
      <c r="J963" t="s">
        <v>19</v>
      </c>
      <c r="K963">
        <v>33</v>
      </c>
      <c r="L963">
        <v>0</v>
      </c>
      <c r="M963" t="s">
        <v>20</v>
      </c>
      <c r="N963">
        <f>L963/500</f>
        <v>0</v>
      </c>
      <c r="P963">
        <f>K963/800</f>
        <v>4.1250000000000002E-2</v>
      </c>
    </row>
    <row r="964" spans="1:16" x14ac:dyDescent="0.35">
      <c r="A964">
        <v>419</v>
      </c>
      <c r="B964">
        <v>583005589</v>
      </c>
      <c r="C964">
        <v>36500</v>
      </c>
      <c r="D964" t="s">
        <v>289</v>
      </c>
      <c r="E964" t="s">
        <v>270</v>
      </c>
      <c r="F964" t="s">
        <v>290</v>
      </c>
      <c r="G964" t="s">
        <v>291</v>
      </c>
      <c r="H964" t="s">
        <v>17</v>
      </c>
      <c r="I964" t="s">
        <v>18</v>
      </c>
      <c r="J964" t="s">
        <v>19</v>
      </c>
      <c r="K964">
        <v>33</v>
      </c>
      <c r="L964">
        <v>0</v>
      </c>
      <c r="M964" t="s">
        <v>20</v>
      </c>
      <c r="N964">
        <f>L964/500</f>
        <v>0</v>
      </c>
      <c r="P964">
        <f>K964/800</f>
        <v>4.1250000000000002E-2</v>
      </c>
    </row>
    <row r="965" spans="1:16" x14ac:dyDescent="0.35">
      <c r="A965">
        <v>756</v>
      </c>
      <c r="B965">
        <v>583006077</v>
      </c>
      <c r="C965">
        <v>37178</v>
      </c>
      <c r="D965" t="s">
        <v>289</v>
      </c>
      <c r="E965" t="s">
        <v>347</v>
      </c>
      <c r="F965" t="s">
        <v>290</v>
      </c>
      <c r="G965" t="s">
        <v>291</v>
      </c>
      <c r="H965" t="s">
        <v>17</v>
      </c>
      <c r="I965" t="s">
        <v>18</v>
      </c>
      <c r="J965" t="s">
        <v>19</v>
      </c>
      <c r="K965">
        <v>1746</v>
      </c>
      <c r="L965">
        <v>0</v>
      </c>
      <c r="M965" t="s">
        <v>20</v>
      </c>
      <c r="N965">
        <f>L965/500</f>
        <v>0</v>
      </c>
      <c r="P965">
        <f>K965/800</f>
        <v>2.1825000000000001</v>
      </c>
    </row>
    <row r="966" spans="1:16" x14ac:dyDescent="0.35">
      <c r="A966">
        <v>757</v>
      </c>
      <c r="B966">
        <v>583006077</v>
      </c>
      <c r="C966">
        <v>37178</v>
      </c>
      <c r="D966" t="s">
        <v>289</v>
      </c>
      <c r="E966" t="s">
        <v>347</v>
      </c>
      <c r="F966" t="s">
        <v>290</v>
      </c>
      <c r="G966" t="s">
        <v>291</v>
      </c>
      <c r="H966" t="s">
        <v>17</v>
      </c>
      <c r="I966" t="s">
        <v>18</v>
      </c>
      <c r="J966" t="s">
        <v>19</v>
      </c>
      <c r="K966">
        <v>144</v>
      </c>
      <c r="L966">
        <v>0</v>
      </c>
      <c r="M966" t="s">
        <v>20</v>
      </c>
      <c r="N966">
        <f>L966/500</f>
        <v>0</v>
      </c>
      <c r="P966">
        <f>K966/800</f>
        <v>0.18</v>
      </c>
    </row>
    <row r="967" spans="1:16" x14ac:dyDescent="0.35">
      <c r="A967">
        <v>759</v>
      </c>
      <c r="B967">
        <v>583006077</v>
      </c>
      <c r="C967">
        <v>37178</v>
      </c>
      <c r="D967" t="s">
        <v>289</v>
      </c>
      <c r="E967" t="s">
        <v>347</v>
      </c>
      <c r="F967" t="s">
        <v>290</v>
      </c>
      <c r="G967" t="s">
        <v>291</v>
      </c>
      <c r="H967" t="s">
        <v>17</v>
      </c>
      <c r="I967" t="s">
        <v>18</v>
      </c>
      <c r="J967" t="s">
        <v>19</v>
      </c>
      <c r="K967">
        <v>144</v>
      </c>
      <c r="L967">
        <v>0</v>
      </c>
      <c r="M967" t="s">
        <v>20</v>
      </c>
      <c r="N967">
        <f>L967/500</f>
        <v>0</v>
      </c>
      <c r="P967">
        <f>K967/800</f>
        <v>0.18</v>
      </c>
    </row>
    <row r="968" spans="1:16" x14ac:dyDescent="0.35">
      <c r="A968">
        <v>1360</v>
      </c>
      <c r="B968">
        <v>583006783</v>
      </c>
      <c r="C968">
        <v>38120</v>
      </c>
      <c r="D968" t="s">
        <v>289</v>
      </c>
      <c r="E968" t="s">
        <v>434</v>
      </c>
      <c r="F968" t="s">
        <v>290</v>
      </c>
      <c r="G968" t="s">
        <v>291</v>
      </c>
      <c r="H968" t="s">
        <v>17</v>
      </c>
      <c r="I968" t="s">
        <v>18</v>
      </c>
      <c r="J968" t="s">
        <v>19</v>
      </c>
      <c r="K968">
        <v>27</v>
      </c>
      <c r="L968">
        <v>0</v>
      </c>
      <c r="M968" t="s">
        <v>20</v>
      </c>
      <c r="N968">
        <f>L968/500</f>
        <v>0</v>
      </c>
      <c r="P968">
        <f>K968/800</f>
        <v>3.3750000000000002E-2</v>
      </c>
    </row>
    <row r="969" spans="1:16" x14ac:dyDescent="0.35">
      <c r="A969">
        <v>1361</v>
      </c>
      <c r="B969">
        <v>583006783</v>
      </c>
      <c r="C969">
        <v>38120</v>
      </c>
      <c r="D969" t="s">
        <v>289</v>
      </c>
      <c r="E969" t="s">
        <v>434</v>
      </c>
      <c r="F969" t="s">
        <v>290</v>
      </c>
      <c r="G969" t="s">
        <v>291</v>
      </c>
      <c r="H969" t="s">
        <v>17</v>
      </c>
      <c r="I969" t="s">
        <v>18</v>
      </c>
      <c r="J969" t="s">
        <v>19</v>
      </c>
      <c r="K969">
        <v>2778</v>
      </c>
      <c r="L969">
        <v>0</v>
      </c>
      <c r="M969" t="s">
        <v>20</v>
      </c>
      <c r="N969">
        <f>L969/500</f>
        <v>0</v>
      </c>
      <c r="P969">
        <f>K969/800</f>
        <v>3.4725000000000001</v>
      </c>
    </row>
    <row r="970" spans="1:16" x14ac:dyDescent="0.35">
      <c r="A970">
        <v>1362</v>
      </c>
      <c r="B970">
        <v>583006783</v>
      </c>
      <c r="C970">
        <v>38120</v>
      </c>
      <c r="D970" t="s">
        <v>289</v>
      </c>
      <c r="E970" t="s">
        <v>434</v>
      </c>
      <c r="F970" t="s">
        <v>290</v>
      </c>
      <c r="G970" t="s">
        <v>291</v>
      </c>
      <c r="H970" t="s">
        <v>17</v>
      </c>
      <c r="I970" t="s">
        <v>18</v>
      </c>
      <c r="J970" t="s">
        <v>19</v>
      </c>
      <c r="K970">
        <v>1551</v>
      </c>
      <c r="L970">
        <v>0</v>
      </c>
      <c r="M970" t="s">
        <v>20</v>
      </c>
      <c r="N970">
        <f>L970/500</f>
        <v>0</v>
      </c>
      <c r="P970">
        <f>K970/800</f>
        <v>1.93875</v>
      </c>
    </row>
    <row r="971" spans="1:16" x14ac:dyDescent="0.35">
      <c r="A971">
        <v>72</v>
      </c>
      <c r="B971">
        <v>583005116</v>
      </c>
      <c r="C971">
        <v>35838</v>
      </c>
      <c r="D971" t="s">
        <v>116</v>
      </c>
      <c r="E971" t="s">
        <v>81</v>
      </c>
      <c r="F971" t="s">
        <v>117</v>
      </c>
      <c r="G971" t="s">
        <v>118</v>
      </c>
      <c r="H971" t="s">
        <v>17</v>
      </c>
      <c r="I971" t="s">
        <v>18</v>
      </c>
      <c r="J971" t="s">
        <v>19</v>
      </c>
      <c r="K971">
        <v>4092</v>
      </c>
      <c r="L971">
        <v>0</v>
      </c>
      <c r="M971" t="s">
        <v>20</v>
      </c>
      <c r="N971">
        <f>L971/500</f>
        <v>0</v>
      </c>
      <c r="P971">
        <f>K971/800</f>
        <v>5.1150000000000002</v>
      </c>
    </row>
    <row r="972" spans="1:16" x14ac:dyDescent="0.35">
      <c r="A972">
        <v>148</v>
      </c>
      <c r="B972">
        <v>583005240</v>
      </c>
      <c r="C972">
        <v>36001</v>
      </c>
      <c r="D972" t="s">
        <v>116</v>
      </c>
      <c r="E972" t="s">
        <v>177</v>
      </c>
      <c r="F972" t="s">
        <v>117</v>
      </c>
      <c r="G972" t="s">
        <v>118</v>
      </c>
      <c r="H972" t="s">
        <v>17</v>
      </c>
      <c r="I972" t="s">
        <v>18</v>
      </c>
      <c r="J972" t="s">
        <v>19</v>
      </c>
      <c r="K972">
        <v>4191</v>
      </c>
      <c r="L972">
        <v>0</v>
      </c>
      <c r="M972" t="s">
        <v>20</v>
      </c>
      <c r="N972">
        <f>L972/500</f>
        <v>0</v>
      </c>
      <c r="P972">
        <f>K972/800</f>
        <v>5.2387499999999996</v>
      </c>
    </row>
    <row r="973" spans="1:16" x14ac:dyDescent="0.35">
      <c r="A973">
        <v>164</v>
      </c>
      <c r="B973">
        <v>583005188</v>
      </c>
      <c r="C973">
        <v>35936</v>
      </c>
      <c r="D973" t="s">
        <v>116</v>
      </c>
      <c r="E973" t="s">
        <v>177</v>
      </c>
      <c r="F973" t="s">
        <v>117</v>
      </c>
      <c r="G973" t="s">
        <v>118</v>
      </c>
      <c r="H973" t="s">
        <v>17</v>
      </c>
      <c r="I973" t="s">
        <v>18</v>
      </c>
      <c r="J973" t="s">
        <v>19</v>
      </c>
      <c r="K973">
        <v>360</v>
      </c>
      <c r="L973">
        <v>0</v>
      </c>
      <c r="M973" t="s">
        <v>20</v>
      </c>
      <c r="N973">
        <f>L973/500</f>
        <v>0</v>
      </c>
      <c r="P973">
        <f>K973/800</f>
        <v>0.45</v>
      </c>
    </row>
    <row r="974" spans="1:16" x14ac:dyDescent="0.35">
      <c r="A974">
        <v>182</v>
      </c>
      <c r="B974">
        <v>583005282</v>
      </c>
      <c r="C974">
        <v>36063</v>
      </c>
      <c r="D974" t="s">
        <v>116</v>
      </c>
      <c r="E974" t="s">
        <v>200</v>
      </c>
      <c r="F974" t="s">
        <v>117</v>
      </c>
      <c r="G974" t="s">
        <v>118</v>
      </c>
      <c r="H974" t="s">
        <v>17</v>
      </c>
      <c r="I974" t="s">
        <v>18</v>
      </c>
      <c r="J974" t="s">
        <v>19</v>
      </c>
      <c r="K974">
        <v>4140</v>
      </c>
      <c r="L974">
        <v>0</v>
      </c>
      <c r="M974" t="s">
        <v>20</v>
      </c>
      <c r="N974">
        <f>L974/500</f>
        <v>0</v>
      </c>
      <c r="P974">
        <f>K974/800</f>
        <v>5.1749999999999998</v>
      </c>
    </row>
    <row r="975" spans="1:16" x14ac:dyDescent="0.35">
      <c r="A975">
        <v>518</v>
      </c>
      <c r="B975">
        <v>583005815</v>
      </c>
      <c r="C975">
        <v>36804</v>
      </c>
      <c r="D975" t="s">
        <v>116</v>
      </c>
      <c r="E975" t="s">
        <v>310</v>
      </c>
      <c r="F975" t="s">
        <v>117</v>
      </c>
      <c r="G975" t="s">
        <v>118</v>
      </c>
      <c r="H975" t="s">
        <v>17</v>
      </c>
      <c r="I975" t="s">
        <v>18</v>
      </c>
      <c r="J975" t="s">
        <v>19</v>
      </c>
      <c r="K975">
        <v>4020</v>
      </c>
      <c r="L975">
        <v>0</v>
      </c>
      <c r="M975" t="s">
        <v>20</v>
      </c>
      <c r="N975">
        <f>L975/500</f>
        <v>0</v>
      </c>
      <c r="P975">
        <f>K975/800</f>
        <v>5.0250000000000004</v>
      </c>
    </row>
    <row r="976" spans="1:16" x14ac:dyDescent="0.35">
      <c r="A976">
        <v>530</v>
      </c>
      <c r="B976">
        <v>583005825</v>
      </c>
      <c r="C976">
        <v>36820</v>
      </c>
      <c r="D976" t="s">
        <v>116</v>
      </c>
      <c r="E976" t="s">
        <v>310</v>
      </c>
      <c r="F976" t="s">
        <v>117</v>
      </c>
      <c r="G976" t="s">
        <v>118</v>
      </c>
      <c r="H976" t="s">
        <v>17</v>
      </c>
      <c r="I976" t="s">
        <v>18</v>
      </c>
      <c r="J976" t="s">
        <v>19</v>
      </c>
      <c r="K976">
        <v>1710</v>
      </c>
      <c r="L976">
        <v>0</v>
      </c>
      <c r="M976" t="s">
        <v>20</v>
      </c>
      <c r="N976">
        <f>L976/500</f>
        <v>0</v>
      </c>
      <c r="P976">
        <f>K976/800</f>
        <v>2.1375000000000002</v>
      </c>
    </row>
    <row r="977" spans="1:16" x14ac:dyDescent="0.35">
      <c r="A977">
        <v>575</v>
      </c>
      <c r="B977">
        <v>583005872</v>
      </c>
      <c r="C977">
        <v>36900</v>
      </c>
      <c r="D977" t="s">
        <v>116</v>
      </c>
      <c r="E977" t="s">
        <v>318</v>
      </c>
      <c r="F977" t="s">
        <v>117</v>
      </c>
      <c r="G977" t="s">
        <v>118</v>
      </c>
      <c r="H977" t="s">
        <v>17</v>
      </c>
      <c r="I977" t="s">
        <v>18</v>
      </c>
      <c r="J977" t="s">
        <v>19</v>
      </c>
      <c r="K977">
        <v>1641</v>
      </c>
      <c r="L977">
        <v>0</v>
      </c>
      <c r="M977" t="s">
        <v>20</v>
      </c>
      <c r="N977">
        <f>L977/500</f>
        <v>0</v>
      </c>
      <c r="P977">
        <f>K977/800</f>
        <v>2.05125</v>
      </c>
    </row>
    <row r="978" spans="1:16" x14ac:dyDescent="0.35">
      <c r="A978">
        <v>600</v>
      </c>
      <c r="B978">
        <v>583005945</v>
      </c>
      <c r="C978">
        <v>37000</v>
      </c>
      <c r="D978" t="s">
        <v>116</v>
      </c>
      <c r="E978" t="s">
        <v>324</v>
      </c>
      <c r="F978" t="s">
        <v>117</v>
      </c>
      <c r="G978" t="s">
        <v>118</v>
      </c>
      <c r="H978" t="s">
        <v>17</v>
      </c>
      <c r="I978" t="s">
        <v>18</v>
      </c>
      <c r="J978" t="s">
        <v>19</v>
      </c>
      <c r="K978">
        <v>3849</v>
      </c>
      <c r="L978">
        <v>0</v>
      </c>
      <c r="M978" t="s">
        <v>20</v>
      </c>
      <c r="N978">
        <f>L978/500</f>
        <v>0</v>
      </c>
      <c r="P978">
        <f>K978/800</f>
        <v>4.8112500000000002</v>
      </c>
    </row>
    <row r="979" spans="1:16" x14ac:dyDescent="0.35">
      <c r="A979">
        <v>604</v>
      </c>
      <c r="B979">
        <v>583005889</v>
      </c>
      <c r="C979">
        <v>36928</v>
      </c>
      <c r="D979" t="s">
        <v>116</v>
      </c>
      <c r="E979" t="s">
        <v>324</v>
      </c>
      <c r="F979" t="s">
        <v>117</v>
      </c>
      <c r="G979" t="s">
        <v>118</v>
      </c>
      <c r="H979" t="s">
        <v>17</v>
      </c>
      <c r="I979" t="s">
        <v>18</v>
      </c>
      <c r="J979" t="s">
        <v>19</v>
      </c>
      <c r="K979">
        <v>1800</v>
      </c>
      <c r="L979">
        <v>0</v>
      </c>
      <c r="M979" t="s">
        <v>20</v>
      </c>
      <c r="N979">
        <f>L979/500</f>
        <v>0</v>
      </c>
      <c r="P979">
        <f>K979/800</f>
        <v>2.25</v>
      </c>
    </row>
    <row r="980" spans="1:16" x14ac:dyDescent="0.35">
      <c r="A980">
        <v>673</v>
      </c>
      <c r="B980">
        <v>583006040</v>
      </c>
      <c r="C980">
        <v>37127</v>
      </c>
      <c r="D980" t="s">
        <v>116</v>
      </c>
      <c r="E980" t="s">
        <v>343</v>
      </c>
      <c r="F980" t="s">
        <v>117</v>
      </c>
      <c r="G980" t="s">
        <v>118</v>
      </c>
      <c r="H980" t="s">
        <v>17</v>
      </c>
      <c r="I980" t="s">
        <v>18</v>
      </c>
      <c r="J980" t="s">
        <v>19</v>
      </c>
      <c r="K980">
        <v>2478</v>
      </c>
      <c r="L980">
        <v>0</v>
      </c>
      <c r="M980" t="s">
        <v>20</v>
      </c>
      <c r="N980">
        <f>L980/500</f>
        <v>0</v>
      </c>
      <c r="P980">
        <f>K980/800</f>
        <v>3.0975000000000001</v>
      </c>
    </row>
    <row r="981" spans="1:16" x14ac:dyDescent="0.35">
      <c r="A981">
        <v>674</v>
      </c>
      <c r="B981">
        <v>583006039</v>
      </c>
      <c r="C981">
        <v>37125</v>
      </c>
      <c r="D981" t="s">
        <v>116</v>
      </c>
      <c r="E981" t="s">
        <v>343</v>
      </c>
      <c r="F981" t="s">
        <v>117</v>
      </c>
      <c r="G981" t="s">
        <v>118</v>
      </c>
      <c r="H981" t="s">
        <v>17</v>
      </c>
      <c r="I981" t="s">
        <v>18</v>
      </c>
      <c r="J981" t="s">
        <v>19</v>
      </c>
      <c r="K981">
        <v>1827</v>
      </c>
      <c r="L981">
        <v>0</v>
      </c>
      <c r="M981" t="s">
        <v>20</v>
      </c>
      <c r="N981">
        <f>L981/500</f>
        <v>0</v>
      </c>
      <c r="P981">
        <f>K981/800</f>
        <v>2.2837499999999999</v>
      </c>
    </row>
    <row r="982" spans="1:16" x14ac:dyDescent="0.35">
      <c r="A982">
        <v>731</v>
      </c>
      <c r="B982">
        <v>583006048</v>
      </c>
      <c r="C982">
        <v>37145</v>
      </c>
      <c r="D982" t="s">
        <v>116</v>
      </c>
      <c r="E982" t="s">
        <v>347</v>
      </c>
      <c r="F982" t="s">
        <v>117</v>
      </c>
      <c r="G982" t="s">
        <v>118</v>
      </c>
      <c r="H982" t="s">
        <v>17</v>
      </c>
      <c r="I982" t="s">
        <v>18</v>
      </c>
      <c r="J982" t="s">
        <v>19</v>
      </c>
      <c r="K982">
        <v>4104</v>
      </c>
      <c r="L982">
        <v>0</v>
      </c>
      <c r="M982" t="s">
        <v>20</v>
      </c>
      <c r="N982">
        <f>L982/500</f>
        <v>0</v>
      </c>
      <c r="P982">
        <f>K982/800</f>
        <v>5.13</v>
      </c>
    </row>
    <row r="983" spans="1:16" x14ac:dyDescent="0.35">
      <c r="A983">
        <v>733</v>
      </c>
      <c r="B983">
        <v>583006053</v>
      </c>
      <c r="C983">
        <v>37150</v>
      </c>
      <c r="D983" t="s">
        <v>116</v>
      </c>
      <c r="E983" t="s">
        <v>347</v>
      </c>
      <c r="F983" t="s">
        <v>117</v>
      </c>
      <c r="G983" t="s">
        <v>118</v>
      </c>
      <c r="H983" t="s">
        <v>17</v>
      </c>
      <c r="I983" t="s">
        <v>18</v>
      </c>
      <c r="J983" t="s">
        <v>19</v>
      </c>
      <c r="K983">
        <v>1812</v>
      </c>
      <c r="L983">
        <v>0</v>
      </c>
      <c r="M983" t="s">
        <v>20</v>
      </c>
      <c r="N983">
        <f>L983/500</f>
        <v>0</v>
      </c>
      <c r="P983">
        <f>K983/800</f>
        <v>2.2650000000000001</v>
      </c>
    </row>
    <row r="984" spans="1:16" x14ac:dyDescent="0.35">
      <c r="A984">
        <v>740</v>
      </c>
      <c r="B984">
        <v>583006103</v>
      </c>
      <c r="C984">
        <v>37208</v>
      </c>
      <c r="D984" t="s">
        <v>116</v>
      </c>
      <c r="E984" t="s">
        <v>347</v>
      </c>
      <c r="F984" t="s">
        <v>117</v>
      </c>
      <c r="G984" t="s">
        <v>118</v>
      </c>
      <c r="H984" t="s">
        <v>17</v>
      </c>
      <c r="I984" t="s">
        <v>18</v>
      </c>
      <c r="J984" t="s">
        <v>19</v>
      </c>
      <c r="K984">
        <v>4008</v>
      </c>
      <c r="L984">
        <v>0</v>
      </c>
      <c r="M984" t="s">
        <v>20</v>
      </c>
      <c r="N984">
        <f>L984/500</f>
        <v>0</v>
      </c>
      <c r="P984">
        <f>K984/800</f>
        <v>5.01</v>
      </c>
    </row>
    <row r="985" spans="1:16" x14ac:dyDescent="0.35">
      <c r="A985">
        <v>758</v>
      </c>
      <c r="B985">
        <v>583006061</v>
      </c>
      <c r="C985">
        <v>37161</v>
      </c>
      <c r="D985" t="s">
        <v>116</v>
      </c>
      <c r="E985" t="s">
        <v>347</v>
      </c>
      <c r="F985" t="s">
        <v>117</v>
      </c>
      <c r="G985" t="s">
        <v>118</v>
      </c>
      <c r="H985" t="s">
        <v>17</v>
      </c>
      <c r="I985" t="s">
        <v>18</v>
      </c>
      <c r="J985" t="s">
        <v>19</v>
      </c>
      <c r="K985">
        <v>1836</v>
      </c>
      <c r="L985">
        <v>0</v>
      </c>
      <c r="M985" t="s">
        <v>20</v>
      </c>
      <c r="N985">
        <f>L985/500</f>
        <v>0</v>
      </c>
      <c r="P985">
        <f>K985/800</f>
        <v>2.2949999999999999</v>
      </c>
    </row>
    <row r="986" spans="1:16" x14ac:dyDescent="0.35">
      <c r="A986">
        <v>776</v>
      </c>
      <c r="B986">
        <v>583006067</v>
      </c>
      <c r="C986">
        <v>37168</v>
      </c>
      <c r="D986" t="s">
        <v>116</v>
      </c>
      <c r="E986" t="s">
        <v>347</v>
      </c>
      <c r="F986" t="s">
        <v>117</v>
      </c>
      <c r="G986" t="s">
        <v>118</v>
      </c>
      <c r="H986" t="s">
        <v>17</v>
      </c>
      <c r="I986" t="s">
        <v>18</v>
      </c>
      <c r="J986" t="s">
        <v>19</v>
      </c>
      <c r="K986">
        <v>1845</v>
      </c>
      <c r="L986">
        <v>0</v>
      </c>
      <c r="M986" t="s">
        <v>20</v>
      </c>
      <c r="N986">
        <f>L986/500</f>
        <v>0</v>
      </c>
      <c r="P986">
        <f>K986/800</f>
        <v>2.3062499999999999</v>
      </c>
    </row>
    <row r="987" spans="1:16" x14ac:dyDescent="0.35">
      <c r="A987">
        <v>848</v>
      </c>
      <c r="B987">
        <v>583006128</v>
      </c>
      <c r="C987">
        <v>37252</v>
      </c>
      <c r="D987" t="s">
        <v>116</v>
      </c>
      <c r="E987" t="s">
        <v>360</v>
      </c>
      <c r="F987" t="s">
        <v>117</v>
      </c>
      <c r="G987" t="s">
        <v>118</v>
      </c>
      <c r="H987" t="s">
        <v>17</v>
      </c>
      <c r="I987" t="s">
        <v>18</v>
      </c>
      <c r="J987" t="s">
        <v>19</v>
      </c>
      <c r="K987">
        <v>3963</v>
      </c>
      <c r="L987">
        <v>0</v>
      </c>
      <c r="M987" t="s">
        <v>20</v>
      </c>
      <c r="N987">
        <f>L987/500</f>
        <v>0</v>
      </c>
      <c r="P987">
        <f>K987/800</f>
        <v>4.9537500000000003</v>
      </c>
    </row>
    <row r="988" spans="1:16" x14ac:dyDescent="0.35">
      <c r="A988">
        <v>885</v>
      </c>
      <c r="B988">
        <v>583006246</v>
      </c>
      <c r="C988">
        <v>37397</v>
      </c>
      <c r="D988" t="s">
        <v>116</v>
      </c>
      <c r="E988" t="s">
        <v>367</v>
      </c>
      <c r="F988" t="s">
        <v>117</v>
      </c>
      <c r="G988" t="s">
        <v>118</v>
      </c>
      <c r="H988" t="s">
        <v>17</v>
      </c>
      <c r="I988" t="s">
        <v>18</v>
      </c>
      <c r="J988" t="s">
        <v>19</v>
      </c>
      <c r="K988">
        <v>3300</v>
      </c>
      <c r="L988">
        <v>0</v>
      </c>
      <c r="M988" t="s">
        <v>20</v>
      </c>
      <c r="N988">
        <f>L988/500</f>
        <v>0</v>
      </c>
      <c r="P988">
        <f>K988/800</f>
        <v>4.125</v>
      </c>
    </row>
    <row r="989" spans="1:16" x14ac:dyDescent="0.35">
      <c r="A989">
        <v>892</v>
      </c>
      <c r="B989">
        <v>583006286</v>
      </c>
      <c r="C989">
        <v>37452</v>
      </c>
      <c r="D989" t="s">
        <v>116</v>
      </c>
      <c r="E989" t="s">
        <v>367</v>
      </c>
      <c r="F989" t="s">
        <v>117</v>
      </c>
      <c r="G989" t="s">
        <v>118</v>
      </c>
      <c r="H989" t="s">
        <v>17</v>
      </c>
      <c r="I989" t="s">
        <v>18</v>
      </c>
      <c r="J989" t="s">
        <v>19</v>
      </c>
      <c r="K989">
        <v>7065</v>
      </c>
      <c r="L989">
        <v>0</v>
      </c>
      <c r="M989" t="s">
        <v>20</v>
      </c>
      <c r="N989">
        <f>L989/500</f>
        <v>0</v>
      </c>
      <c r="P989">
        <f>K989/800</f>
        <v>8.8312500000000007</v>
      </c>
    </row>
    <row r="990" spans="1:16" x14ac:dyDescent="0.35">
      <c r="A990">
        <v>897</v>
      </c>
      <c r="B990">
        <v>583006256</v>
      </c>
      <c r="C990">
        <v>37408</v>
      </c>
      <c r="D990" t="s">
        <v>116</v>
      </c>
      <c r="E990" t="s">
        <v>367</v>
      </c>
      <c r="F990" t="s">
        <v>117</v>
      </c>
      <c r="G990" t="s">
        <v>118</v>
      </c>
      <c r="H990" t="s">
        <v>17</v>
      </c>
      <c r="I990" t="s">
        <v>18</v>
      </c>
      <c r="J990" t="s">
        <v>19</v>
      </c>
      <c r="K990">
        <v>3300</v>
      </c>
      <c r="L990">
        <v>0</v>
      </c>
      <c r="M990" t="s">
        <v>20</v>
      </c>
      <c r="N990">
        <f>L990/500</f>
        <v>0</v>
      </c>
      <c r="P990">
        <f>K990/800</f>
        <v>4.125</v>
      </c>
    </row>
    <row r="991" spans="1:16" x14ac:dyDescent="0.35">
      <c r="A991">
        <v>953</v>
      </c>
      <c r="B991">
        <v>583006332</v>
      </c>
      <c r="C991">
        <v>37510</v>
      </c>
      <c r="D991" t="s">
        <v>116</v>
      </c>
      <c r="E991" t="s">
        <v>386</v>
      </c>
      <c r="F991" t="s">
        <v>117</v>
      </c>
      <c r="G991" t="s">
        <v>118</v>
      </c>
      <c r="H991" t="s">
        <v>17</v>
      </c>
      <c r="I991" t="s">
        <v>18</v>
      </c>
      <c r="J991" t="s">
        <v>19</v>
      </c>
      <c r="K991">
        <v>4032</v>
      </c>
      <c r="L991">
        <v>0</v>
      </c>
      <c r="M991" t="s">
        <v>20</v>
      </c>
      <c r="N991">
        <f>L991/500</f>
        <v>0</v>
      </c>
      <c r="P991">
        <f>K991/800</f>
        <v>5.04</v>
      </c>
    </row>
    <row r="992" spans="1:16" x14ac:dyDescent="0.35">
      <c r="A992">
        <v>968</v>
      </c>
      <c r="B992">
        <v>583006351</v>
      </c>
      <c r="C992">
        <v>37540</v>
      </c>
      <c r="D992" t="s">
        <v>116</v>
      </c>
      <c r="E992" t="s">
        <v>386</v>
      </c>
      <c r="F992" t="s">
        <v>117</v>
      </c>
      <c r="G992" t="s">
        <v>118</v>
      </c>
      <c r="H992" t="s">
        <v>17</v>
      </c>
      <c r="I992" t="s">
        <v>18</v>
      </c>
      <c r="J992" t="s">
        <v>19</v>
      </c>
      <c r="K992">
        <v>1596</v>
      </c>
      <c r="L992">
        <v>0</v>
      </c>
      <c r="M992" t="s">
        <v>20</v>
      </c>
      <c r="N992">
        <f>L992/500</f>
        <v>0</v>
      </c>
      <c r="P992">
        <f>K992/800</f>
        <v>1.9950000000000001</v>
      </c>
    </row>
    <row r="993" spans="1:16" x14ac:dyDescent="0.35">
      <c r="A993">
        <v>977</v>
      </c>
      <c r="B993">
        <v>583006335</v>
      </c>
      <c r="C993">
        <v>37516</v>
      </c>
      <c r="D993" t="s">
        <v>116</v>
      </c>
      <c r="E993" t="s">
        <v>386</v>
      </c>
      <c r="F993" t="s">
        <v>117</v>
      </c>
      <c r="G993" t="s">
        <v>118</v>
      </c>
      <c r="H993" t="s">
        <v>17</v>
      </c>
      <c r="I993" t="s">
        <v>18</v>
      </c>
      <c r="J993" t="s">
        <v>19</v>
      </c>
      <c r="K993">
        <v>4002</v>
      </c>
      <c r="L993">
        <v>0</v>
      </c>
      <c r="M993" t="s">
        <v>20</v>
      </c>
      <c r="N993">
        <f>L993/500</f>
        <v>0</v>
      </c>
      <c r="P993">
        <f>K993/800</f>
        <v>5.0025000000000004</v>
      </c>
    </row>
    <row r="994" spans="1:16" x14ac:dyDescent="0.35">
      <c r="A994">
        <v>1009</v>
      </c>
      <c r="B994">
        <v>583006482</v>
      </c>
      <c r="C994">
        <v>37700</v>
      </c>
      <c r="D994" t="s">
        <v>116</v>
      </c>
      <c r="E994" t="s">
        <v>393</v>
      </c>
      <c r="F994" t="s">
        <v>117</v>
      </c>
      <c r="G994" t="s">
        <v>118</v>
      </c>
      <c r="H994" t="s">
        <v>17</v>
      </c>
      <c r="I994" t="s">
        <v>18</v>
      </c>
      <c r="J994" t="s">
        <v>19</v>
      </c>
      <c r="K994">
        <v>2853</v>
      </c>
      <c r="L994">
        <v>0</v>
      </c>
      <c r="M994" t="s">
        <v>20</v>
      </c>
      <c r="N994">
        <f>L994/500</f>
        <v>0</v>
      </c>
      <c r="P994">
        <f>K994/800</f>
        <v>3.5662500000000001</v>
      </c>
    </row>
    <row r="995" spans="1:16" x14ac:dyDescent="0.35">
      <c r="A995">
        <v>1083</v>
      </c>
      <c r="B995">
        <v>583006529</v>
      </c>
      <c r="C995">
        <v>37776</v>
      </c>
      <c r="D995" t="s">
        <v>116</v>
      </c>
      <c r="E995" t="s">
        <v>404</v>
      </c>
      <c r="F995" t="s">
        <v>117</v>
      </c>
      <c r="G995" t="s">
        <v>118</v>
      </c>
      <c r="H995" t="s">
        <v>17</v>
      </c>
      <c r="I995" t="s">
        <v>18</v>
      </c>
      <c r="J995" t="s">
        <v>19</v>
      </c>
      <c r="K995">
        <v>4017</v>
      </c>
      <c r="L995">
        <v>0</v>
      </c>
      <c r="M995" t="s">
        <v>20</v>
      </c>
      <c r="N995">
        <f>L995/500</f>
        <v>0</v>
      </c>
      <c r="P995">
        <f>K995/800</f>
        <v>5.0212500000000002</v>
      </c>
    </row>
    <row r="996" spans="1:16" x14ac:dyDescent="0.35">
      <c r="A996">
        <v>1107</v>
      </c>
      <c r="B996">
        <v>583006486</v>
      </c>
      <c r="C996">
        <v>37716</v>
      </c>
      <c r="D996" t="s">
        <v>116</v>
      </c>
      <c r="E996" t="s">
        <v>404</v>
      </c>
      <c r="F996" t="s">
        <v>117</v>
      </c>
      <c r="G996" t="s">
        <v>118</v>
      </c>
      <c r="H996" t="s">
        <v>17</v>
      </c>
      <c r="I996" t="s">
        <v>18</v>
      </c>
      <c r="J996" t="s">
        <v>19</v>
      </c>
      <c r="K996">
        <v>3621</v>
      </c>
      <c r="L996">
        <v>0</v>
      </c>
      <c r="M996" t="s">
        <v>20</v>
      </c>
      <c r="N996">
        <f>L996/500</f>
        <v>0</v>
      </c>
      <c r="P996">
        <f>K996/800</f>
        <v>4.5262500000000001</v>
      </c>
    </row>
    <row r="997" spans="1:16" x14ac:dyDescent="0.35">
      <c r="A997">
        <v>1114</v>
      </c>
      <c r="B997">
        <v>583006541</v>
      </c>
      <c r="C997">
        <v>37798</v>
      </c>
      <c r="D997" t="s">
        <v>116</v>
      </c>
      <c r="E997" t="s">
        <v>404</v>
      </c>
      <c r="F997" t="s">
        <v>117</v>
      </c>
      <c r="G997" t="s">
        <v>118</v>
      </c>
      <c r="H997" t="s">
        <v>17</v>
      </c>
      <c r="I997" t="s">
        <v>18</v>
      </c>
      <c r="J997" t="s">
        <v>19</v>
      </c>
      <c r="K997">
        <v>495</v>
      </c>
      <c r="L997">
        <v>0</v>
      </c>
      <c r="M997" t="s">
        <v>20</v>
      </c>
      <c r="N997">
        <f>L997/500</f>
        <v>0</v>
      </c>
      <c r="P997">
        <f>K997/800</f>
        <v>0.61875000000000002</v>
      </c>
    </row>
    <row r="998" spans="1:16" x14ac:dyDescent="0.35">
      <c r="A998">
        <v>1124</v>
      </c>
      <c r="B998">
        <v>583006531</v>
      </c>
      <c r="C998">
        <v>37780</v>
      </c>
      <c r="D998" t="s">
        <v>116</v>
      </c>
      <c r="E998" t="s">
        <v>404</v>
      </c>
      <c r="F998" t="s">
        <v>117</v>
      </c>
      <c r="G998" t="s">
        <v>118</v>
      </c>
      <c r="H998" t="s">
        <v>17</v>
      </c>
      <c r="I998" t="s">
        <v>18</v>
      </c>
      <c r="J998" t="s">
        <v>19</v>
      </c>
      <c r="K998">
        <v>3465</v>
      </c>
      <c r="L998">
        <v>0</v>
      </c>
      <c r="M998" t="s">
        <v>20</v>
      </c>
      <c r="N998">
        <f>L998/500</f>
        <v>0</v>
      </c>
      <c r="P998">
        <f>K998/800</f>
        <v>4.3312499999999998</v>
      </c>
    </row>
    <row r="999" spans="1:16" x14ac:dyDescent="0.35">
      <c r="A999">
        <v>1174</v>
      </c>
      <c r="B999">
        <v>583006616</v>
      </c>
      <c r="C999">
        <v>37895</v>
      </c>
      <c r="D999" t="s">
        <v>116</v>
      </c>
      <c r="E999" t="s">
        <v>413</v>
      </c>
      <c r="F999" t="s">
        <v>117</v>
      </c>
      <c r="G999" t="s">
        <v>118</v>
      </c>
      <c r="H999" t="s">
        <v>17</v>
      </c>
      <c r="I999" t="s">
        <v>18</v>
      </c>
      <c r="J999" t="s">
        <v>19</v>
      </c>
      <c r="K999">
        <v>3867</v>
      </c>
      <c r="L999">
        <v>0</v>
      </c>
      <c r="M999" t="s">
        <v>20</v>
      </c>
      <c r="N999">
        <f>L999/500</f>
        <v>0</v>
      </c>
      <c r="P999">
        <f>K999/800</f>
        <v>4.8337500000000002</v>
      </c>
    </row>
    <row r="1000" spans="1:16" x14ac:dyDescent="0.35">
      <c r="A1000">
        <v>1305</v>
      </c>
      <c r="B1000">
        <v>583006781</v>
      </c>
      <c r="C1000">
        <v>38118</v>
      </c>
      <c r="D1000" t="s">
        <v>116</v>
      </c>
      <c r="E1000" t="s">
        <v>434</v>
      </c>
      <c r="F1000" t="s">
        <v>117</v>
      </c>
      <c r="G1000" t="s">
        <v>118</v>
      </c>
      <c r="H1000" t="s">
        <v>17</v>
      </c>
      <c r="I1000" t="s">
        <v>18</v>
      </c>
      <c r="J1000" t="s">
        <v>19</v>
      </c>
      <c r="K1000">
        <v>3864</v>
      </c>
      <c r="L1000">
        <v>0</v>
      </c>
      <c r="M1000" t="s">
        <v>20</v>
      </c>
      <c r="N1000">
        <f>L1000/500</f>
        <v>0</v>
      </c>
      <c r="P1000">
        <f>K1000/800</f>
        <v>4.83</v>
      </c>
    </row>
    <row r="1001" spans="1:16" x14ac:dyDescent="0.35">
      <c r="A1001">
        <v>1371</v>
      </c>
      <c r="B1001">
        <v>583006900</v>
      </c>
      <c r="C1001">
        <v>38277</v>
      </c>
      <c r="D1001" t="s">
        <v>116</v>
      </c>
      <c r="E1001" t="s">
        <v>444</v>
      </c>
      <c r="F1001" t="s">
        <v>117</v>
      </c>
      <c r="G1001" t="s">
        <v>118</v>
      </c>
      <c r="H1001" t="s">
        <v>17</v>
      </c>
      <c r="I1001" t="s">
        <v>18</v>
      </c>
      <c r="J1001" t="s">
        <v>19</v>
      </c>
      <c r="K1001">
        <v>3369</v>
      </c>
      <c r="L1001">
        <v>0</v>
      </c>
      <c r="M1001" t="s">
        <v>20</v>
      </c>
      <c r="N1001">
        <f>L1001/500</f>
        <v>0</v>
      </c>
      <c r="P1001">
        <f>K1001/800</f>
        <v>4.2112499999999997</v>
      </c>
    </row>
    <row r="1002" spans="1:16" x14ac:dyDescent="0.35">
      <c r="A1002">
        <v>1372</v>
      </c>
      <c r="B1002">
        <v>583006899</v>
      </c>
      <c r="C1002">
        <v>38276</v>
      </c>
      <c r="D1002" t="s">
        <v>116</v>
      </c>
      <c r="E1002" t="s">
        <v>444</v>
      </c>
      <c r="F1002" t="s">
        <v>117</v>
      </c>
      <c r="G1002" t="s">
        <v>118</v>
      </c>
      <c r="H1002" t="s">
        <v>17</v>
      </c>
      <c r="I1002" t="s">
        <v>18</v>
      </c>
      <c r="J1002" t="s">
        <v>19</v>
      </c>
      <c r="K1002">
        <v>3801</v>
      </c>
      <c r="L1002">
        <v>0</v>
      </c>
      <c r="M1002" t="s">
        <v>20</v>
      </c>
      <c r="N1002">
        <f>L1002/500</f>
        <v>0</v>
      </c>
      <c r="P1002">
        <f>K1002/800</f>
        <v>4.7512499999999998</v>
      </c>
    </row>
    <row r="1003" spans="1:16" x14ac:dyDescent="0.35">
      <c r="A1003">
        <v>1373</v>
      </c>
      <c r="B1003">
        <v>583006894</v>
      </c>
      <c r="C1003">
        <v>38271</v>
      </c>
      <c r="D1003" t="s">
        <v>116</v>
      </c>
      <c r="E1003" t="s">
        <v>444</v>
      </c>
      <c r="F1003" t="s">
        <v>117</v>
      </c>
      <c r="G1003" t="s">
        <v>118</v>
      </c>
      <c r="H1003" t="s">
        <v>17</v>
      </c>
      <c r="I1003" t="s">
        <v>18</v>
      </c>
      <c r="J1003" t="s">
        <v>19</v>
      </c>
      <c r="K1003">
        <v>2937</v>
      </c>
      <c r="L1003">
        <v>0</v>
      </c>
      <c r="M1003" t="s">
        <v>20</v>
      </c>
      <c r="N1003">
        <f>L1003/500</f>
        <v>0</v>
      </c>
      <c r="P1003">
        <f>K1003/800</f>
        <v>3.6712500000000001</v>
      </c>
    </row>
    <row r="1004" spans="1:16" x14ac:dyDescent="0.35">
      <c r="A1004">
        <v>1378</v>
      </c>
      <c r="B1004">
        <v>583006859</v>
      </c>
      <c r="C1004">
        <v>38227</v>
      </c>
      <c r="D1004" t="s">
        <v>116</v>
      </c>
      <c r="E1004" t="s">
        <v>444</v>
      </c>
      <c r="F1004" t="s">
        <v>117</v>
      </c>
      <c r="G1004" t="s">
        <v>118</v>
      </c>
      <c r="H1004" t="s">
        <v>17</v>
      </c>
      <c r="I1004" t="s">
        <v>18</v>
      </c>
      <c r="J1004" t="s">
        <v>19</v>
      </c>
      <c r="K1004">
        <v>4011</v>
      </c>
      <c r="L1004">
        <v>0</v>
      </c>
      <c r="M1004" t="s">
        <v>20</v>
      </c>
      <c r="N1004">
        <f>L1004/500</f>
        <v>0</v>
      </c>
      <c r="P1004">
        <f>K1004/800</f>
        <v>5.0137499999999999</v>
      </c>
    </row>
    <row r="1005" spans="1:16" x14ac:dyDescent="0.35">
      <c r="A1005">
        <v>1379</v>
      </c>
      <c r="B1005">
        <v>583006858</v>
      </c>
      <c r="C1005">
        <v>38226</v>
      </c>
      <c r="D1005" t="s">
        <v>116</v>
      </c>
      <c r="E1005" t="s">
        <v>444</v>
      </c>
      <c r="F1005" t="s">
        <v>117</v>
      </c>
      <c r="G1005" t="s">
        <v>118</v>
      </c>
      <c r="H1005" t="s">
        <v>17</v>
      </c>
      <c r="I1005" t="s">
        <v>18</v>
      </c>
      <c r="J1005" t="s">
        <v>19</v>
      </c>
      <c r="K1005">
        <v>7287</v>
      </c>
      <c r="L1005">
        <v>0</v>
      </c>
      <c r="M1005" t="s">
        <v>20</v>
      </c>
      <c r="N1005">
        <f>L1005/500</f>
        <v>0</v>
      </c>
      <c r="P1005">
        <f>K1005/800</f>
        <v>9.1087500000000006</v>
      </c>
    </row>
    <row r="1006" spans="1:16" x14ac:dyDescent="0.35">
      <c r="A1006">
        <v>1380</v>
      </c>
      <c r="B1006">
        <v>583006857</v>
      </c>
      <c r="C1006">
        <v>38225</v>
      </c>
      <c r="D1006" t="s">
        <v>116</v>
      </c>
      <c r="E1006" t="s">
        <v>444</v>
      </c>
      <c r="F1006" t="s">
        <v>117</v>
      </c>
      <c r="G1006" t="s">
        <v>118</v>
      </c>
      <c r="H1006" t="s">
        <v>17</v>
      </c>
      <c r="I1006" t="s">
        <v>18</v>
      </c>
      <c r="J1006" t="s">
        <v>19</v>
      </c>
      <c r="K1006">
        <v>3513</v>
      </c>
      <c r="L1006">
        <v>0</v>
      </c>
      <c r="M1006" t="s">
        <v>20</v>
      </c>
      <c r="N1006">
        <f>L1006/500</f>
        <v>0</v>
      </c>
      <c r="P1006">
        <f>K1006/800</f>
        <v>4.3912500000000003</v>
      </c>
    </row>
    <row r="1007" spans="1:16" x14ac:dyDescent="0.35">
      <c r="A1007">
        <v>1382</v>
      </c>
      <c r="B1007">
        <v>583006909</v>
      </c>
      <c r="C1007">
        <v>38287</v>
      </c>
      <c r="D1007" t="s">
        <v>116</v>
      </c>
      <c r="E1007" t="s">
        <v>444</v>
      </c>
      <c r="F1007" t="s">
        <v>117</v>
      </c>
      <c r="G1007" t="s">
        <v>118</v>
      </c>
      <c r="H1007" t="s">
        <v>17</v>
      </c>
      <c r="I1007" t="s">
        <v>18</v>
      </c>
      <c r="J1007" t="s">
        <v>19</v>
      </c>
      <c r="K1007">
        <v>3399</v>
      </c>
      <c r="L1007">
        <v>0</v>
      </c>
      <c r="M1007" t="s">
        <v>20</v>
      </c>
      <c r="N1007">
        <f>L1007/500</f>
        <v>0</v>
      </c>
      <c r="P1007">
        <f>K1007/800</f>
        <v>4.2487500000000002</v>
      </c>
    </row>
    <row r="1008" spans="1:16" x14ac:dyDescent="0.35">
      <c r="A1008">
        <v>1416</v>
      </c>
      <c r="B1008">
        <v>583006856</v>
      </c>
      <c r="C1008">
        <v>38224</v>
      </c>
      <c r="D1008" t="s">
        <v>116</v>
      </c>
      <c r="E1008" t="s">
        <v>444</v>
      </c>
      <c r="F1008" t="s">
        <v>117</v>
      </c>
      <c r="G1008" t="s">
        <v>118</v>
      </c>
      <c r="H1008" t="s">
        <v>17</v>
      </c>
      <c r="I1008" t="s">
        <v>18</v>
      </c>
      <c r="J1008" t="s">
        <v>19</v>
      </c>
      <c r="K1008">
        <v>3237</v>
      </c>
      <c r="L1008">
        <v>0</v>
      </c>
      <c r="M1008" t="s">
        <v>20</v>
      </c>
      <c r="N1008">
        <f>L1008/500</f>
        <v>0</v>
      </c>
      <c r="P1008">
        <f>K1008/800</f>
        <v>4.0462499999999997</v>
      </c>
    </row>
    <row r="1009" spans="1:16" x14ac:dyDescent="0.35">
      <c r="A1009">
        <v>1417</v>
      </c>
      <c r="B1009">
        <v>583006855</v>
      </c>
      <c r="C1009">
        <v>38222</v>
      </c>
      <c r="D1009" t="s">
        <v>116</v>
      </c>
      <c r="E1009" t="s">
        <v>444</v>
      </c>
      <c r="F1009" t="s">
        <v>117</v>
      </c>
      <c r="G1009" t="s">
        <v>118</v>
      </c>
      <c r="H1009" t="s">
        <v>17</v>
      </c>
      <c r="I1009" t="s">
        <v>18</v>
      </c>
      <c r="J1009" t="s">
        <v>19</v>
      </c>
      <c r="K1009">
        <v>3843</v>
      </c>
      <c r="L1009">
        <v>0</v>
      </c>
      <c r="M1009" t="s">
        <v>20</v>
      </c>
      <c r="N1009">
        <f>L1009/500</f>
        <v>0</v>
      </c>
      <c r="P1009">
        <f>K1009/800</f>
        <v>4.80375</v>
      </c>
    </row>
    <row r="1010" spans="1:16" x14ac:dyDescent="0.35">
      <c r="A1010">
        <v>605</v>
      </c>
      <c r="B1010">
        <v>583005928</v>
      </c>
      <c r="C1010">
        <v>36982</v>
      </c>
      <c r="D1010" t="s">
        <v>325</v>
      </c>
      <c r="E1010" t="s">
        <v>324</v>
      </c>
      <c r="F1010" t="s">
        <v>326</v>
      </c>
      <c r="G1010" t="s">
        <v>327</v>
      </c>
      <c r="H1010" t="s">
        <v>17</v>
      </c>
      <c r="I1010" t="s">
        <v>18</v>
      </c>
      <c r="J1010" t="s">
        <v>19</v>
      </c>
      <c r="K1010">
        <v>135</v>
      </c>
      <c r="L1010">
        <v>0</v>
      </c>
      <c r="M1010" t="s">
        <v>20</v>
      </c>
      <c r="N1010">
        <f>L1010/500</f>
        <v>0</v>
      </c>
      <c r="P1010">
        <f>K1010/800</f>
        <v>0.16875000000000001</v>
      </c>
    </row>
    <row r="1011" spans="1:16" x14ac:dyDescent="0.35">
      <c r="A1011">
        <v>966</v>
      </c>
      <c r="B1011">
        <v>583006318</v>
      </c>
      <c r="C1011">
        <v>37493</v>
      </c>
      <c r="D1011" t="s">
        <v>187</v>
      </c>
      <c r="E1011" t="s">
        <v>386</v>
      </c>
      <c r="F1011" t="s">
        <v>188</v>
      </c>
      <c r="G1011" t="s">
        <v>189</v>
      </c>
      <c r="H1011" t="s">
        <v>17</v>
      </c>
      <c r="I1011" t="s">
        <v>18</v>
      </c>
      <c r="J1011" t="s">
        <v>19</v>
      </c>
      <c r="K1011">
        <v>1011</v>
      </c>
      <c r="L1011">
        <v>0</v>
      </c>
      <c r="M1011" t="s">
        <v>20</v>
      </c>
      <c r="N1011">
        <f>L1011/500</f>
        <v>0</v>
      </c>
      <c r="P1011">
        <f>K1011/800</f>
        <v>1.2637499999999999</v>
      </c>
    </row>
    <row r="1012" spans="1:16" x14ac:dyDescent="0.35">
      <c r="A1012">
        <v>967</v>
      </c>
      <c r="B1012">
        <v>583006318</v>
      </c>
      <c r="C1012">
        <v>37493</v>
      </c>
      <c r="D1012" t="s">
        <v>187</v>
      </c>
      <c r="E1012" t="s">
        <v>386</v>
      </c>
      <c r="F1012" t="s">
        <v>188</v>
      </c>
      <c r="G1012" t="s">
        <v>189</v>
      </c>
      <c r="H1012" t="s">
        <v>17</v>
      </c>
      <c r="I1012" t="s">
        <v>18</v>
      </c>
      <c r="J1012" t="s">
        <v>19</v>
      </c>
      <c r="K1012">
        <v>609</v>
      </c>
      <c r="L1012">
        <v>0</v>
      </c>
      <c r="M1012" t="s">
        <v>20</v>
      </c>
      <c r="N1012">
        <f>L1012/500</f>
        <v>0</v>
      </c>
      <c r="P1012">
        <f>K1012/800</f>
        <v>0.76124999999999998</v>
      </c>
    </row>
    <row r="1013" spans="1:16" x14ac:dyDescent="0.35">
      <c r="A1013">
        <v>969</v>
      </c>
      <c r="B1013">
        <v>583006318</v>
      </c>
      <c r="C1013">
        <v>37493</v>
      </c>
      <c r="D1013" t="s">
        <v>187</v>
      </c>
      <c r="E1013" t="s">
        <v>386</v>
      </c>
      <c r="F1013" t="s">
        <v>188</v>
      </c>
      <c r="G1013" t="s">
        <v>189</v>
      </c>
      <c r="H1013" t="s">
        <v>17</v>
      </c>
      <c r="I1013" t="s">
        <v>18</v>
      </c>
      <c r="J1013" t="s">
        <v>19</v>
      </c>
      <c r="K1013">
        <v>153</v>
      </c>
      <c r="L1013">
        <v>0</v>
      </c>
      <c r="M1013" t="s">
        <v>20</v>
      </c>
      <c r="N1013">
        <f>L1013/500</f>
        <v>0</v>
      </c>
      <c r="P1013">
        <f>K1013/800</f>
        <v>0.19125</v>
      </c>
    </row>
    <row r="1014" spans="1:16" x14ac:dyDescent="0.35">
      <c r="A1014">
        <v>73</v>
      </c>
      <c r="B1014">
        <v>583005065</v>
      </c>
      <c r="C1014">
        <v>35778</v>
      </c>
      <c r="D1014" t="s">
        <v>101</v>
      </c>
      <c r="E1014" t="s">
        <v>81</v>
      </c>
      <c r="F1014" t="s">
        <v>102</v>
      </c>
      <c r="G1014" t="s">
        <v>103</v>
      </c>
      <c r="H1014" t="s">
        <v>17</v>
      </c>
      <c r="I1014" t="s">
        <v>63</v>
      </c>
      <c r="J1014" t="s">
        <v>64</v>
      </c>
      <c r="K1014">
        <v>224</v>
      </c>
      <c r="L1014">
        <v>396.48</v>
      </c>
      <c r="M1014" t="s">
        <v>20</v>
      </c>
      <c r="N1014">
        <f>L1014/500</f>
        <v>0.79296</v>
      </c>
    </row>
    <row r="1015" spans="1:16" x14ac:dyDescent="0.35">
      <c r="A1015">
        <v>404</v>
      </c>
      <c r="B1015">
        <v>583005571</v>
      </c>
      <c r="C1015">
        <v>36472</v>
      </c>
      <c r="D1015" t="s">
        <v>101</v>
      </c>
      <c r="E1015" t="s">
        <v>270</v>
      </c>
      <c r="F1015" t="s">
        <v>102</v>
      </c>
      <c r="G1015" t="s">
        <v>103</v>
      </c>
      <c r="H1015" t="s">
        <v>17</v>
      </c>
      <c r="I1015" t="s">
        <v>63</v>
      </c>
      <c r="J1015" t="s">
        <v>64</v>
      </c>
      <c r="K1015">
        <v>224</v>
      </c>
      <c r="L1015">
        <v>396.48</v>
      </c>
      <c r="M1015" t="s">
        <v>20</v>
      </c>
      <c r="N1015">
        <f>L1015/500</f>
        <v>0.79296</v>
      </c>
    </row>
    <row r="1016" spans="1:16" x14ac:dyDescent="0.35">
      <c r="A1016">
        <v>839</v>
      </c>
      <c r="B1016">
        <v>583006134</v>
      </c>
      <c r="C1016">
        <v>37261</v>
      </c>
      <c r="D1016" t="s">
        <v>101</v>
      </c>
      <c r="E1016" t="s">
        <v>360</v>
      </c>
      <c r="F1016" t="s">
        <v>102</v>
      </c>
      <c r="G1016" t="s">
        <v>103</v>
      </c>
      <c r="H1016" t="s">
        <v>17</v>
      </c>
      <c r="I1016" t="s">
        <v>63</v>
      </c>
      <c r="J1016" t="s">
        <v>64</v>
      </c>
      <c r="K1016">
        <v>56</v>
      </c>
      <c r="L1016">
        <v>92.4</v>
      </c>
      <c r="M1016" t="s">
        <v>20</v>
      </c>
      <c r="N1016">
        <f>L1016/500</f>
        <v>0.18480000000000002</v>
      </c>
    </row>
    <row r="1017" spans="1:16" x14ac:dyDescent="0.35">
      <c r="A1017">
        <v>840</v>
      </c>
      <c r="B1017">
        <v>583006134</v>
      </c>
      <c r="C1017">
        <v>37261</v>
      </c>
      <c r="D1017" t="s">
        <v>101</v>
      </c>
      <c r="E1017" t="s">
        <v>360</v>
      </c>
      <c r="F1017" t="s">
        <v>102</v>
      </c>
      <c r="G1017" t="s">
        <v>103</v>
      </c>
      <c r="H1017" t="s">
        <v>17</v>
      </c>
      <c r="I1017" t="s">
        <v>63</v>
      </c>
      <c r="J1017" t="s">
        <v>64</v>
      </c>
      <c r="K1017">
        <v>168</v>
      </c>
      <c r="L1017">
        <v>297.36</v>
      </c>
      <c r="M1017" t="s">
        <v>20</v>
      </c>
      <c r="N1017">
        <f>L1017/500</f>
        <v>0.59472000000000003</v>
      </c>
    </row>
    <row r="1018" spans="1:16" x14ac:dyDescent="0.35">
      <c r="A1018">
        <v>127</v>
      </c>
      <c r="B1018">
        <v>583005220</v>
      </c>
      <c r="C1018">
        <v>35978</v>
      </c>
      <c r="D1018" t="s">
        <v>101</v>
      </c>
      <c r="E1018" t="s">
        <v>177</v>
      </c>
      <c r="F1018" t="s">
        <v>102</v>
      </c>
      <c r="G1018" t="s">
        <v>103</v>
      </c>
      <c r="H1018" t="s">
        <v>17</v>
      </c>
      <c r="I1018" t="s">
        <v>18</v>
      </c>
      <c r="J1018" t="s">
        <v>19</v>
      </c>
      <c r="K1018">
        <v>297</v>
      </c>
      <c r="L1018">
        <v>0</v>
      </c>
      <c r="M1018" t="s">
        <v>20</v>
      </c>
      <c r="N1018">
        <f>L1018/500</f>
        <v>0</v>
      </c>
      <c r="P1018">
        <f>K1018/800</f>
        <v>0.37125000000000002</v>
      </c>
    </row>
    <row r="1019" spans="1:16" x14ac:dyDescent="0.35">
      <c r="A1019">
        <v>128</v>
      </c>
      <c r="B1019">
        <v>583005220</v>
      </c>
      <c r="C1019">
        <v>35978</v>
      </c>
      <c r="D1019" t="s">
        <v>101</v>
      </c>
      <c r="E1019" t="s">
        <v>177</v>
      </c>
      <c r="F1019" t="s">
        <v>102</v>
      </c>
      <c r="G1019" t="s">
        <v>103</v>
      </c>
      <c r="H1019" t="s">
        <v>17</v>
      </c>
      <c r="I1019" t="s">
        <v>18</v>
      </c>
      <c r="J1019" t="s">
        <v>19</v>
      </c>
      <c r="K1019">
        <v>1530</v>
      </c>
      <c r="L1019">
        <v>0</v>
      </c>
      <c r="M1019" t="s">
        <v>20</v>
      </c>
      <c r="N1019">
        <f>L1019/500</f>
        <v>0</v>
      </c>
      <c r="P1019">
        <f>K1019/800</f>
        <v>1.9125000000000001</v>
      </c>
    </row>
    <row r="1020" spans="1:16" x14ac:dyDescent="0.35">
      <c r="A1020">
        <v>649</v>
      </c>
      <c r="B1020">
        <v>583005927</v>
      </c>
      <c r="C1020">
        <v>36980</v>
      </c>
      <c r="D1020" t="s">
        <v>101</v>
      </c>
      <c r="E1020" t="s">
        <v>324</v>
      </c>
      <c r="F1020" t="s">
        <v>102</v>
      </c>
      <c r="G1020" t="s">
        <v>103</v>
      </c>
      <c r="H1020" t="s">
        <v>17</v>
      </c>
      <c r="I1020" t="s">
        <v>18</v>
      </c>
      <c r="J1020" t="s">
        <v>19</v>
      </c>
      <c r="K1020">
        <v>45</v>
      </c>
      <c r="L1020">
        <v>0</v>
      </c>
      <c r="M1020" t="s">
        <v>20</v>
      </c>
      <c r="N1020">
        <f>L1020/500</f>
        <v>0</v>
      </c>
      <c r="P1020">
        <f>K1020/800</f>
        <v>5.6250000000000001E-2</v>
      </c>
    </row>
    <row r="1021" spans="1:16" x14ac:dyDescent="0.35">
      <c r="A1021">
        <v>24</v>
      </c>
      <c r="B1021">
        <v>583005019</v>
      </c>
      <c r="C1021">
        <v>35700</v>
      </c>
      <c r="D1021" t="s">
        <v>60</v>
      </c>
      <c r="E1021" t="s">
        <v>14</v>
      </c>
      <c r="F1021" t="s">
        <v>61</v>
      </c>
      <c r="G1021" t="s">
        <v>62</v>
      </c>
      <c r="H1021" t="s">
        <v>17</v>
      </c>
      <c r="I1021" t="s">
        <v>63</v>
      </c>
      <c r="J1021" t="s">
        <v>64</v>
      </c>
      <c r="K1021">
        <v>569</v>
      </c>
      <c r="L1021">
        <v>1007.13</v>
      </c>
      <c r="M1021" t="s">
        <v>20</v>
      </c>
      <c r="N1021">
        <f>L1021/500</f>
        <v>2.0142600000000002</v>
      </c>
    </row>
    <row r="1022" spans="1:16" x14ac:dyDescent="0.35">
      <c r="A1022">
        <v>593</v>
      </c>
      <c r="B1022">
        <v>583005850</v>
      </c>
      <c r="C1022">
        <v>36861</v>
      </c>
      <c r="D1022" t="s">
        <v>60</v>
      </c>
      <c r="E1022" t="s">
        <v>318</v>
      </c>
      <c r="F1022" t="s">
        <v>61</v>
      </c>
      <c r="G1022" t="s">
        <v>62</v>
      </c>
      <c r="H1022" t="s">
        <v>17</v>
      </c>
      <c r="I1022" t="s">
        <v>18</v>
      </c>
      <c r="J1022" t="s">
        <v>19</v>
      </c>
      <c r="K1022">
        <v>57</v>
      </c>
      <c r="L1022">
        <v>0</v>
      </c>
      <c r="M1022" t="s">
        <v>20</v>
      </c>
      <c r="N1022">
        <f>L1022/500</f>
        <v>0</v>
      </c>
      <c r="P1022">
        <f>K1022/800</f>
        <v>7.1249999999999994E-2</v>
      </c>
    </row>
    <row r="1023" spans="1:16" x14ac:dyDescent="0.35">
      <c r="A1023">
        <v>595</v>
      </c>
      <c r="B1023">
        <v>583005851</v>
      </c>
      <c r="C1023">
        <v>36862</v>
      </c>
      <c r="D1023" t="s">
        <v>60</v>
      </c>
      <c r="E1023" t="s">
        <v>318</v>
      </c>
      <c r="F1023" t="s">
        <v>61</v>
      </c>
      <c r="G1023" t="s">
        <v>62</v>
      </c>
      <c r="H1023" t="s">
        <v>17</v>
      </c>
      <c r="I1023" t="s">
        <v>18</v>
      </c>
      <c r="J1023" t="s">
        <v>19</v>
      </c>
      <c r="K1023">
        <v>81</v>
      </c>
      <c r="L1023">
        <v>0</v>
      </c>
      <c r="M1023" t="s">
        <v>20</v>
      </c>
      <c r="N1023">
        <f>L1023/500</f>
        <v>0</v>
      </c>
      <c r="P1023">
        <f>K1023/800</f>
        <v>0.10125000000000001</v>
      </c>
    </row>
    <row r="1024" spans="1:16" x14ac:dyDescent="0.35">
      <c r="A1024">
        <v>785</v>
      </c>
      <c r="B1024">
        <v>583006165</v>
      </c>
      <c r="C1024">
        <v>37295</v>
      </c>
      <c r="D1024" t="s">
        <v>60</v>
      </c>
      <c r="E1024" t="s">
        <v>360</v>
      </c>
      <c r="F1024" t="s">
        <v>61</v>
      </c>
      <c r="G1024" t="s">
        <v>62</v>
      </c>
      <c r="H1024" t="s">
        <v>17</v>
      </c>
      <c r="I1024" t="s">
        <v>18</v>
      </c>
      <c r="J1024" t="s">
        <v>19</v>
      </c>
      <c r="K1024">
        <v>120</v>
      </c>
      <c r="L1024">
        <v>0</v>
      </c>
      <c r="M1024" t="s">
        <v>20</v>
      </c>
      <c r="N1024">
        <f>L1024/500</f>
        <v>0</v>
      </c>
      <c r="P1024">
        <f>K1024/800</f>
        <v>0.15</v>
      </c>
    </row>
    <row r="1025" spans="1:16" x14ac:dyDescent="0.35">
      <c r="A1025">
        <v>786</v>
      </c>
      <c r="B1025">
        <v>583006165</v>
      </c>
      <c r="C1025">
        <v>37295</v>
      </c>
      <c r="D1025" t="s">
        <v>60</v>
      </c>
      <c r="E1025" t="s">
        <v>360</v>
      </c>
      <c r="F1025" t="s">
        <v>61</v>
      </c>
      <c r="G1025" t="s">
        <v>62</v>
      </c>
      <c r="H1025" t="s">
        <v>17</v>
      </c>
      <c r="I1025" t="s">
        <v>18</v>
      </c>
      <c r="J1025" t="s">
        <v>19</v>
      </c>
      <c r="K1025">
        <v>45</v>
      </c>
      <c r="L1025">
        <v>0</v>
      </c>
      <c r="M1025" t="s">
        <v>20</v>
      </c>
      <c r="N1025">
        <f>L1025/500</f>
        <v>0</v>
      </c>
      <c r="P1025">
        <f>K1025/800</f>
        <v>5.6250000000000001E-2</v>
      </c>
    </row>
    <row r="1026" spans="1:16" x14ac:dyDescent="0.35">
      <c r="A1026">
        <v>789</v>
      </c>
      <c r="B1026">
        <v>583006172</v>
      </c>
      <c r="C1026">
        <v>37303</v>
      </c>
      <c r="D1026" t="s">
        <v>60</v>
      </c>
      <c r="E1026" t="s">
        <v>360</v>
      </c>
      <c r="F1026" t="s">
        <v>61</v>
      </c>
      <c r="G1026" t="s">
        <v>62</v>
      </c>
      <c r="H1026" t="s">
        <v>17</v>
      </c>
      <c r="I1026" t="s">
        <v>18</v>
      </c>
      <c r="J1026" t="s">
        <v>19</v>
      </c>
      <c r="K1026">
        <v>42</v>
      </c>
      <c r="L1026">
        <v>0</v>
      </c>
      <c r="M1026" t="s">
        <v>20</v>
      </c>
      <c r="N1026">
        <f>L1026/500</f>
        <v>0</v>
      </c>
      <c r="P1026">
        <f>K1026/800</f>
        <v>5.2499999999999998E-2</v>
      </c>
    </row>
    <row r="1027" spans="1:16" x14ac:dyDescent="0.35">
      <c r="A1027">
        <v>791</v>
      </c>
      <c r="B1027">
        <v>583006170</v>
      </c>
      <c r="C1027">
        <v>37301</v>
      </c>
      <c r="D1027" t="s">
        <v>60</v>
      </c>
      <c r="E1027" t="s">
        <v>360</v>
      </c>
      <c r="F1027" t="s">
        <v>61</v>
      </c>
      <c r="G1027" t="s">
        <v>62</v>
      </c>
      <c r="H1027" t="s">
        <v>17</v>
      </c>
      <c r="I1027" t="s">
        <v>18</v>
      </c>
      <c r="J1027" t="s">
        <v>19</v>
      </c>
      <c r="K1027">
        <v>87</v>
      </c>
      <c r="L1027">
        <v>0</v>
      </c>
      <c r="M1027" t="s">
        <v>20</v>
      </c>
      <c r="N1027">
        <f>L1027/500</f>
        <v>0</v>
      </c>
      <c r="P1027">
        <f>K1027/800</f>
        <v>0.10875</v>
      </c>
    </row>
    <row r="1028" spans="1:16" x14ac:dyDescent="0.35">
      <c r="A1028">
        <v>792</v>
      </c>
      <c r="B1028">
        <v>583006166</v>
      </c>
      <c r="C1028">
        <v>37297</v>
      </c>
      <c r="D1028" t="s">
        <v>60</v>
      </c>
      <c r="E1028" t="s">
        <v>360</v>
      </c>
      <c r="F1028" t="s">
        <v>61</v>
      </c>
      <c r="G1028" t="s">
        <v>62</v>
      </c>
      <c r="H1028" t="s">
        <v>17</v>
      </c>
      <c r="I1028" t="s">
        <v>18</v>
      </c>
      <c r="J1028" t="s">
        <v>19</v>
      </c>
      <c r="K1028">
        <v>51</v>
      </c>
      <c r="L1028">
        <v>0</v>
      </c>
      <c r="M1028" t="s">
        <v>20</v>
      </c>
      <c r="N1028">
        <f>L1028/500</f>
        <v>0</v>
      </c>
      <c r="P1028">
        <f>K1028/800</f>
        <v>6.3750000000000001E-2</v>
      </c>
    </row>
    <row r="1029" spans="1:16" x14ac:dyDescent="0.35">
      <c r="A1029">
        <v>794</v>
      </c>
      <c r="B1029">
        <v>583006166</v>
      </c>
      <c r="C1029">
        <v>37297</v>
      </c>
      <c r="D1029" t="s">
        <v>60</v>
      </c>
      <c r="E1029" t="s">
        <v>360</v>
      </c>
      <c r="F1029" t="s">
        <v>61</v>
      </c>
      <c r="G1029" t="s">
        <v>62</v>
      </c>
      <c r="H1029" t="s">
        <v>17</v>
      </c>
      <c r="I1029" t="s">
        <v>18</v>
      </c>
      <c r="J1029" t="s">
        <v>19</v>
      </c>
      <c r="K1029">
        <v>45</v>
      </c>
      <c r="L1029">
        <v>0</v>
      </c>
      <c r="M1029" t="s">
        <v>20</v>
      </c>
      <c r="N1029">
        <f>L1029/500</f>
        <v>0</v>
      </c>
      <c r="P1029">
        <f>K1029/800</f>
        <v>5.6250000000000001E-2</v>
      </c>
    </row>
    <row r="1030" spans="1:16" x14ac:dyDescent="0.35">
      <c r="A1030">
        <v>795</v>
      </c>
      <c r="B1030">
        <v>583006164</v>
      </c>
      <c r="C1030">
        <v>37294</v>
      </c>
      <c r="D1030" t="s">
        <v>60</v>
      </c>
      <c r="E1030" t="s">
        <v>360</v>
      </c>
      <c r="F1030" t="s">
        <v>61</v>
      </c>
      <c r="G1030" t="s">
        <v>62</v>
      </c>
      <c r="H1030" t="s">
        <v>17</v>
      </c>
      <c r="I1030" t="s">
        <v>18</v>
      </c>
      <c r="J1030" t="s">
        <v>19</v>
      </c>
      <c r="K1030">
        <v>48</v>
      </c>
      <c r="L1030">
        <v>0</v>
      </c>
      <c r="M1030" t="s">
        <v>20</v>
      </c>
      <c r="N1030">
        <f>L1030/500</f>
        <v>0</v>
      </c>
      <c r="P1030">
        <f>K1030/800</f>
        <v>0.06</v>
      </c>
    </row>
    <row r="1031" spans="1:16" x14ac:dyDescent="0.35">
      <c r="A1031">
        <v>799</v>
      </c>
      <c r="B1031">
        <v>583006164</v>
      </c>
      <c r="C1031">
        <v>37294</v>
      </c>
      <c r="D1031" t="s">
        <v>60</v>
      </c>
      <c r="E1031" t="s">
        <v>360</v>
      </c>
      <c r="F1031" t="s">
        <v>61</v>
      </c>
      <c r="G1031" t="s">
        <v>62</v>
      </c>
      <c r="H1031" t="s">
        <v>17</v>
      </c>
      <c r="I1031" t="s">
        <v>18</v>
      </c>
      <c r="J1031" t="s">
        <v>19</v>
      </c>
      <c r="K1031">
        <v>102</v>
      </c>
      <c r="L1031">
        <v>0</v>
      </c>
      <c r="M1031" t="s">
        <v>20</v>
      </c>
      <c r="N1031">
        <f>L1031/500</f>
        <v>0</v>
      </c>
      <c r="P1031">
        <f>K1031/800</f>
        <v>0.1275</v>
      </c>
    </row>
    <row r="1032" spans="1:16" x14ac:dyDescent="0.35">
      <c r="A1032">
        <v>800</v>
      </c>
      <c r="B1032">
        <v>583006160</v>
      </c>
      <c r="C1032">
        <v>37290</v>
      </c>
      <c r="D1032" t="s">
        <v>60</v>
      </c>
      <c r="E1032" t="s">
        <v>360</v>
      </c>
      <c r="F1032" t="s">
        <v>61</v>
      </c>
      <c r="G1032" t="s">
        <v>62</v>
      </c>
      <c r="H1032" t="s">
        <v>17</v>
      </c>
      <c r="I1032" t="s">
        <v>18</v>
      </c>
      <c r="J1032" t="s">
        <v>19</v>
      </c>
      <c r="K1032">
        <v>39</v>
      </c>
      <c r="L1032">
        <v>0</v>
      </c>
      <c r="M1032" t="s">
        <v>20</v>
      </c>
      <c r="N1032">
        <f>L1032/500</f>
        <v>0</v>
      </c>
      <c r="P1032">
        <f>K1032/800</f>
        <v>4.8750000000000002E-2</v>
      </c>
    </row>
    <row r="1033" spans="1:16" x14ac:dyDescent="0.35">
      <c r="A1033">
        <v>801</v>
      </c>
      <c r="B1033">
        <v>583006160</v>
      </c>
      <c r="C1033">
        <v>37290</v>
      </c>
      <c r="D1033" t="s">
        <v>60</v>
      </c>
      <c r="E1033" t="s">
        <v>360</v>
      </c>
      <c r="F1033" t="s">
        <v>61</v>
      </c>
      <c r="G1033" t="s">
        <v>62</v>
      </c>
      <c r="H1033" t="s">
        <v>17</v>
      </c>
      <c r="I1033" t="s">
        <v>18</v>
      </c>
      <c r="J1033" t="s">
        <v>19</v>
      </c>
      <c r="K1033">
        <v>45</v>
      </c>
      <c r="L1033">
        <v>0</v>
      </c>
      <c r="M1033" t="s">
        <v>20</v>
      </c>
      <c r="N1033">
        <f>L1033/500</f>
        <v>0</v>
      </c>
      <c r="P1033">
        <f>K1033/800</f>
        <v>5.6250000000000001E-2</v>
      </c>
    </row>
    <row r="1034" spans="1:16" x14ac:dyDescent="0.35">
      <c r="A1034">
        <v>802</v>
      </c>
      <c r="B1034">
        <v>583006160</v>
      </c>
      <c r="C1034">
        <v>37290</v>
      </c>
      <c r="D1034" t="s">
        <v>60</v>
      </c>
      <c r="E1034" t="s">
        <v>360</v>
      </c>
      <c r="F1034" t="s">
        <v>61</v>
      </c>
      <c r="G1034" t="s">
        <v>62</v>
      </c>
      <c r="H1034" t="s">
        <v>17</v>
      </c>
      <c r="I1034" t="s">
        <v>18</v>
      </c>
      <c r="J1034" t="s">
        <v>19</v>
      </c>
      <c r="K1034">
        <v>90</v>
      </c>
      <c r="L1034">
        <v>0</v>
      </c>
      <c r="M1034" t="s">
        <v>20</v>
      </c>
      <c r="N1034">
        <f>L1034/500</f>
        <v>0</v>
      </c>
      <c r="P1034">
        <f>K1034/800</f>
        <v>0.1125</v>
      </c>
    </row>
    <row r="1035" spans="1:16" x14ac:dyDescent="0.35">
      <c r="A1035">
        <v>824</v>
      </c>
      <c r="B1035">
        <v>583006163</v>
      </c>
      <c r="C1035">
        <v>37293</v>
      </c>
      <c r="D1035" t="s">
        <v>60</v>
      </c>
      <c r="E1035" t="s">
        <v>360</v>
      </c>
      <c r="F1035" t="s">
        <v>61</v>
      </c>
      <c r="G1035" t="s">
        <v>62</v>
      </c>
      <c r="H1035" t="s">
        <v>17</v>
      </c>
      <c r="I1035" t="s">
        <v>18</v>
      </c>
      <c r="J1035" t="s">
        <v>19</v>
      </c>
      <c r="K1035">
        <v>237</v>
      </c>
      <c r="L1035">
        <v>0</v>
      </c>
      <c r="M1035" t="s">
        <v>20</v>
      </c>
      <c r="N1035">
        <f>L1035/500</f>
        <v>0</v>
      </c>
      <c r="P1035">
        <f>K1035/800</f>
        <v>0.29625000000000001</v>
      </c>
    </row>
    <row r="1036" spans="1:16" x14ac:dyDescent="0.35">
      <c r="A1036">
        <v>828</v>
      </c>
      <c r="B1036">
        <v>583006159</v>
      </c>
      <c r="C1036">
        <v>37289</v>
      </c>
      <c r="D1036" t="s">
        <v>60</v>
      </c>
      <c r="E1036" t="s">
        <v>360</v>
      </c>
      <c r="F1036" t="s">
        <v>61</v>
      </c>
      <c r="G1036" t="s">
        <v>62</v>
      </c>
      <c r="H1036" t="s">
        <v>17</v>
      </c>
      <c r="I1036" t="s">
        <v>18</v>
      </c>
      <c r="J1036" t="s">
        <v>19</v>
      </c>
      <c r="K1036">
        <v>180</v>
      </c>
      <c r="L1036">
        <v>0</v>
      </c>
      <c r="M1036" t="s">
        <v>20</v>
      </c>
      <c r="N1036">
        <f>L1036/500</f>
        <v>0</v>
      </c>
      <c r="P1036">
        <f>K1036/800</f>
        <v>0.22500000000000001</v>
      </c>
    </row>
    <row r="1037" spans="1:16" x14ac:dyDescent="0.35">
      <c r="A1037">
        <v>829</v>
      </c>
      <c r="B1037">
        <v>583006159</v>
      </c>
      <c r="C1037">
        <v>37289</v>
      </c>
      <c r="D1037" t="s">
        <v>60</v>
      </c>
      <c r="E1037" t="s">
        <v>360</v>
      </c>
      <c r="F1037" t="s">
        <v>61</v>
      </c>
      <c r="G1037" t="s">
        <v>62</v>
      </c>
      <c r="H1037" t="s">
        <v>17</v>
      </c>
      <c r="I1037" t="s">
        <v>18</v>
      </c>
      <c r="J1037" t="s">
        <v>19</v>
      </c>
      <c r="K1037">
        <v>90</v>
      </c>
      <c r="L1037">
        <v>0</v>
      </c>
      <c r="M1037" t="s">
        <v>20</v>
      </c>
      <c r="N1037">
        <f>L1037/500</f>
        <v>0</v>
      </c>
      <c r="P1037">
        <f>K1037/800</f>
        <v>0.1125</v>
      </c>
    </row>
    <row r="1038" spans="1:16" x14ac:dyDescent="0.35">
      <c r="A1038">
        <v>846</v>
      </c>
      <c r="B1038">
        <v>583006174</v>
      </c>
      <c r="C1038">
        <v>37305</v>
      </c>
      <c r="D1038" t="s">
        <v>60</v>
      </c>
      <c r="E1038" t="s">
        <v>360</v>
      </c>
      <c r="F1038" t="s">
        <v>61</v>
      </c>
      <c r="G1038" t="s">
        <v>62</v>
      </c>
      <c r="H1038" t="s">
        <v>17</v>
      </c>
      <c r="I1038" t="s">
        <v>18</v>
      </c>
      <c r="J1038" t="s">
        <v>19</v>
      </c>
      <c r="K1038">
        <v>81</v>
      </c>
      <c r="L1038">
        <v>0</v>
      </c>
      <c r="M1038" t="s">
        <v>20</v>
      </c>
      <c r="N1038">
        <f>L1038/500</f>
        <v>0</v>
      </c>
      <c r="P1038">
        <f>K1038/800</f>
        <v>0.10125000000000001</v>
      </c>
    </row>
    <row r="1039" spans="1:16" x14ac:dyDescent="0.35">
      <c r="A1039">
        <v>860</v>
      </c>
      <c r="B1039">
        <v>583006172</v>
      </c>
      <c r="C1039">
        <v>37303</v>
      </c>
      <c r="D1039" t="s">
        <v>60</v>
      </c>
      <c r="E1039" t="s">
        <v>360</v>
      </c>
      <c r="F1039" t="s">
        <v>61</v>
      </c>
      <c r="G1039" t="s">
        <v>62</v>
      </c>
      <c r="H1039" t="s">
        <v>17</v>
      </c>
      <c r="I1039" t="s">
        <v>18</v>
      </c>
      <c r="J1039" t="s">
        <v>19</v>
      </c>
      <c r="K1039">
        <v>72</v>
      </c>
      <c r="L1039">
        <v>0</v>
      </c>
      <c r="M1039" t="s">
        <v>20</v>
      </c>
      <c r="N1039">
        <f>L1039/500</f>
        <v>0</v>
      </c>
      <c r="P1039">
        <f>K1039/800</f>
        <v>0.09</v>
      </c>
    </row>
    <row r="1040" spans="1:16" x14ac:dyDescent="0.35">
      <c r="A1040">
        <v>861</v>
      </c>
      <c r="B1040">
        <v>583006167</v>
      </c>
      <c r="C1040">
        <v>37298</v>
      </c>
      <c r="D1040" t="s">
        <v>60</v>
      </c>
      <c r="E1040" t="s">
        <v>360</v>
      </c>
      <c r="F1040" t="s">
        <v>61</v>
      </c>
      <c r="G1040" t="s">
        <v>62</v>
      </c>
      <c r="H1040" t="s">
        <v>17</v>
      </c>
      <c r="I1040" t="s">
        <v>18</v>
      </c>
      <c r="J1040" t="s">
        <v>19</v>
      </c>
      <c r="K1040">
        <v>18</v>
      </c>
      <c r="L1040">
        <v>0</v>
      </c>
      <c r="M1040" t="s">
        <v>20</v>
      </c>
      <c r="N1040">
        <f>L1040/500</f>
        <v>0</v>
      </c>
      <c r="P1040">
        <f>K1040/800</f>
        <v>2.2499999999999999E-2</v>
      </c>
    </row>
    <row r="1041" spans="1:16" x14ac:dyDescent="0.35">
      <c r="A1041">
        <v>862</v>
      </c>
      <c r="B1041">
        <v>583006173</v>
      </c>
      <c r="C1041">
        <v>37304</v>
      </c>
      <c r="D1041" t="s">
        <v>60</v>
      </c>
      <c r="E1041" t="s">
        <v>360</v>
      </c>
      <c r="F1041" t="s">
        <v>61</v>
      </c>
      <c r="G1041" t="s">
        <v>62</v>
      </c>
      <c r="H1041" t="s">
        <v>17</v>
      </c>
      <c r="I1041" t="s">
        <v>18</v>
      </c>
      <c r="J1041" t="s">
        <v>19</v>
      </c>
      <c r="K1041">
        <v>90</v>
      </c>
      <c r="L1041">
        <v>0</v>
      </c>
      <c r="M1041" t="s">
        <v>20</v>
      </c>
      <c r="N1041">
        <f>L1041/500</f>
        <v>0</v>
      </c>
      <c r="P1041">
        <f>K1041/800</f>
        <v>0.1125</v>
      </c>
    </row>
    <row r="1042" spans="1:16" x14ac:dyDescent="0.35">
      <c r="A1042">
        <v>97</v>
      </c>
      <c r="B1042">
        <v>583005152</v>
      </c>
      <c r="C1042">
        <v>35889</v>
      </c>
      <c r="D1042" t="s">
        <v>150</v>
      </c>
      <c r="E1042" t="s">
        <v>126</v>
      </c>
      <c r="F1042" t="s">
        <v>151</v>
      </c>
      <c r="G1042" t="s">
        <v>152</v>
      </c>
      <c r="H1042" t="s">
        <v>17</v>
      </c>
      <c r="I1042" t="s">
        <v>63</v>
      </c>
      <c r="J1042" t="s">
        <v>64</v>
      </c>
      <c r="K1042">
        <v>40</v>
      </c>
      <c r="L1042">
        <v>70.8</v>
      </c>
      <c r="M1042" t="s">
        <v>20</v>
      </c>
      <c r="N1042">
        <f>L1042/500</f>
        <v>0.1416</v>
      </c>
    </row>
    <row r="1043" spans="1:16" x14ac:dyDescent="0.35">
      <c r="A1043">
        <v>624</v>
      </c>
      <c r="B1043">
        <v>583005972</v>
      </c>
      <c r="C1043">
        <v>37035</v>
      </c>
      <c r="D1043" t="s">
        <v>78</v>
      </c>
      <c r="E1043" t="s">
        <v>324</v>
      </c>
      <c r="F1043" t="s">
        <v>79</v>
      </c>
      <c r="G1043" t="s">
        <v>80</v>
      </c>
      <c r="H1043" t="s">
        <v>17</v>
      </c>
      <c r="I1043" t="s">
        <v>63</v>
      </c>
      <c r="J1043" t="s">
        <v>64</v>
      </c>
      <c r="K1043">
        <v>1344</v>
      </c>
      <c r="L1043">
        <v>2378.88</v>
      </c>
      <c r="M1043" t="s">
        <v>20</v>
      </c>
      <c r="N1043">
        <f>L1043/500</f>
        <v>4.7577600000000002</v>
      </c>
    </row>
    <row r="1044" spans="1:16" x14ac:dyDescent="0.35">
      <c r="A1044">
        <v>139</v>
      </c>
      <c r="B1044">
        <v>583005232</v>
      </c>
      <c r="C1044">
        <v>35992</v>
      </c>
      <c r="D1044" t="s">
        <v>178</v>
      </c>
      <c r="E1044" t="s">
        <v>177</v>
      </c>
      <c r="F1044" t="s">
        <v>179</v>
      </c>
      <c r="G1044" t="s">
        <v>180</v>
      </c>
      <c r="H1044" t="s">
        <v>17</v>
      </c>
      <c r="I1044" t="s">
        <v>63</v>
      </c>
      <c r="J1044" t="s">
        <v>64</v>
      </c>
      <c r="K1044">
        <v>645</v>
      </c>
      <c r="L1044">
        <v>1141.6500000000001</v>
      </c>
      <c r="M1044" t="s">
        <v>20</v>
      </c>
      <c r="N1044">
        <f>L1044/500</f>
        <v>2.2833000000000001</v>
      </c>
    </row>
    <row r="1045" spans="1:16" x14ac:dyDescent="0.35">
      <c r="A1045">
        <v>140</v>
      </c>
      <c r="B1045">
        <v>583005232</v>
      </c>
      <c r="C1045">
        <v>35992</v>
      </c>
      <c r="D1045" t="s">
        <v>178</v>
      </c>
      <c r="E1045" t="s">
        <v>177</v>
      </c>
      <c r="F1045" t="s">
        <v>179</v>
      </c>
      <c r="G1045" t="s">
        <v>180</v>
      </c>
      <c r="H1045" t="s">
        <v>17</v>
      </c>
      <c r="I1045" t="s">
        <v>63</v>
      </c>
      <c r="J1045" t="s">
        <v>64</v>
      </c>
      <c r="K1045">
        <v>1</v>
      </c>
      <c r="L1045">
        <v>1.65</v>
      </c>
      <c r="M1045" t="s">
        <v>20</v>
      </c>
      <c r="N1045">
        <f>L1045/500</f>
        <v>3.3E-3</v>
      </c>
    </row>
    <row r="1046" spans="1:16" x14ac:dyDescent="0.35">
      <c r="A1046">
        <v>950</v>
      </c>
      <c r="B1046">
        <v>583006328</v>
      </c>
      <c r="C1046">
        <v>37506</v>
      </c>
      <c r="D1046" t="s">
        <v>178</v>
      </c>
      <c r="E1046" t="s">
        <v>386</v>
      </c>
      <c r="F1046" t="s">
        <v>179</v>
      </c>
      <c r="G1046" t="s">
        <v>180</v>
      </c>
      <c r="H1046" t="s">
        <v>17</v>
      </c>
      <c r="I1046" t="s">
        <v>63</v>
      </c>
      <c r="J1046" t="s">
        <v>64</v>
      </c>
      <c r="K1046">
        <v>412</v>
      </c>
      <c r="L1046">
        <v>729.24</v>
      </c>
      <c r="M1046" t="s">
        <v>20</v>
      </c>
      <c r="N1046">
        <f>L1046/500</f>
        <v>1.45848</v>
      </c>
    </row>
    <row r="1047" spans="1:16" x14ac:dyDescent="0.35">
      <c r="A1047">
        <v>75</v>
      </c>
      <c r="B1047">
        <v>583005089</v>
      </c>
      <c r="C1047">
        <v>35808</v>
      </c>
      <c r="D1047" t="s">
        <v>122</v>
      </c>
      <c r="E1047" t="s">
        <v>81</v>
      </c>
      <c r="F1047" t="s">
        <v>123</v>
      </c>
      <c r="G1047" t="s">
        <v>124</v>
      </c>
      <c r="H1047" t="s">
        <v>17</v>
      </c>
      <c r="I1047" t="s">
        <v>18</v>
      </c>
      <c r="J1047" t="s">
        <v>19</v>
      </c>
      <c r="K1047">
        <v>21</v>
      </c>
      <c r="L1047">
        <v>0</v>
      </c>
      <c r="M1047" t="s">
        <v>20</v>
      </c>
      <c r="N1047">
        <f>L1047/500</f>
        <v>0</v>
      </c>
      <c r="P1047">
        <f>K1047/800</f>
        <v>2.6249999999999999E-2</v>
      </c>
    </row>
    <row r="1048" spans="1:16" x14ac:dyDescent="0.35">
      <c r="A1048">
        <v>237</v>
      </c>
      <c r="B1048">
        <v>583005361</v>
      </c>
      <c r="C1048">
        <v>36178</v>
      </c>
      <c r="D1048" t="s">
        <v>122</v>
      </c>
      <c r="E1048" t="s">
        <v>237</v>
      </c>
      <c r="F1048" t="s">
        <v>123</v>
      </c>
      <c r="G1048" t="s">
        <v>124</v>
      </c>
      <c r="H1048" t="s">
        <v>17</v>
      </c>
      <c r="I1048" t="s">
        <v>18</v>
      </c>
      <c r="J1048" t="s">
        <v>19</v>
      </c>
      <c r="K1048">
        <v>1008</v>
      </c>
      <c r="L1048">
        <v>0</v>
      </c>
      <c r="M1048" t="s">
        <v>20</v>
      </c>
      <c r="N1048">
        <f>L1048/500</f>
        <v>0</v>
      </c>
      <c r="P1048">
        <f>K1048/800</f>
        <v>1.26</v>
      </c>
    </row>
    <row r="1049" spans="1:16" x14ac:dyDescent="0.35">
      <c r="A1049">
        <v>867</v>
      </c>
      <c r="B1049">
        <v>583006114</v>
      </c>
      <c r="C1049">
        <v>37233</v>
      </c>
      <c r="D1049" t="s">
        <v>122</v>
      </c>
      <c r="E1049" t="s">
        <v>360</v>
      </c>
      <c r="F1049" t="s">
        <v>123</v>
      </c>
      <c r="G1049" t="s">
        <v>124</v>
      </c>
      <c r="H1049" t="s">
        <v>17</v>
      </c>
      <c r="I1049" t="s">
        <v>18</v>
      </c>
      <c r="J1049" t="s">
        <v>19</v>
      </c>
      <c r="K1049">
        <v>12</v>
      </c>
      <c r="L1049">
        <v>0</v>
      </c>
      <c r="M1049" t="s">
        <v>20</v>
      </c>
      <c r="N1049">
        <f>L1049/500</f>
        <v>0</v>
      </c>
      <c r="P1049">
        <f>K1049/800</f>
        <v>1.4999999999999999E-2</v>
      </c>
    </row>
    <row r="1050" spans="1:16" x14ac:dyDescent="0.35">
      <c r="A1050">
        <v>1149</v>
      </c>
      <c r="B1050">
        <v>583006642</v>
      </c>
      <c r="C1050">
        <v>37922</v>
      </c>
      <c r="D1050" t="s">
        <v>122</v>
      </c>
      <c r="E1050" t="s">
        <v>413</v>
      </c>
      <c r="F1050" t="s">
        <v>123</v>
      </c>
      <c r="G1050" t="s">
        <v>124</v>
      </c>
      <c r="H1050" t="s">
        <v>17</v>
      </c>
      <c r="I1050" t="s">
        <v>18</v>
      </c>
      <c r="J1050" t="s">
        <v>19</v>
      </c>
      <c r="K1050">
        <v>252</v>
      </c>
      <c r="L1050">
        <v>0</v>
      </c>
      <c r="M1050" t="s">
        <v>20</v>
      </c>
      <c r="N1050">
        <f>L1050/500</f>
        <v>0</v>
      </c>
      <c r="P1050">
        <f>K1050/800</f>
        <v>0.315</v>
      </c>
    </row>
    <row r="1051" spans="1:16" x14ac:dyDescent="0.35">
      <c r="A1051">
        <v>1269</v>
      </c>
      <c r="B1051">
        <v>583006713</v>
      </c>
      <c r="C1051">
        <v>38019</v>
      </c>
      <c r="D1051" t="s">
        <v>122</v>
      </c>
      <c r="E1051" t="s">
        <v>424</v>
      </c>
      <c r="F1051" t="s">
        <v>123</v>
      </c>
      <c r="G1051" t="s">
        <v>124</v>
      </c>
      <c r="H1051" t="s">
        <v>17</v>
      </c>
      <c r="I1051" t="s">
        <v>18</v>
      </c>
      <c r="J1051" t="s">
        <v>19</v>
      </c>
      <c r="K1051">
        <v>1209</v>
      </c>
      <c r="L1051">
        <v>0</v>
      </c>
      <c r="M1051" t="s">
        <v>20</v>
      </c>
      <c r="N1051">
        <f>L1051/500</f>
        <v>0</v>
      </c>
      <c r="P1051">
        <f>K1051/800</f>
        <v>1.51125</v>
      </c>
    </row>
    <row r="1052" spans="1:16" x14ac:dyDescent="0.35">
      <c r="A1052">
        <v>223</v>
      </c>
      <c r="B1052">
        <v>583005326</v>
      </c>
      <c r="C1052">
        <v>36127</v>
      </c>
      <c r="D1052" t="s">
        <v>226</v>
      </c>
      <c r="E1052" t="s">
        <v>217</v>
      </c>
      <c r="F1052" t="s">
        <v>227</v>
      </c>
      <c r="G1052" t="s">
        <v>228</v>
      </c>
      <c r="H1052" t="s">
        <v>17</v>
      </c>
      <c r="I1052" t="s">
        <v>18</v>
      </c>
      <c r="J1052" t="s">
        <v>19</v>
      </c>
      <c r="K1052">
        <v>1692</v>
      </c>
      <c r="L1052">
        <v>0</v>
      </c>
      <c r="M1052" t="s">
        <v>20</v>
      </c>
      <c r="N1052">
        <f>L1052/500</f>
        <v>0</v>
      </c>
      <c r="P1052">
        <f>K1052/800</f>
        <v>2.1150000000000002</v>
      </c>
    </row>
    <row r="1053" spans="1:16" x14ac:dyDescent="0.35">
      <c r="A1053">
        <v>224</v>
      </c>
      <c r="B1053">
        <v>583005326</v>
      </c>
      <c r="C1053">
        <v>36127</v>
      </c>
      <c r="D1053" t="s">
        <v>226</v>
      </c>
      <c r="E1053" t="s">
        <v>217</v>
      </c>
      <c r="F1053" t="s">
        <v>227</v>
      </c>
      <c r="G1053" t="s">
        <v>228</v>
      </c>
      <c r="H1053" t="s">
        <v>17</v>
      </c>
      <c r="I1053" t="s">
        <v>18</v>
      </c>
      <c r="J1053" t="s">
        <v>19</v>
      </c>
      <c r="K1053">
        <v>324</v>
      </c>
      <c r="L1053">
        <v>0</v>
      </c>
      <c r="M1053" t="s">
        <v>20</v>
      </c>
      <c r="N1053">
        <f>L1053/500</f>
        <v>0</v>
      </c>
      <c r="P1053">
        <f>K1053/800</f>
        <v>0.40500000000000003</v>
      </c>
    </row>
    <row r="1054" spans="1:16" x14ac:dyDescent="0.35">
      <c r="A1054">
        <v>1111</v>
      </c>
      <c r="B1054">
        <v>583006493</v>
      </c>
      <c r="C1054">
        <v>37729</v>
      </c>
      <c r="D1054" t="s">
        <v>226</v>
      </c>
      <c r="E1054" t="s">
        <v>404</v>
      </c>
      <c r="F1054" t="s">
        <v>227</v>
      </c>
      <c r="G1054" t="s">
        <v>228</v>
      </c>
      <c r="H1054" t="s">
        <v>17</v>
      </c>
      <c r="I1054" t="s">
        <v>18</v>
      </c>
      <c r="J1054" t="s">
        <v>19</v>
      </c>
      <c r="K1054">
        <v>90</v>
      </c>
      <c r="L1054">
        <v>0</v>
      </c>
      <c r="M1054" t="s">
        <v>20</v>
      </c>
      <c r="N1054">
        <f>L1054/500</f>
        <v>0</v>
      </c>
      <c r="P1054">
        <f>K1054/800</f>
        <v>0.1125</v>
      </c>
    </row>
    <row r="1055" spans="1:16" x14ac:dyDescent="0.35">
      <c r="A1055">
        <v>1113</v>
      </c>
      <c r="B1055">
        <v>583006493</v>
      </c>
      <c r="C1055">
        <v>37729</v>
      </c>
      <c r="D1055" t="s">
        <v>226</v>
      </c>
      <c r="E1055" t="s">
        <v>404</v>
      </c>
      <c r="F1055" t="s">
        <v>227</v>
      </c>
      <c r="G1055" t="s">
        <v>228</v>
      </c>
      <c r="H1055" t="s">
        <v>17</v>
      </c>
      <c r="I1055" t="s">
        <v>18</v>
      </c>
      <c r="J1055" t="s">
        <v>19</v>
      </c>
      <c r="K1055">
        <v>936</v>
      </c>
      <c r="L1055">
        <v>0</v>
      </c>
      <c r="M1055" t="s">
        <v>20</v>
      </c>
      <c r="N1055">
        <f>L1055/500</f>
        <v>0</v>
      </c>
      <c r="P1055">
        <f>K1055/800</f>
        <v>1.17</v>
      </c>
    </row>
    <row r="1056" spans="1:16" x14ac:dyDescent="0.35">
      <c r="A1056">
        <v>1115</v>
      </c>
      <c r="B1056">
        <v>583006493</v>
      </c>
      <c r="C1056">
        <v>37729</v>
      </c>
      <c r="D1056" t="s">
        <v>226</v>
      </c>
      <c r="E1056" t="s">
        <v>404</v>
      </c>
      <c r="F1056" t="s">
        <v>227</v>
      </c>
      <c r="G1056" t="s">
        <v>228</v>
      </c>
      <c r="H1056" t="s">
        <v>17</v>
      </c>
      <c r="I1056" t="s">
        <v>18</v>
      </c>
      <c r="J1056" t="s">
        <v>19</v>
      </c>
      <c r="K1056">
        <v>2958</v>
      </c>
      <c r="L1056">
        <v>0</v>
      </c>
      <c r="M1056" t="s">
        <v>20</v>
      </c>
      <c r="N1056">
        <f>L1056/500</f>
        <v>0</v>
      </c>
      <c r="P1056">
        <f>K1056/800</f>
        <v>3.6974999999999998</v>
      </c>
    </row>
    <row r="1057" spans="1:16" x14ac:dyDescent="0.35">
      <c r="A1057">
        <v>1177</v>
      </c>
      <c r="B1057">
        <v>583006566</v>
      </c>
      <c r="C1057">
        <v>37828</v>
      </c>
      <c r="D1057" t="s">
        <v>226</v>
      </c>
      <c r="E1057" t="s">
        <v>413</v>
      </c>
      <c r="F1057" t="s">
        <v>227</v>
      </c>
      <c r="G1057" t="s">
        <v>228</v>
      </c>
      <c r="H1057" t="s">
        <v>17</v>
      </c>
      <c r="I1057" t="s">
        <v>18</v>
      </c>
      <c r="J1057" t="s">
        <v>19</v>
      </c>
      <c r="K1057">
        <v>180</v>
      </c>
      <c r="L1057">
        <v>0</v>
      </c>
      <c r="M1057" t="s">
        <v>20</v>
      </c>
      <c r="N1057">
        <f>L1057/500</f>
        <v>0</v>
      </c>
      <c r="P1057">
        <f>K1057/800</f>
        <v>0.22500000000000001</v>
      </c>
    </row>
    <row r="1058" spans="1:16" x14ac:dyDescent="0.35">
      <c r="A1058">
        <v>1182</v>
      </c>
      <c r="B1058">
        <v>583006565</v>
      </c>
      <c r="C1058">
        <v>37827</v>
      </c>
      <c r="D1058" t="s">
        <v>226</v>
      </c>
      <c r="E1058" t="s">
        <v>413</v>
      </c>
      <c r="F1058" t="s">
        <v>227</v>
      </c>
      <c r="G1058" t="s">
        <v>228</v>
      </c>
      <c r="H1058" t="s">
        <v>17</v>
      </c>
      <c r="I1058" t="s">
        <v>18</v>
      </c>
      <c r="J1058" t="s">
        <v>19</v>
      </c>
      <c r="K1058">
        <v>72</v>
      </c>
      <c r="L1058">
        <v>0</v>
      </c>
      <c r="M1058" t="s">
        <v>20</v>
      </c>
      <c r="N1058">
        <f>L1058/500</f>
        <v>0</v>
      </c>
      <c r="P1058">
        <f>K1058/800</f>
        <v>0.09</v>
      </c>
    </row>
    <row r="1059" spans="1:16" x14ac:dyDescent="0.35">
      <c r="A1059">
        <v>1188</v>
      </c>
      <c r="B1059">
        <v>583006567</v>
      </c>
      <c r="C1059">
        <v>37829</v>
      </c>
      <c r="D1059" t="s">
        <v>226</v>
      </c>
      <c r="E1059" t="s">
        <v>413</v>
      </c>
      <c r="F1059" t="s">
        <v>227</v>
      </c>
      <c r="G1059" t="s">
        <v>228</v>
      </c>
      <c r="H1059" t="s">
        <v>17</v>
      </c>
      <c r="I1059" t="s">
        <v>18</v>
      </c>
      <c r="J1059" t="s">
        <v>19</v>
      </c>
      <c r="K1059">
        <v>225</v>
      </c>
      <c r="L1059">
        <v>0</v>
      </c>
      <c r="M1059" t="s">
        <v>20</v>
      </c>
      <c r="N1059">
        <f>L1059/500</f>
        <v>0</v>
      </c>
      <c r="P1059">
        <f>K1059/800</f>
        <v>0.28125</v>
      </c>
    </row>
    <row r="1060" spans="1:16" x14ac:dyDescent="0.35">
      <c r="A1060">
        <v>1266</v>
      </c>
      <c r="B1060">
        <v>583006679</v>
      </c>
      <c r="C1060">
        <v>37982</v>
      </c>
      <c r="D1060" t="s">
        <v>226</v>
      </c>
      <c r="E1060" t="s">
        <v>424</v>
      </c>
      <c r="F1060" t="s">
        <v>227</v>
      </c>
      <c r="G1060" t="s">
        <v>228</v>
      </c>
      <c r="H1060" t="s">
        <v>17</v>
      </c>
      <c r="I1060" t="s">
        <v>18</v>
      </c>
      <c r="J1060" t="s">
        <v>19</v>
      </c>
      <c r="K1060">
        <v>36</v>
      </c>
      <c r="L1060">
        <v>0</v>
      </c>
      <c r="M1060" t="s">
        <v>20</v>
      </c>
      <c r="N1060">
        <f>L1060/500</f>
        <v>0</v>
      </c>
      <c r="P1060">
        <f>K1060/800</f>
        <v>4.4999999999999998E-2</v>
      </c>
    </row>
    <row r="1061" spans="1:16" x14ac:dyDescent="0.35">
      <c r="A1061">
        <v>1274</v>
      </c>
      <c r="B1061">
        <v>583006678</v>
      </c>
      <c r="C1061">
        <v>37981</v>
      </c>
      <c r="D1061" t="s">
        <v>226</v>
      </c>
      <c r="E1061" t="s">
        <v>424</v>
      </c>
      <c r="F1061" t="s">
        <v>227</v>
      </c>
      <c r="G1061" t="s">
        <v>228</v>
      </c>
      <c r="H1061" t="s">
        <v>17</v>
      </c>
      <c r="I1061" t="s">
        <v>18</v>
      </c>
      <c r="J1061" t="s">
        <v>19</v>
      </c>
      <c r="K1061">
        <v>9</v>
      </c>
      <c r="L1061">
        <v>0</v>
      </c>
      <c r="M1061" t="s">
        <v>20</v>
      </c>
      <c r="N1061">
        <f>L1061/500</f>
        <v>0</v>
      </c>
      <c r="P1061">
        <f>K1061/800</f>
        <v>1.125E-2</v>
      </c>
    </row>
    <row r="1062" spans="1:16" x14ac:dyDescent="0.35">
      <c r="A1062">
        <v>1405</v>
      </c>
      <c r="B1062">
        <v>583006836</v>
      </c>
      <c r="C1062">
        <v>38203</v>
      </c>
      <c r="D1062" t="s">
        <v>226</v>
      </c>
      <c r="E1062" t="s">
        <v>444</v>
      </c>
      <c r="F1062" t="s">
        <v>227</v>
      </c>
      <c r="G1062" t="s">
        <v>228</v>
      </c>
      <c r="H1062" t="s">
        <v>17</v>
      </c>
      <c r="I1062" t="s">
        <v>18</v>
      </c>
      <c r="J1062" t="s">
        <v>19</v>
      </c>
      <c r="K1062">
        <v>33</v>
      </c>
      <c r="L1062">
        <v>0</v>
      </c>
      <c r="M1062" t="s">
        <v>20</v>
      </c>
      <c r="N1062">
        <f>L1062/500</f>
        <v>0</v>
      </c>
      <c r="P1062">
        <f>K1062/800</f>
        <v>4.1250000000000002E-2</v>
      </c>
    </row>
    <row r="1063" spans="1:16" x14ac:dyDescent="0.35">
      <c r="A1063">
        <v>1406</v>
      </c>
      <c r="B1063">
        <v>583006838</v>
      </c>
      <c r="C1063">
        <v>38205</v>
      </c>
      <c r="D1063" t="s">
        <v>226</v>
      </c>
      <c r="E1063" t="s">
        <v>444</v>
      </c>
      <c r="F1063" t="s">
        <v>227</v>
      </c>
      <c r="G1063" t="s">
        <v>228</v>
      </c>
      <c r="H1063" t="s">
        <v>17</v>
      </c>
      <c r="I1063" t="s">
        <v>18</v>
      </c>
      <c r="J1063" t="s">
        <v>19</v>
      </c>
      <c r="K1063">
        <v>90</v>
      </c>
      <c r="L1063">
        <v>0</v>
      </c>
      <c r="M1063" t="s">
        <v>20</v>
      </c>
      <c r="N1063">
        <f>L1063/500</f>
        <v>0</v>
      </c>
      <c r="P1063">
        <f>K1063/800</f>
        <v>0.1125</v>
      </c>
    </row>
    <row r="1064" spans="1:16" x14ac:dyDescent="0.35">
      <c r="A1064">
        <v>408</v>
      </c>
      <c r="B1064">
        <v>583005581</v>
      </c>
      <c r="C1064">
        <v>36483</v>
      </c>
      <c r="D1064" t="s">
        <v>286</v>
      </c>
      <c r="E1064" t="s">
        <v>270</v>
      </c>
      <c r="F1064" t="s">
        <v>287</v>
      </c>
      <c r="G1064" t="s">
        <v>288</v>
      </c>
      <c r="H1064" t="s">
        <v>17</v>
      </c>
      <c r="I1064" t="s">
        <v>18</v>
      </c>
      <c r="J1064" t="s">
        <v>19</v>
      </c>
      <c r="K1064">
        <v>120</v>
      </c>
      <c r="L1064">
        <v>0</v>
      </c>
      <c r="M1064" t="s">
        <v>20</v>
      </c>
      <c r="N1064">
        <f>L1064/500</f>
        <v>0</v>
      </c>
      <c r="P1064">
        <f>K1064/800</f>
        <v>0.15</v>
      </c>
    </row>
    <row r="1065" spans="1:16" x14ac:dyDescent="0.35">
      <c r="A1065">
        <v>412</v>
      </c>
      <c r="B1065">
        <v>583005581</v>
      </c>
      <c r="C1065">
        <v>36483</v>
      </c>
      <c r="D1065" t="s">
        <v>286</v>
      </c>
      <c r="E1065" t="s">
        <v>270</v>
      </c>
      <c r="F1065" t="s">
        <v>287</v>
      </c>
      <c r="G1065" t="s">
        <v>288</v>
      </c>
      <c r="H1065" t="s">
        <v>17</v>
      </c>
      <c r="I1065" t="s">
        <v>18</v>
      </c>
      <c r="J1065" t="s">
        <v>19</v>
      </c>
      <c r="K1065">
        <v>1398</v>
      </c>
      <c r="L1065">
        <v>0</v>
      </c>
      <c r="M1065" t="s">
        <v>20</v>
      </c>
      <c r="N1065">
        <f>L1065/500</f>
        <v>0</v>
      </c>
      <c r="P1065">
        <f>K1065/800</f>
        <v>1.7475000000000001</v>
      </c>
    </row>
    <row r="1066" spans="1:16" x14ac:dyDescent="0.35">
      <c r="A1066">
        <v>415</v>
      </c>
      <c r="B1066">
        <v>583005581</v>
      </c>
      <c r="C1066">
        <v>36483</v>
      </c>
      <c r="D1066" t="s">
        <v>286</v>
      </c>
      <c r="E1066" t="s">
        <v>270</v>
      </c>
      <c r="F1066" t="s">
        <v>287</v>
      </c>
      <c r="G1066" t="s">
        <v>288</v>
      </c>
      <c r="H1066" t="s">
        <v>17</v>
      </c>
      <c r="I1066" t="s">
        <v>18</v>
      </c>
      <c r="J1066" t="s">
        <v>19</v>
      </c>
      <c r="K1066">
        <v>135</v>
      </c>
      <c r="L1066">
        <v>0</v>
      </c>
      <c r="M1066" t="s">
        <v>20</v>
      </c>
      <c r="N1066">
        <f>L1066/500</f>
        <v>0</v>
      </c>
      <c r="P1066">
        <f>K1066/800</f>
        <v>0.16875000000000001</v>
      </c>
    </row>
    <row r="1067" spans="1:16" x14ac:dyDescent="0.35">
      <c r="A1067">
        <v>902</v>
      </c>
      <c r="B1067">
        <v>583006219</v>
      </c>
      <c r="C1067">
        <v>37358</v>
      </c>
      <c r="D1067" t="s">
        <v>286</v>
      </c>
      <c r="E1067" t="s">
        <v>367</v>
      </c>
      <c r="F1067" t="s">
        <v>287</v>
      </c>
      <c r="G1067" t="s">
        <v>288</v>
      </c>
      <c r="H1067" t="s">
        <v>17</v>
      </c>
      <c r="I1067" t="s">
        <v>18</v>
      </c>
      <c r="J1067" t="s">
        <v>19</v>
      </c>
      <c r="K1067">
        <v>72</v>
      </c>
      <c r="L1067">
        <v>0</v>
      </c>
      <c r="M1067" t="s">
        <v>20</v>
      </c>
      <c r="N1067">
        <f>L1067/500</f>
        <v>0</v>
      </c>
      <c r="P1067">
        <f>K1067/800</f>
        <v>0.09</v>
      </c>
    </row>
    <row r="1068" spans="1:16" x14ac:dyDescent="0.35">
      <c r="A1068">
        <v>1169</v>
      </c>
      <c r="B1068">
        <v>583006576</v>
      </c>
      <c r="C1068">
        <v>37838</v>
      </c>
      <c r="D1068" t="s">
        <v>286</v>
      </c>
      <c r="E1068" t="s">
        <v>413</v>
      </c>
      <c r="F1068" t="s">
        <v>287</v>
      </c>
      <c r="G1068" t="s">
        <v>288</v>
      </c>
      <c r="H1068" t="s">
        <v>17</v>
      </c>
      <c r="I1068" t="s">
        <v>18</v>
      </c>
      <c r="J1068" t="s">
        <v>19</v>
      </c>
      <c r="K1068">
        <v>240</v>
      </c>
      <c r="L1068">
        <v>0</v>
      </c>
      <c r="M1068" t="s">
        <v>20</v>
      </c>
      <c r="N1068">
        <f>L1068/500</f>
        <v>0</v>
      </c>
      <c r="P1068">
        <f>K1068/800</f>
        <v>0.3</v>
      </c>
    </row>
    <row r="1069" spans="1:16" x14ac:dyDescent="0.35">
      <c r="A1069">
        <v>1329</v>
      </c>
      <c r="B1069">
        <v>583006767</v>
      </c>
      <c r="C1069">
        <v>38101</v>
      </c>
      <c r="D1069" t="s">
        <v>286</v>
      </c>
      <c r="E1069" t="s">
        <v>434</v>
      </c>
      <c r="F1069" t="s">
        <v>287</v>
      </c>
      <c r="G1069" t="s">
        <v>288</v>
      </c>
      <c r="H1069" t="s">
        <v>17</v>
      </c>
      <c r="I1069" t="s">
        <v>18</v>
      </c>
      <c r="J1069" t="s">
        <v>19</v>
      </c>
      <c r="K1069">
        <v>108</v>
      </c>
      <c r="L1069">
        <v>0</v>
      </c>
      <c r="M1069" t="s">
        <v>20</v>
      </c>
      <c r="N1069">
        <f>L1069/500</f>
        <v>0</v>
      </c>
      <c r="P1069">
        <f>K1069/800</f>
        <v>0.13500000000000001</v>
      </c>
    </row>
    <row r="1070" spans="1:16" x14ac:dyDescent="0.35">
      <c r="A1070">
        <v>212</v>
      </c>
      <c r="B1070">
        <v>583005318</v>
      </c>
      <c r="C1070">
        <v>36119</v>
      </c>
      <c r="D1070" t="s">
        <v>220</v>
      </c>
      <c r="E1070" t="s">
        <v>217</v>
      </c>
      <c r="F1070" t="s">
        <v>221</v>
      </c>
      <c r="G1070" t="s">
        <v>222</v>
      </c>
      <c r="H1070" t="s">
        <v>17</v>
      </c>
      <c r="I1070" t="s">
        <v>63</v>
      </c>
      <c r="J1070" t="s">
        <v>64</v>
      </c>
      <c r="K1070">
        <v>33</v>
      </c>
      <c r="L1070">
        <v>58.41</v>
      </c>
      <c r="M1070" t="s">
        <v>20</v>
      </c>
      <c r="N1070">
        <f>L1070/500</f>
        <v>0.11681999999999999</v>
      </c>
    </row>
    <row r="1071" spans="1:16" x14ac:dyDescent="0.35">
      <c r="A1071">
        <v>686</v>
      </c>
      <c r="B1071">
        <v>583005975</v>
      </c>
      <c r="C1071">
        <v>37048</v>
      </c>
      <c r="D1071" t="s">
        <v>220</v>
      </c>
      <c r="E1071" t="s">
        <v>343</v>
      </c>
      <c r="F1071" t="s">
        <v>221</v>
      </c>
      <c r="G1071" t="s">
        <v>222</v>
      </c>
      <c r="H1071" t="s">
        <v>17</v>
      </c>
      <c r="I1071" t="s">
        <v>18</v>
      </c>
      <c r="J1071" t="s">
        <v>19</v>
      </c>
      <c r="K1071">
        <v>90</v>
      </c>
      <c r="L1071">
        <v>0</v>
      </c>
      <c r="M1071" t="s">
        <v>20</v>
      </c>
      <c r="N1071">
        <f>L1071/500</f>
        <v>0</v>
      </c>
      <c r="P1071">
        <f>K1071/800</f>
        <v>0.1125</v>
      </c>
    </row>
    <row r="1072" spans="1:16" x14ac:dyDescent="0.35">
      <c r="A1072">
        <v>749</v>
      </c>
      <c r="B1072">
        <v>583006060</v>
      </c>
      <c r="C1072">
        <v>37158</v>
      </c>
      <c r="D1072" t="s">
        <v>357</v>
      </c>
      <c r="E1072" t="s">
        <v>347</v>
      </c>
      <c r="F1072" t="s">
        <v>358</v>
      </c>
      <c r="G1072" t="s">
        <v>359</v>
      </c>
      <c r="H1072" t="s">
        <v>17</v>
      </c>
      <c r="I1072" t="s">
        <v>63</v>
      </c>
      <c r="J1072" t="s">
        <v>64</v>
      </c>
      <c r="K1072">
        <v>17</v>
      </c>
      <c r="L1072">
        <v>30.09</v>
      </c>
      <c r="M1072" t="s">
        <v>20</v>
      </c>
      <c r="N1072">
        <f>L1072/500</f>
        <v>6.0179999999999997E-2</v>
      </c>
    </row>
    <row r="1073" spans="1:16" x14ac:dyDescent="0.35">
      <c r="A1073">
        <v>1457</v>
      </c>
      <c r="B1073">
        <v>583006919</v>
      </c>
      <c r="C1073">
        <v>38311</v>
      </c>
      <c r="D1073" t="s">
        <v>357</v>
      </c>
      <c r="E1073" t="s">
        <v>451</v>
      </c>
      <c r="F1073" t="s">
        <v>358</v>
      </c>
      <c r="G1073" t="s">
        <v>359</v>
      </c>
      <c r="H1073" t="s">
        <v>17</v>
      </c>
      <c r="I1073" t="s">
        <v>63</v>
      </c>
      <c r="J1073" t="s">
        <v>64</v>
      </c>
      <c r="K1073">
        <v>5</v>
      </c>
      <c r="L1073">
        <v>8.85</v>
      </c>
      <c r="M1073" t="s">
        <v>20</v>
      </c>
      <c r="N1073">
        <f>L1073/500</f>
        <v>1.77E-2</v>
      </c>
    </row>
    <row r="1074" spans="1:16" x14ac:dyDescent="0.35">
      <c r="A1074">
        <v>396</v>
      </c>
      <c r="B1074">
        <v>583005557</v>
      </c>
      <c r="C1074">
        <v>36451</v>
      </c>
      <c r="D1074" t="s">
        <v>280</v>
      </c>
      <c r="E1074" t="s">
        <v>270</v>
      </c>
      <c r="F1074" t="s">
        <v>281</v>
      </c>
      <c r="G1074" t="s">
        <v>282</v>
      </c>
      <c r="H1074" t="s">
        <v>17</v>
      </c>
      <c r="I1074" t="s">
        <v>18</v>
      </c>
      <c r="J1074" t="s">
        <v>19</v>
      </c>
      <c r="K1074">
        <v>45</v>
      </c>
      <c r="L1074">
        <v>0</v>
      </c>
      <c r="M1074" t="s">
        <v>20</v>
      </c>
      <c r="N1074">
        <f>L1074/500</f>
        <v>0</v>
      </c>
      <c r="P1074">
        <f>K1074/800</f>
        <v>5.6250000000000001E-2</v>
      </c>
    </row>
    <row r="1075" spans="1:16" x14ac:dyDescent="0.35">
      <c r="A1075">
        <v>525</v>
      </c>
      <c r="B1075">
        <v>583005795</v>
      </c>
      <c r="C1075">
        <v>36781</v>
      </c>
      <c r="D1075" t="s">
        <v>280</v>
      </c>
      <c r="E1075" t="s">
        <v>310</v>
      </c>
      <c r="F1075" t="s">
        <v>281</v>
      </c>
      <c r="G1075" t="s">
        <v>282</v>
      </c>
      <c r="H1075" t="s">
        <v>17</v>
      </c>
      <c r="I1075" t="s">
        <v>18</v>
      </c>
      <c r="J1075" t="s">
        <v>19</v>
      </c>
      <c r="K1075">
        <v>360</v>
      </c>
      <c r="L1075">
        <v>0</v>
      </c>
      <c r="M1075" t="s">
        <v>20</v>
      </c>
      <c r="N1075">
        <f>L1075/500</f>
        <v>0</v>
      </c>
      <c r="P1075">
        <f>K1075/800</f>
        <v>0.45</v>
      </c>
    </row>
    <row r="1076" spans="1:16" x14ac:dyDescent="0.35">
      <c r="A1076">
        <v>548</v>
      </c>
      <c r="B1076">
        <v>583005792</v>
      </c>
      <c r="C1076">
        <v>36778</v>
      </c>
      <c r="D1076" t="s">
        <v>280</v>
      </c>
      <c r="E1076" t="s">
        <v>310</v>
      </c>
      <c r="F1076" t="s">
        <v>281</v>
      </c>
      <c r="G1076" t="s">
        <v>282</v>
      </c>
      <c r="H1076" t="s">
        <v>17</v>
      </c>
      <c r="I1076" t="s">
        <v>18</v>
      </c>
      <c r="J1076" t="s">
        <v>19</v>
      </c>
      <c r="K1076">
        <v>45</v>
      </c>
      <c r="L1076">
        <v>0</v>
      </c>
      <c r="M1076" t="s">
        <v>20</v>
      </c>
      <c r="N1076">
        <f>L1076/500</f>
        <v>0</v>
      </c>
      <c r="P1076">
        <f>K1076/800</f>
        <v>5.6250000000000001E-2</v>
      </c>
    </row>
    <row r="1077" spans="1:16" x14ac:dyDescent="0.35">
      <c r="A1077">
        <v>550</v>
      </c>
      <c r="B1077">
        <v>583005796</v>
      </c>
      <c r="C1077">
        <v>36782</v>
      </c>
      <c r="D1077" t="s">
        <v>280</v>
      </c>
      <c r="E1077" t="s">
        <v>310</v>
      </c>
      <c r="F1077" t="s">
        <v>281</v>
      </c>
      <c r="G1077" t="s">
        <v>282</v>
      </c>
      <c r="H1077" t="s">
        <v>17</v>
      </c>
      <c r="I1077" t="s">
        <v>18</v>
      </c>
      <c r="J1077" t="s">
        <v>19</v>
      </c>
      <c r="K1077">
        <v>135</v>
      </c>
      <c r="L1077">
        <v>0</v>
      </c>
      <c r="M1077" t="s">
        <v>20</v>
      </c>
      <c r="N1077">
        <f>L1077/500</f>
        <v>0</v>
      </c>
      <c r="P1077">
        <f>K1077/800</f>
        <v>0.16875000000000001</v>
      </c>
    </row>
    <row r="1078" spans="1:16" x14ac:dyDescent="0.35">
      <c r="A1078">
        <v>551</v>
      </c>
      <c r="B1078">
        <v>583005793</v>
      </c>
      <c r="C1078">
        <v>36779</v>
      </c>
      <c r="D1078" t="s">
        <v>280</v>
      </c>
      <c r="E1078" t="s">
        <v>310</v>
      </c>
      <c r="F1078" t="s">
        <v>281</v>
      </c>
      <c r="G1078" t="s">
        <v>282</v>
      </c>
      <c r="H1078" t="s">
        <v>17</v>
      </c>
      <c r="I1078" t="s">
        <v>18</v>
      </c>
      <c r="J1078" t="s">
        <v>19</v>
      </c>
      <c r="K1078">
        <v>135</v>
      </c>
      <c r="L1078">
        <v>0</v>
      </c>
      <c r="M1078" t="s">
        <v>20</v>
      </c>
      <c r="N1078">
        <f>L1078/500</f>
        <v>0</v>
      </c>
      <c r="P1078">
        <f>K1078/800</f>
        <v>0.16875000000000001</v>
      </c>
    </row>
    <row r="1079" spans="1:16" x14ac:dyDescent="0.35">
      <c r="A1079">
        <v>552</v>
      </c>
      <c r="B1079">
        <v>583005794</v>
      </c>
      <c r="C1079">
        <v>36780</v>
      </c>
      <c r="D1079" t="s">
        <v>280</v>
      </c>
      <c r="E1079" t="s">
        <v>310</v>
      </c>
      <c r="F1079" t="s">
        <v>281</v>
      </c>
      <c r="G1079" t="s">
        <v>282</v>
      </c>
      <c r="H1079" t="s">
        <v>17</v>
      </c>
      <c r="I1079" t="s">
        <v>18</v>
      </c>
      <c r="J1079" t="s">
        <v>19</v>
      </c>
      <c r="K1079">
        <v>90</v>
      </c>
      <c r="L1079">
        <v>0</v>
      </c>
      <c r="M1079" t="s">
        <v>20</v>
      </c>
      <c r="N1079">
        <f>L1079/500</f>
        <v>0</v>
      </c>
      <c r="P1079">
        <f>K1079/800</f>
        <v>0.1125</v>
      </c>
    </row>
    <row r="1080" spans="1:16" x14ac:dyDescent="0.35">
      <c r="A1080">
        <v>553</v>
      </c>
      <c r="B1080">
        <v>583005794</v>
      </c>
      <c r="C1080">
        <v>36780</v>
      </c>
      <c r="D1080" t="s">
        <v>280</v>
      </c>
      <c r="E1080" t="s">
        <v>310</v>
      </c>
      <c r="F1080" t="s">
        <v>281</v>
      </c>
      <c r="G1080" t="s">
        <v>282</v>
      </c>
      <c r="H1080" t="s">
        <v>17</v>
      </c>
      <c r="I1080" t="s">
        <v>18</v>
      </c>
      <c r="J1080" t="s">
        <v>19</v>
      </c>
      <c r="K1080">
        <v>135</v>
      </c>
      <c r="L1080">
        <v>0</v>
      </c>
      <c r="M1080" t="s">
        <v>20</v>
      </c>
      <c r="N1080">
        <f>L1080/500</f>
        <v>0</v>
      </c>
      <c r="P1080">
        <f>K1080/800</f>
        <v>0.16875000000000001</v>
      </c>
    </row>
    <row r="1081" spans="1:16" x14ac:dyDescent="0.35">
      <c r="A1081">
        <v>1024</v>
      </c>
      <c r="B1081">
        <v>583006450</v>
      </c>
      <c r="C1081">
        <v>37663</v>
      </c>
      <c r="D1081" t="s">
        <v>280</v>
      </c>
      <c r="E1081" t="s">
        <v>393</v>
      </c>
      <c r="F1081" t="s">
        <v>281</v>
      </c>
      <c r="G1081" t="s">
        <v>282</v>
      </c>
      <c r="H1081" t="s">
        <v>17</v>
      </c>
      <c r="I1081" t="s">
        <v>18</v>
      </c>
      <c r="J1081" t="s">
        <v>19</v>
      </c>
      <c r="K1081">
        <v>432</v>
      </c>
      <c r="L1081">
        <v>0</v>
      </c>
      <c r="M1081" t="s">
        <v>20</v>
      </c>
      <c r="N1081">
        <f>L1081/500</f>
        <v>0</v>
      </c>
      <c r="P1081">
        <f>K1081/800</f>
        <v>0.54</v>
      </c>
    </row>
    <row r="1082" spans="1:16" x14ac:dyDescent="0.35">
      <c r="A1082">
        <v>1025</v>
      </c>
      <c r="B1082">
        <v>583006450</v>
      </c>
      <c r="C1082">
        <v>37663</v>
      </c>
      <c r="D1082" t="s">
        <v>280</v>
      </c>
      <c r="E1082" t="s">
        <v>393</v>
      </c>
      <c r="F1082" t="s">
        <v>281</v>
      </c>
      <c r="G1082" t="s">
        <v>282</v>
      </c>
      <c r="H1082" t="s">
        <v>17</v>
      </c>
      <c r="I1082" t="s">
        <v>18</v>
      </c>
      <c r="J1082" t="s">
        <v>19</v>
      </c>
      <c r="K1082">
        <v>174</v>
      </c>
      <c r="L1082">
        <v>0</v>
      </c>
      <c r="M1082" t="s">
        <v>20</v>
      </c>
      <c r="N1082">
        <f>L1082/500</f>
        <v>0</v>
      </c>
      <c r="P1082">
        <f>K1082/800</f>
        <v>0.2175</v>
      </c>
    </row>
    <row r="1083" spans="1:16" x14ac:dyDescent="0.35">
      <c r="A1083">
        <v>1026</v>
      </c>
      <c r="B1083">
        <v>583006450</v>
      </c>
      <c r="C1083">
        <v>37663</v>
      </c>
      <c r="D1083" t="s">
        <v>280</v>
      </c>
      <c r="E1083" t="s">
        <v>393</v>
      </c>
      <c r="F1083" t="s">
        <v>281</v>
      </c>
      <c r="G1083" t="s">
        <v>282</v>
      </c>
      <c r="H1083" t="s">
        <v>17</v>
      </c>
      <c r="I1083" t="s">
        <v>18</v>
      </c>
      <c r="J1083" t="s">
        <v>19</v>
      </c>
      <c r="K1083">
        <v>2094</v>
      </c>
      <c r="L1083">
        <v>0</v>
      </c>
      <c r="M1083" t="s">
        <v>20</v>
      </c>
      <c r="N1083">
        <f>L1083/500</f>
        <v>0</v>
      </c>
      <c r="P1083">
        <f>K1083/800</f>
        <v>2.6175000000000002</v>
      </c>
    </row>
    <row r="1084" spans="1:16" x14ac:dyDescent="0.35">
      <c r="A1084">
        <v>955</v>
      </c>
      <c r="B1084">
        <v>583006375</v>
      </c>
      <c r="C1084">
        <v>37567</v>
      </c>
      <c r="D1084" t="s">
        <v>390</v>
      </c>
      <c r="E1084" t="s">
        <v>386</v>
      </c>
      <c r="F1084" t="s">
        <v>391</v>
      </c>
      <c r="G1084" t="s">
        <v>392</v>
      </c>
      <c r="H1084" t="s">
        <v>17</v>
      </c>
      <c r="I1084" t="s">
        <v>63</v>
      </c>
      <c r="J1084" t="s">
        <v>64</v>
      </c>
      <c r="K1084">
        <v>25</v>
      </c>
      <c r="L1084">
        <v>41.25</v>
      </c>
      <c r="M1084" t="s">
        <v>20</v>
      </c>
      <c r="N1084">
        <f>L1084/500</f>
        <v>8.2500000000000004E-2</v>
      </c>
    </row>
    <row r="1085" spans="1:16" x14ac:dyDescent="0.35">
      <c r="A1085">
        <v>6</v>
      </c>
      <c r="B1085">
        <v>583005045</v>
      </c>
      <c r="C1085">
        <v>35739</v>
      </c>
      <c r="D1085" t="s">
        <v>36</v>
      </c>
      <c r="E1085" t="s">
        <v>14</v>
      </c>
      <c r="F1085" t="s">
        <v>37</v>
      </c>
      <c r="G1085" t="s">
        <v>38</v>
      </c>
      <c r="H1085" t="s">
        <v>17</v>
      </c>
      <c r="I1085" t="s">
        <v>18</v>
      </c>
      <c r="J1085" t="s">
        <v>19</v>
      </c>
      <c r="K1085">
        <v>90</v>
      </c>
      <c r="L1085">
        <v>0</v>
      </c>
      <c r="M1085" t="s">
        <v>20</v>
      </c>
      <c r="N1085">
        <f>L1085/500</f>
        <v>0</v>
      </c>
      <c r="P1085">
        <f>K1085/800</f>
        <v>0.1125</v>
      </c>
    </row>
    <row r="1086" spans="1:16" x14ac:dyDescent="0.35">
      <c r="A1086">
        <v>249</v>
      </c>
      <c r="B1086">
        <v>583005365</v>
      </c>
      <c r="C1086">
        <v>36183</v>
      </c>
      <c r="D1086" t="s">
        <v>36</v>
      </c>
      <c r="E1086" t="s">
        <v>237</v>
      </c>
      <c r="F1086" t="s">
        <v>37</v>
      </c>
      <c r="G1086" t="s">
        <v>38</v>
      </c>
      <c r="H1086" t="s">
        <v>17</v>
      </c>
      <c r="I1086" t="s">
        <v>18</v>
      </c>
      <c r="J1086" t="s">
        <v>19</v>
      </c>
      <c r="K1086">
        <v>72</v>
      </c>
      <c r="L1086">
        <v>0</v>
      </c>
      <c r="M1086" t="s">
        <v>20</v>
      </c>
      <c r="N1086">
        <f>L1086/500</f>
        <v>0</v>
      </c>
      <c r="P1086">
        <f>K1086/800</f>
        <v>0.09</v>
      </c>
    </row>
    <row r="1087" spans="1:16" x14ac:dyDescent="0.35">
      <c r="A1087">
        <v>250</v>
      </c>
      <c r="B1087">
        <v>583005365</v>
      </c>
      <c r="C1087">
        <v>36183</v>
      </c>
      <c r="D1087" t="s">
        <v>36</v>
      </c>
      <c r="E1087" t="s">
        <v>237</v>
      </c>
      <c r="F1087" t="s">
        <v>37</v>
      </c>
      <c r="G1087" t="s">
        <v>38</v>
      </c>
      <c r="H1087" t="s">
        <v>17</v>
      </c>
      <c r="I1087" t="s">
        <v>18</v>
      </c>
      <c r="J1087" t="s">
        <v>19</v>
      </c>
      <c r="K1087">
        <v>1140</v>
      </c>
      <c r="L1087">
        <v>0</v>
      </c>
      <c r="M1087" t="s">
        <v>20</v>
      </c>
      <c r="N1087">
        <f>L1087/500</f>
        <v>0</v>
      </c>
      <c r="P1087">
        <f>K1087/800</f>
        <v>1.425</v>
      </c>
    </row>
    <row r="1088" spans="1:16" x14ac:dyDescent="0.35">
      <c r="A1088">
        <v>251</v>
      </c>
      <c r="B1088">
        <v>583005365</v>
      </c>
      <c r="C1088">
        <v>36183</v>
      </c>
      <c r="D1088" t="s">
        <v>36</v>
      </c>
      <c r="E1088" t="s">
        <v>237</v>
      </c>
      <c r="F1088" t="s">
        <v>37</v>
      </c>
      <c r="G1088" t="s">
        <v>38</v>
      </c>
      <c r="H1088" t="s">
        <v>17</v>
      </c>
      <c r="I1088" t="s">
        <v>18</v>
      </c>
      <c r="J1088" t="s">
        <v>19</v>
      </c>
      <c r="K1088">
        <v>522</v>
      </c>
      <c r="L1088">
        <v>0</v>
      </c>
      <c r="M1088" t="s">
        <v>20</v>
      </c>
      <c r="N1088">
        <f>L1088/500</f>
        <v>0</v>
      </c>
      <c r="P1088">
        <f>K1088/800</f>
        <v>0.65249999999999997</v>
      </c>
    </row>
    <row r="1089" spans="1:16" x14ac:dyDescent="0.35">
      <c r="A1089">
        <v>252</v>
      </c>
      <c r="B1089">
        <v>583005365</v>
      </c>
      <c r="C1089">
        <v>36183</v>
      </c>
      <c r="D1089" t="s">
        <v>36</v>
      </c>
      <c r="E1089" t="s">
        <v>237</v>
      </c>
      <c r="F1089" t="s">
        <v>37</v>
      </c>
      <c r="G1089" t="s">
        <v>38</v>
      </c>
      <c r="H1089" t="s">
        <v>17</v>
      </c>
      <c r="I1089" t="s">
        <v>18</v>
      </c>
      <c r="J1089" t="s">
        <v>19</v>
      </c>
      <c r="K1089">
        <v>144</v>
      </c>
      <c r="L1089">
        <v>0</v>
      </c>
      <c r="M1089" t="s">
        <v>20</v>
      </c>
      <c r="N1089">
        <f>L1089/500</f>
        <v>0</v>
      </c>
      <c r="P1089">
        <f>K1089/800</f>
        <v>0.18</v>
      </c>
    </row>
    <row r="1090" spans="1:16" x14ac:dyDescent="0.35">
      <c r="A1090">
        <v>255</v>
      </c>
      <c r="B1090">
        <v>583005392</v>
      </c>
      <c r="C1090">
        <v>36213</v>
      </c>
      <c r="D1090" t="s">
        <v>36</v>
      </c>
      <c r="E1090" t="s">
        <v>237</v>
      </c>
      <c r="F1090" t="s">
        <v>37</v>
      </c>
      <c r="G1090" t="s">
        <v>38</v>
      </c>
      <c r="H1090" t="s">
        <v>17</v>
      </c>
      <c r="I1090" t="s">
        <v>18</v>
      </c>
      <c r="J1090" t="s">
        <v>19</v>
      </c>
      <c r="K1090">
        <v>90</v>
      </c>
      <c r="L1090">
        <v>0</v>
      </c>
      <c r="M1090" t="s">
        <v>20</v>
      </c>
      <c r="N1090">
        <f>L1090/500</f>
        <v>0</v>
      </c>
      <c r="P1090">
        <f>K1090/800</f>
        <v>0.1125</v>
      </c>
    </row>
    <row r="1091" spans="1:16" x14ac:dyDescent="0.35">
      <c r="A1091">
        <v>256</v>
      </c>
      <c r="B1091">
        <v>583005390</v>
      </c>
      <c r="C1091">
        <v>36211</v>
      </c>
      <c r="D1091" t="s">
        <v>36</v>
      </c>
      <c r="E1091" t="s">
        <v>237</v>
      </c>
      <c r="F1091" t="s">
        <v>37</v>
      </c>
      <c r="G1091" t="s">
        <v>38</v>
      </c>
      <c r="H1091" t="s">
        <v>17</v>
      </c>
      <c r="I1091" t="s">
        <v>18</v>
      </c>
      <c r="J1091" t="s">
        <v>19</v>
      </c>
      <c r="K1091">
        <v>90</v>
      </c>
      <c r="L1091">
        <v>0</v>
      </c>
      <c r="M1091" t="s">
        <v>20</v>
      </c>
      <c r="N1091">
        <f>L1091/500</f>
        <v>0</v>
      </c>
      <c r="P1091">
        <f>K1091/800</f>
        <v>0.1125</v>
      </c>
    </row>
    <row r="1092" spans="1:16" x14ac:dyDescent="0.35">
      <c r="A1092">
        <v>257</v>
      </c>
      <c r="B1092">
        <v>583005389</v>
      </c>
      <c r="C1092">
        <v>36210</v>
      </c>
      <c r="D1092" t="s">
        <v>36</v>
      </c>
      <c r="E1092" t="s">
        <v>237</v>
      </c>
      <c r="F1092" t="s">
        <v>37</v>
      </c>
      <c r="G1092" t="s">
        <v>38</v>
      </c>
      <c r="H1092" t="s">
        <v>17</v>
      </c>
      <c r="I1092" t="s">
        <v>18</v>
      </c>
      <c r="J1092" t="s">
        <v>19</v>
      </c>
      <c r="K1092">
        <v>90</v>
      </c>
      <c r="L1092">
        <v>0</v>
      </c>
      <c r="M1092" t="s">
        <v>20</v>
      </c>
      <c r="N1092">
        <f>L1092/500</f>
        <v>0</v>
      </c>
      <c r="P1092">
        <f>K1092/800</f>
        <v>0.1125</v>
      </c>
    </row>
    <row r="1093" spans="1:16" x14ac:dyDescent="0.35">
      <c r="A1093">
        <v>259</v>
      </c>
      <c r="B1093">
        <v>583005391</v>
      </c>
      <c r="C1093">
        <v>36212</v>
      </c>
      <c r="D1093" t="s">
        <v>36</v>
      </c>
      <c r="E1093" t="s">
        <v>237</v>
      </c>
      <c r="F1093" t="s">
        <v>37</v>
      </c>
      <c r="G1093" t="s">
        <v>38</v>
      </c>
      <c r="H1093" t="s">
        <v>17</v>
      </c>
      <c r="I1093" t="s">
        <v>18</v>
      </c>
      <c r="J1093" t="s">
        <v>19</v>
      </c>
      <c r="K1093">
        <v>66</v>
      </c>
      <c r="L1093">
        <v>0</v>
      </c>
      <c r="M1093" t="s">
        <v>20</v>
      </c>
      <c r="N1093">
        <f>L1093/500</f>
        <v>0</v>
      </c>
      <c r="P1093">
        <f>K1093/800</f>
        <v>8.2500000000000004E-2</v>
      </c>
    </row>
    <row r="1094" spans="1:16" x14ac:dyDescent="0.35">
      <c r="A1094">
        <v>271</v>
      </c>
      <c r="B1094">
        <v>583005393</v>
      </c>
      <c r="C1094">
        <v>36214</v>
      </c>
      <c r="D1094" t="s">
        <v>36</v>
      </c>
      <c r="E1094" t="s">
        <v>237</v>
      </c>
      <c r="F1094" t="s">
        <v>37</v>
      </c>
      <c r="G1094" t="s">
        <v>38</v>
      </c>
      <c r="H1094" t="s">
        <v>17</v>
      </c>
      <c r="I1094" t="s">
        <v>18</v>
      </c>
      <c r="J1094" t="s">
        <v>19</v>
      </c>
      <c r="K1094">
        <v>33</v>
      </c>
      <c r="L1094">
        <v>0</v>
      </c>
      <c r="M1094" t="s">
        <v>20</v>
      </c>
      <c r="N1094">
        <f>L1094/500</f>
        <v>0</v>
      </c>
      <c r="P1094">
        <f>K1094/800</f>
        <v>4.1250000000000002E-2</v>
      </c>
    </row>
    <row r="1095" spans="1:16" x14ac:dyDescent="0.35">
      <c r="A1095">
        <v>377</v>
      </c>
      <c r="B1095">
        <v>583005611</v>
      </c>
      <c r="C1095">
        <v>36528</v>
      </c>
      <c r="D1095" t="s">
        <v>36</v>
      </c>
      <c r="E1095" t="s">
        <v>270</v>
      </c>
      <c r="F1095" t="s">
        <v>37</v>
      </c>
      <c r="G1095" t="s">
        <v>38</v>
      </c>
      <c r="H1095" t="s">
        <v>17</v>
      </c>
      <c r="I1095" t="s">
        <v>18</v>
      </c>
      <c r="J1095" t="s">
        <v>19</v>
      </c>
      <c r="K1095">
        <v>39</v>
      </c>
      <c r="L1095">
        <v>0</v>
      </c>
      <c r="M1095" t="s">
        <v>20</v>
      </c>
      <c r="N1095">
        <f>L1095/500</f>
        <v>0</v>
      </c>
      <c r="P1095">
        <f>K1095/800</f>
        <v>4.8750000000000002E-2</v>
      </c>
    </row>
    <row r="1096" spans="1:16" x14ac:dyDescent="0.35">
      <c r="A1096">
        <v>379</v>
      </c>
      <c r="B1096">
        <v>583005612</v>
      </c>
      <c r="C1096">
        <v>36529</v>
      </c>
      <c r="D1096" t="s">
        <v>36</v>
      </c>
      <c r="E1096" t="s">
        <v>270</v>
      </c>
      <c r="F1096" t="s">
        <v>37</v>
      </c>
      <c r="G1096" t="s">
        <v>38</v>
      </c>
      <c r="H1096" t="s">
        <v>17</v>
      </c>
      <c r="I1096" t="s">
        <v>18</v>
      </c>
      <c r="J1096" t="s">
        <v>19</v>
      </c>
      <c r="K1096">
        <v>165</v>
      </c>
      <c r="L1096">
        <v>0</v>
      </c>
      <c r="M1096" t="s">
        <v>20</v>
      </c>
      <c r="N1096">
        <f>L1096/500</f>
        <v>0</v>
      </c>
      <c r="P1096">
        <f>K1096/800</f>
        <v>0.20624999999999999</v>
      </c>
    </row>
    <row r="1097" spans="1:16" x14ac:dyDescent="0.35">
      <c r="A1097">
        <v>496</v>
      </c>
      <c r="B1097">
        <v>583005708</v>
      </c>
      <c r="C1097">
        <v>36664</v>
      </c>
      <c r="D1097" t="s">
        <v>36</v>
      </c>
      <c r="E1097" t="s">
        <v>300</v>
      </c>
      <c r="F1097" t="s">
        <v>37</v>
      </c>
      <c r="G1097" t="s">
        <v>38</v>
      </c>
      <c r="H1097" t="s">
        <v>17</v>
      </c>
      <c r="I1097" t="s">
        <v>18</v>
      </c>
      <c r="J1097" t="s">
        <v>19</v>
      </c>
      <c r="K1097">
        <v>135</v>
      </c>
      <c r="L1097">
        <v>0</v>
      </c>
      <c r="M1097" t="s">
        <v>20</v>
      </c>
      <c r="N1097">
        <f>L1097/500</f>
        <v>0</v>
      </c>
      <c r="P1097">
        <f>K1097/800</f>
        <v>0.16875000000000001</v>
      </c>
    </row>
    <row r="1098" spans="1:16" x14ac:dyDescent="0.35">
      <c r="A1098">
        <v>497</v>
      </c>
      <c r="B1098">
        <v>583005707</v>
      </c>
      <c r="C1098">
        <v>36663</v>
      </c>
      <c r="D1098" t="s">
        <v>36</v>
      </c>
      <c r="E1098" t="s">
        <v>300</v>
      </c>
      <c r="F1098" t="s">
        <v>37</v>
      </c>
      <c r="G1098" t="s">
        <v>38</v>
      </c>
      <c r="H1098" t="s">
        <v>17</v>
      </c>
      <c r="I1098" t="s">
        <v>18</v>
      </c>
      <c r="J1098" t="s">
        <v>19</v>
      </c>
      <c r="K1098">
        <v>120</v>
      </c>
      <c r="L1098">
        <v>0</v>
      </c>
      <c r="M1098" t="s">
        <v>20</v>
      </c>
      <c r="N1098">
        <f>L1098/500</f>
        <v>0</v>
      </c>
      <c r="P1098">
        <f>K1098/800</f>
        <v>0.15</v>
      </c>
    </row>
    <row r="1099" spans="1:16" x14ac:dyDescent="0.35">
      <c r="A1099">
        <v>498</v>
      </c>
      <c r="B1099">
        <v>583005702</v>
      </c>
      <c r="C1099">
        <v>36658</v>
      </c>
      <c r="D1099" t="s">
        <v>36</v>
      </c>
      <c r="E1099" t="s">
        <v>300</v>
      </c>
      <c r="F1099" t="s">
        <v>37</v>
      </c>
      <c r="G1099" t="s">
        <v>38</v>
      </c>
      <c r="H1099" t="s">
        <v>17</v>
      </c>
      <c r="I1099" t="s">
        <v>18</v>
      </c>
      <c r="J1099" t="s">
        <v>19</v>
      </c>
      <c r="K1099">
        <v>135</v>
      </c>
      <c r="L1099">
        <v>0</v>
      </c>
      <c r="M1099" t="s">
        <v>20</v>
      </c>
      <c r="N1099">
        <f>L1099/500</f>
        <v>0</v>
      </c>
      <c r="P1099">
        <f>K1099/800</f>
        <v>0.16875000000000001</v>
      </c>
    </row>
    <row r="1100" spans="1:16" x14ac:dyDescent="0.35">
      <c r="A1100">
        <v>499</v>
      </c>
      <c r="B1100">
        <v>583005703</v>
      </c>
      <c r="C1100">
        <v>36659</v>
      </c>
      <c r="D1100" t="s">
        <v>36</v>
      </c>
      <c r="E1100" t="s">
        <v>300</v>
      </c>
      <c r="F1100" t="s">
        <v>37</v>
      </c>
      <c r="G1100" t="s">
        <v>38</v>
      </c>
      <c r="H1100" t="s">
        <v>17</v>
      </c>
      <c r="I1100" t="s">
        <v>18</v>
      </c>
      <c r="J1100" t="s">
        <v>19</v>
      </c>
      <c r="K1100">
        <v>180</v>
      </c>
      <c r="L1100">
        <v>0</v>
      </c>
      <c r="M1100" t="s">
        <v>20</v>
      </c>
      <c r="N1100">
        <f>L1100/500</f>
        <v>0</v>
      </c>
      <c r="P1100">
        <f>K1100/800</f>
        <v>0.22500000000000001</v>
      </c>
    </row>
    <row r="1101" spans="1:16" x14ac:dyDescent="0.35">
      <c r="A1101">
        <v>500</v>
      </c>
      <c r="B1101">
        <v>583005704</v>
      </c>
      <c r="C1101">
        <v>36660</v>
      </c>
      <c r="D1101" t="s">
        <v>36</v>
      </c>
      <c r="E1101" t="s">
        <v>300</v>
      </c>
      <c r="F1101" t="s">
        <v>37</v>
      </c>
      <c r="G1101" t="s">
        <v>38</v>
      </c>
      <c r="H1101" t="s">
        <v>17</v>
      </c>
      <c r="I1101" t="s">
        <v>18</v>
      </c>
      <c r="J1101" t="s">
        <v>19</v>
      </c>
      <c r="K1101">
        <v>180</v>
      </c>
      <c r="L1101">
        <v>0</v>
      </c>
      <c r="M1101" t="s">
        <v>20</v>
      </c>
      <c r="N1101">
        <f>L1101/500</f>
        <v>0</v>
      </c>
      <c r="P1101">
        <f>K1101/800</f>
        <v>0.22500000000000001</v>
      </c>
    </row>
    <row r="1102" spans="1:16" x14ac:dyDescent="0.35">
      <c r="A1102">
        <v>512</v>
      </c>
      <c r="B1102">
        <v>583005705</v>
      </c>
      <c r="C1102">
        <v>36661</v>
      </c>
      <c r="D1102" t="s">
        <v>36</v>
      </c>
      <c r="E1102" t="s">
        <v>300</v>
      </c>
      <c r="F1102" t="s">
        <v>37</v>
      </c>
      <c r="G1102" t="s">
        <v>38</v>
      </c>
      <c r="H1102" t="s">
        <v>17</v>
      </c>
      <c r="I1102" t="s">
        <v>18</v>
      </c>
      <c r="J1102" t="s">
        <v>19</v>
      </c>
      <c r="K1102">
        <v>90</v>
      </c>
      <c r="L1102">
        <v>0</v>
      </c>
      <c r="M1102" t="s">
        <v>20</v>
      </c>
      <c r="N1102">
        <f>L1102/500</f>
        <v>0</v>
      </c>
      <c r="P1102">
        <f>K1102/800</f>
        <v>0.1125</v>
      </c>
    </row>
    <row r="1103" spans="1:16" x14ac:dyDescent="0.35">
      <c r="A1103">
        <v>566</v>
      </c>
      <c r="B1103">
        <v>583005860</v>
      </c>
      <c r="C1103">
        <v>36880</v>
      </c>
      <c r="D1103" t="s">
        <v>36</v>
      </c>
      <c r="E1103" t="s">
        <v>318</v>
      </c>
      <c r="F1103" t="s">
        <v>37</v>
      </c>
      <c r="G1103" t="s">
        <v>38</v>
      </c>
      <c r="H1103" t="s">
        <v>17</v>
      </c>
      <c r="I1103" t="s">
        <v>18</v>
      </c>
      <c r="J1103" t="s">
        <v>19</v>
      </c>
      <c r="K1103">
        <v>399</v>
      </c>
      <c r="L1103">
        <v>0</v>
      </c>
      <c r="M1103" t="s">
        <v>20</v>
      </c>
      <c r="N1103">
        <f>L1103/500</f>
        <v>0</v>
      </c>
      <c r="P1103">
        <f>K1103/800</f>
        <v>0.49875000000000003</v>
      </c>
    </row>
    <row r="1104" spans="1:16" x14ac:dyDescent="0.35">
      <c r="A1104">
        <v>567</v>
      </c>
      <c r="B1104">
        <v>583005860</v>
      </c>
      <c r="C1104">
        <v>36880</v>
      </c>
      <c r="D1104" t="s">
        <v>36</v>
      </c>
      <c r="E1104" t="s">
        <v>318</v>
      </c>
      <c r="F1104" t="s">
        <v>37</v>
      </c>
      <c r="G1104" t="s">
        <v>38</v>
      </c>
      <c r="H1104" t="s">
        <v>17</v>
      </c>
      <c r="I1104" t="s">
        <v>18</v>
      </c>
      <c r="J1104" t="s">
        <v>19</v>
      </c>
      <c r="K1104">
        <v>1572</v>
      </c>
      <c r="L1104">
        <v>0</v>
      </c>
      <c r="M1104" t="s">
        <v>20</v>
      </c>
      <c r="N1104">
        <f>L1104/500</f>
        <v>0</v>
      </c>
      <c r="P1104">
        <f>K1104/800</f>
        <v>1.9650000000000001</v>
      </c>
    </row>
    <row r="1105" spans="1:16" x14ac:dyDescent="0.35">
      <c r="A1105">
        <v>568</v>
      </c>
      <c r="B1105">
        <v>583005860</v>
      </c>
      <c r="C1105">
        <v>36880</v>
      </c>
      <c r="D1105" t="s">
        <v>36</v>
      </c>
      <c r="E1105" t="s">
        <v>318</v>
      </c>
      <c r="F1105" t="s">
        <v>37</v>
      </c>
      <c r="G1105" t="s">
        <v>38</v>
      </c>
      <c r="H1105" t="s">
        <v>17</v>
      </c>
      <c r="I1105" t="s">
        <v>18</v>
      </c>
      <c r="J1105" t="s">
        <v>19</v>
      </c>
      <c r="K1105">
        <v>66</v>
      </c>
      <c r="L1105">
        <v>0</v>
      </c>
      <c r="M1105" t="s">
        <v>20</v>
      </c>
      <c r="N1105">
        <f>L1105/500</f>
        <v>0</v>
      </c>
      <c r="P1105">
        <f>K1105/800</f>
        <v>8.2500000000000004E-2</v>
      </c>
    </row>
    <row r="1106" spans="1:16" x14ac:dyDescent="0.35">
      <c r="A1106">
        <v>569</v>
      </c>
      <c r="B1106">
        <v>583005860</v>
      </c>
      <c r="C1106">
        <v>36880</v>
      </c>
      <c r="D1106" t="s">
        <v>36</v>
      </c>
      <c r="E1106" t="s">
        <v>318</v>
      </c>
      <c r="F1106" t="s">
        <v>37</v>
      </c>
      <c r="G1106" t="s">
        <v>38</v>
      </c>
      <c r="H1106" t="s">
        <v>17</v>
      </c>
      <c r="I1106" t="s">
        <v>18</v>
      </c>
      <c r="J1106" t="s">
        <v>19</v>
      </c>
      <c r="K1106">
        <v>90</v>
      </c>
      <c r="L1106">
        <v>0</v>
      </c>
      <c r="M1106" t="s">
        <v>20</v>
      </c>
      <c r="N1106">
        <f>L1106/500</f>
        <v>0</v>
      </c>
      <c r="P1106">
        <f>K1106/800</f>
        <v>0.1125</v>
      </c>
    </row>
    <row r="1107" spans="1:16" x14ac:dyDescent="0.35">
      <c r="A1107">
        <v>572</v>
      </c>
      <c r="B1107">
        <v>583005861</v>
      </c>
      <c r="C1107">
        <v>36881</v>
      </c>
      <c r="D1107" t="s">
        <v>36</v>
      </c>
      <c r="E1107" t="s">
        <v>318</v>
      </c>
      <c r="F1107" t="s">
        <v>37</v>
      </c>
      <c r="G1107" t="s">
        <v>38</v>
      </c>
      <c r="H1107" t="s">
        <v>17</v>
      </c>
      <c r="I1107" t="s">
        <v>18</v>
      </c>
      <c r="J1107" t="s">
        <v>19</v>
      </c>
      <c r="K1107">
        <v>1851</v>
      </c>
      <c r="L1107">
        <v>0</v>
      </c>
      <c r="M1107" t="s">
        <v>20</v>
      </c>
      <c r="N1107">
        <f>L1107/500</f>
        <v>0</v>
      </c>
      <c r="P1107">
        <f>K1107/800</f>
        <v>2.3137500000000002</v>
      </c>
    </row>
    <row r="1108" spans="1:16" x14ac:dyDescent="0.35">
      <c r="A1108">
        <v>573</v>
      </c>
      <c r="B1108">
        <v>583005861</v>
      </c>
      <c r="C1108">
        <v>36881</v>
      </c>
      <c r="D1108" t="s">
        <v>36</v>
      </c>
      <c r="E1108" t="s">
        <v>318</v>
      </c>
      <c r="F1108" t="s">
        <v>37</v>
      </c>
      <c r="G1108" t="s">
        <v>38</v>
      </c>
      <c r="H1108" t="s">
        <v>17</v>
      </c>
      <c r="I1108" t="s">
        <v>18</v>
      </c>
      <c r="J1108" t="s">
        <v>19</v>
      </c>
      <c r="K1108">
        <v>108</v>
      </c>
      <c r="L1108">
        <v>0</v>
      </c>
      <c r="M1108" t="s">
        <v>20</v>
      </c>
      <c r="N1108">
        <f>L1108/500</f>
        <v>0</v>
      </c>
      <c r="P1108">
        <f>K1108/800</f>
        <v>0.13500000000000001</v>
      </c>
    </row>
    <row r="1109" spans="1:16" x14ac:dyDescent="0.35">
      <c r="A1109">
        <v>574</v>
      </c>
      <c r="B1109">
        <v>583005861</v>
      </c>
      <c r="C1109">
        <v>36881</v>
      </c>
      <c r="D1109" t="s">
        <v>36</v>
      </c>
      <c r="E1109" t="s">
        <v>318</v>
      </c>
      <c r="F1109" t="s">
        <v>37</v>
      </c>
      <c r="G1109" t="s">
        <v>38</v>
      </c>
      <c r="H1109" t="s">
        <v>17</v>
      </c>
      <c r="I1109" t="s">
        <v>18</v>
      </c>
      <c r="J1109" t="s">
        <v>19</v>
      </c>
      <c r="K1109">
        <v>36</v>
      </c>
      <c r="L1109">
        <v>0</v>
      </c>
      <c r="M1109" t="s">
        <v>20</v>
      </c>
      <c r="N1109">
        <f>L1109/500</f>
        <v>0</v>
      </c>
      <c r="P1109">
        <f>K1109/800</f>
        <v>4.4999999999999998E-2</v>
      </c>
    </row>
    <row r="1110" spans="1:16" x14ac:dyDescent="0.35">
      <c r="A1110">
        <v>655</v>
      </c>
      <c r="B1110">
        <v>583005926</v>
      </c>
      <c r="C1110">
        <v>36978</v>
      </c>
      <c r="D1110" t="s">
        <v>36</v>
      </c>
      <c r="E1110" t="s">
        <v>324</v>
      </c>
      <c r="F1110" t="s">
        <v>37</v>
      </c>
      <c r="G1110" t="s">
        <v>38</v>
      </c>
      <c r="H1110" t="s">
        <v>17</v>
      </c>
      <c r="I1110" t="s">
        <v>18</v>
      </c>
      <c r="J1110" t="s">
        <v>19</v>
      </c>
      <c r="K1110">
        <v>36</v>
      </c>
      <c r="L1110">
        <v>0</v>
      </c>
      <c r="M1110" t="s">
        <v>20</v>
      </c>
      <c r="N1110">
        <f>L1110/500</f>
        <v>0</v>
      </c>
      <c r="P1110">
        <f>K1110/800</f>
        <v>4.4999999999999998E-2</v>
      </c>
    </row>
    <row r="1111" spans="1:16" x14ac:dyDescent="0.35">
      <c r="A1111">
        <v>1134</v>
      </c>
      <c r="B1111">
        <v>583006644</v>
      </c>
      <c r="C1111">
        <v>37924</v>
      </c>
      <c r="D1111" t="s">
        <v>36</v>
      </c>
      <c r="E1111" t="s">
        <v>413</v>
      </c>
      <c r="F1111" t="s">
        <v>37</v>
      </c>
      <c r="G1111" t="s">
        <v>38</v>
      </c>
      <c r="H1111" t="s">
        <v>17</v>
      </c>
      <c r="I1111" t="s">
        <v>18</v>
      </c>
      <c r="J1111" t="s">
        <v>19</v>
      </c>
      <c r="K1111">
        <v>1308</v>
      </c>
      <c r="L1111">
        <v>0</v>
      </c>
      <c r="M1111" t="s">
        <v>20</v>
      </c>
      <c r="N1111">
        <f>L1111/500</f>
        <v>0</v>
      </c>
      <c r="P1111">
        <f>K1111/800</f>
        <v>1.635</v>
      </c>
    </row>
    <row r="1112" spans="1:16" x14ac:dyDescent="0.35">
      <c r="A1112">
        <v>1135</v>
      </c>
      <c r="B1112">
        <v>583006644</v>
      </c>
      <c r="C1112">
        <v>37924</v>
      </c>
      <c r="D1112" t="s">
        <v>36</v>
      </c>
      <c r="E1112" t="s">
        <v>413</v>
      </c>
      <c r="F1112" t="s">
        <v>37</v>
      </c>
      <c r="G1112" t="s">
        <v>38</v>
      </c>
      <c r="H1112" t="s">
        <v>17</v>
      </c>
      <c r="I1112" t="s">
        <v>18</v>
      </c>
      <c r="J1112" t="s">
        <v>19</v>
      </c>
      <c r="K1112">
        <v>423</v>
      </c>
      <c r="L1112">
        <v>0</v>
      </c>
      <c r="M1112" t="s">
        <v>20</v>
      </c>
      <c r="N1112">
        <f>L1112/500</f>
        <v>0</v>
      </c>
      <c r="P1112">
        <f>K1112/800</f>
        <v>0.52875000000000005</v>
      </c>
    </row>
    <row r="1113" spans="1:16" x14ac:dyDescent="0.35">
      <c r="A1113">
        <v>1137</v>
      </c>
      <c r="B1113">
        <v>583006644</v>
      </c>
      <c r="C1113">
        <v>37924</v>
      </c>
      <c r="D1113" t="s">
        <v>36</v>
      </c>
      <c r="E1113" t="s">
        <v>413</v>
      </c>
      <c r="F1113" t="s">
        <v>37</v>
      </c>
      <c r="G1113" t="s">
        <v>38</v>
      </c>
      <c r="H1113" t="s">
        <v>17</v>
      </c>
      <c r="I1113" t="s">
        <v>18</v>
      </c>
      <c r="J1113" t="s">
        <v>19</v>
      </c>
      <c r="K1113">
        <v>90</v>
      </c>
      <c r="L1113">
        <v>0</v>
      </c>
      <c r="M1113" t="s">
        <v>20</v>
      </c>
      <c r="N1113">
        <f>L1113/500</f>
        <v>0</v>
      </c>
      <c r="P1113">
        <f>K1113/800</f>
        <v>0.1125</v>
      </c>
    </row>
    <row r="1114" spans="1:16" x14ac:dyDescent="0.35">
      <c r="A1114">
        <v>110</v>
      </c>
      <c r="B1114">
        <v>583005134</v>
      </c>
      <c r="C1114">
        <v>35866</v>
      </c>
      <c r="D1114" t="s">
        <v>162</v>
      </c>
      <c r="E1114" t="s">
        <v>126</v>
      </c>
      <c r="F1114" t="s">
        <v>163</v>
      </c>
      <c r="G1114" t="s">
        <v>164</v>
      </c>
      <c r="H1114" t="s">
        <v>17</v>
      </c>
      <c r="I1114" t="s">
        <v>18</v>
      </c>
      <c r="J1114" t="s">
        <v>19</v>
      </c>
      <c r="K1114">
        <v>252</v>
      </c>
      <c r="L1114">
        <v>0</v>
      </c>
      <c r="M1114" t="s">
        <v>20</v>
      </c>
      <c r="N1114">
        <f>L1114/500</f>
        <v>0</v>
      </c>
      <c r="P1114">
        <f>K1114/800</f>
        <v>0.315</v>
      </c>
    </row>
    <row r="1115" spans="1:16" x14ac:dyDescent="0.35">
      <c r="A1115">
        <v>163</v>
      </c>
      <c r="B1115">
        <v>583005209</v>
      </c>
      <c r="C1115">
        <v>35966</v>
      </c>
      <c r="D1115" t="s">
        <v>162</v>
      </c>
      <c r="E1115" t="s">
        <v>177</v>
      </c>
      <c r="F1115" t="s">
        <v>163</v>
      </c>
      <c r="G1115" t="s">
        <v>164</v>
      </c>
      <c r="H1115" t="s">
        <v>17</v>
      </c>
      <c r="I1115" t="s">
        <v>18</v>
      </c>
      <c r="J1115" t="s">
        <v>19</v>
      </c>
      <c r="K1115">
        <v>12</v>
      </c>
      <c r="L1115">
        <v>0</v>
      </c>
      <c r="M1115" t="s">
        <v>20</v>
      </c>
      <c r="N1115">
        <f>L1115/500</f>
        <v>0</v>
      </c>
      <c r="P1115">
        <f>K1115/800</f>
        <v>1.4999999999999999E-2</v>
      </c>
    </row>
    <row r="1116" spans="1:16" x14ac:dyDescent="0.35">
      <c r="A1116">
        <v>808</v>
      </c>
      <c r="B1116">
        <v>583006153</v>
      </c>
      <c r="C1116">
        <v>37283</v>
      </c>
      <c r="D1116" t="s">
        <v>162</v>
      </c>
      <c r="E1116" t="s">
        <v>360</v>
      </c>
      <c r="F1116" t="s">
        <v>163</v>
      </c>
      <c r="G1116" t="s">
        <v>164</v>
      </c>
      <c r="H1116" t="s">
        <v>17</v>
      </c>
      <c r="I1116" t="s">
        <v>18</v>
      </c>
      <c r="J1116" t="s">
        <v>19</v>
      </c>
      <c r="K1116">
        <v>720</v>
      </c>
      <c r="L1116">
        <v>0</v>
      </c>
      <c r="M1116" t="s">
        <v>20</v>
      </c>
      <c r="N1116">
        <f>L1116/500</f>
        <v>0</v>
      </c>
      <c r="P1116">
        <f>K1116/800</f>
        <v>0.9</v>
      </c>
    </row>
    <row r="1117" spans="1:16" x14ac:dyDescent="0.35">
      <c r="A1117">
        <v>1288</v>
      </c>
      <c r="B1117">
        <v>583006708</v>
      </c>
      <c r="C1117">
        <v>38014</v>
      </c>
      <c r="D1117" t="s">
        <v>162</v>
      </c>
      <c r="E1117" t="s">
        <v>424</v>
      </c>
      <c r="F1117" t="s">
        <v>163</v>
      </c>
      <c r="G1117" t="s">
        <v>164</v>
      </c>
      <c r="H1117" t="s">
        <v>17</v>
      </c>
      <c r="I1117" t="s">
        <v>18</v>
      </c>
      <c r="J1117" t="s">
        <v>19</v>
      </c>
      <c r="K1117">
        <v>972</v>
      </c>
      <c r="L1117">
        <v>0</v>
      </c>
      <c r="M1117" t="s">
        <v>20</v>
      </c>
      <c r="N1117">
        <f>L1117/500</f>
        <v>0</v>
      </c>
      <c r="P1117">
        <f>K1117/800</f>
        <v>1.2150000000000001</v>
      </c>
    </row>
    <row r="1118" spans="1:16" x14ac:dyDescent="0.35">
      <c r="A1118">
        <v>1290</v>
      </c>
      <c r="B1118">
        <v>583006708</v>
      </c>
      <c r="C1118">
        <v>38014</v>
      </c>
      <c r="D1118" t="s">
        <v>162</v>
      </c>
      <c r="E1118" t="s">
        <v>424</v>
      </c>
      <c r="F1118" t="s">
        <v>163</v>
      </c>
      <c r="G1118" t="s">
        <v>164</v>
      </c>
      <c r="H1118" t="s">
        <v>17</v>
      </c>
      <c r="I1118" t="s">
        <v>18</v>
      </c>
      <c r="J1118" t="s">
        <v>19</v>
      </c>
      <c r="K1118">
        <v>531</v>
      </c>
      <c r="L1118">
        <v>0</v>
      </c>
      <c r="M1118" t="s">
        <v>20</v>
      </c>
      <c r="N1118">
        <f>L1118/500</f>
        <v>0</v>
      </c>
      <c r="P1118">
        <f>K1118/800</f>
        <v>0.66374999999999995</v>
      </c>
    </row>
    <row r="1119" spans="1:16" x14ac:dyDescent="0.35">
      <c r="A1119">
        <v>59</v>
      </c>
      <c r="B1119">
        <v>583005109</v>
      </c>
      <c r="C1119">
        <v>35829</v>
      </c>
      <c r="D1119" t="s">
        <v>95</v>
      </c>
      <c r="E1119" t="s">
        <v>81</v>
      </c>
      <c r="F1119" t="s">
        <v>96</v>
      </c>
      <c r="G1119" t="s">
        <v>97</v>
      </c>
      <c r="H1119" t="s">
        <v>17</v>
      </c>
      <c r="I1119" t="s">
        <v>18</v>
      </c>
      <c r="J1119" t="s">
        <v>19</v>
      </c>
      <c r="K1119">
        <v>12</v>
      </c>
      <c r="L1119">
        <v>0</v>
      </c>
      <c r="M1119" t="s">
        <v>20</v>
      </c>
      <c r="N1119">
        <f>L1119/500</f>
        <v>0</v>
      </c>
      <c r="P1119">
        <f>K1119/800</f>
        <v>1.4999999999999999E-2</v>
      </c>
    </row>
    <row r="1120" spans="1:16" x14ac:dyDescent="0.35">
      <c r="A1120">
        <v>70</v>
      </c>
      <c r="B1120">
        <v>583005110</v>
      </c>
      <c r="C1120">
        <v>35830</v>
      </c>
      <c r="D1120" t="s">
        <v>95</v>
      </c>
      <c r="E1120" t="s">
        <v>81</v>
      </c>
      <c r="F1120" t="s">
        <v>96</v>
      </c>
      <c r="G1120" t="s">
        <v>97</v>
      </c>
      <c r="H1120" t="s">
        <v>17</v>
      </c>
      <c r="I1120" t="s">
        <v>18</v>
      </c>
      <c r="J1120" t="s">
        <v>19</v>
      </c>
      <c r="K1120">
        <v>270</v>
      </c>
      <c r="L1120">
        <v>0</v>
      </c>
      <c r="M1120" t="s">
        <v>20</v>
      </c>
      <c r="N1120">
        <f>L1120/500</f>
        <v>0</v>
      </c>
      <c r="P1120">
        <f>K1120/800</f>
        <v>0.33750000000000002</v>
      </c>
    </row>
    <row r="1121" spans="1:16" x14ac:dyDescent="0.35">
      <c r="A1121">
        <v>349</v>
      </c>
      <c r="B1121">
        <v>583005470</v>
      </c>
      <c r="C1121">
        <v>36328</v>
      </c>
      <c r="D1121" t="s">
        <v>95</v>
      </c>
      <c r="E1121" t="s">
        <v>266</v>
      </c>
      <c r="F1121" t="s">
        <v>96</v>
      </c>
      <c r="G1121" t="s">
        <v>97</v>
      </c>
      <c r="H1121" t="s">
        <v>17</v>
      </c>
      <c r="I1121" t="s">
        <v>18</v>
      </c>
      <c r="J1121" t="s">
        <v>19</v>
      </c>
      <c r="K1121">
        <v>36</v>
      </c>
      <c r="L1121">
        <v>0</v>
      </c>
      <c r="M1121" t="s">
        <v>20</v>
      </c>
      <c r="N1121">
        <f>L1121/500</f>
        <v>0</v>
      </c>
      <c r="P1121">
        <f>K1121/800</f>
        <v>4.4999999999999998E-2</v>
      </c>
    </row>
    <row r="1122" spans="1:16" x14ac:dyDescent="0.35">
      <c r="A1122">
        <v>399</v>
      </c>
      <c r="B1122">
        <v>583005565</v>
      </c>
      <c r="C1122">
        <v>36465</v>
      </c>
      <c r="D1122" t="s">
        <v>95</v>
      </c>
      <c r="E1122" t="s">
        <v>270</v>
      </c>
      <c r="F1122" t="s">
        <v>96</v>
      </c>
      <c r="G1122" t="s">
        <v>97</v>
      </c>
      <c r="H1122" t="s">
        <v>17</v>
      </c>
      <c r="I1122" t="s">
        <v>18</v>
      </c>
      <c r="J1122" t="s">
        <v>19</v>
      </c>
      <c r="K1122">
        <v>45</v>
      </c>
      <c r="L1122">
        <v>0</v>
      </c>
      <c r="M1122" t="s">
        <v>20</v>
      </c>
      <c r="N1122">
        <f>L1122/500</f>
        <v>0</v>
      </c>
      <c r="P1122">
        <f>K1122/800</f>
        <v>5.6250000000000001E-2</v>
      </c>
    </row>
    <row r="1123" spans="1:16" x14ac:dyDescent="0.35">
      <c r="A1123">
        <v>400</v>
      </c>
      <c r="B1123">
        <v>583005566</v>
      </c>
      <c r="C1123">
        <v>36466</v>
      </c>
      <c r="D1123" t="s">
        <v>95</v>
      </c>
      <c r="E1123" t="s">
        <v>270</v>
      </c>
      <c r="F1123" t="s">
        <v>96</v>
      </c>
      <c r="G1123" t="s">
        <v>97</v>
      </c>
      <c r="H1123" t="s">
        <v>17</v>
      </c>
      <c r="I1123" t="s">
        <v>18</v>
      </c>
      <c r="J1123" t="s">
        <v>19</v>
      </c>
      <c r="K1123">
        <v>9</v>
      </c>
      <c r="L1123">
        <v>0</v>
      </c>
      <c r="M1123" t="s">
        <v>20</v>
      </c>
      <c r="N1123">
        <f>L1123/500</f>
        <v>0</v>
      </c>
      <c r="P1123">
        <f>K1123/800</f>
        <v>1.125E-2</v>
      </c>
    </row>
    <row r="1124" spans="1:16" x14ac:dyDescent="0.35">
      <c r="A1124">
        <v>484</v>
      </c>
      <c r="B1124">
        <v>583005681</v>
      </c>
      <c r="C1124">
        <v>36634</v>
      </c>
      <c r="D1124" t="s">
        <v>95</v>
      </c>
      <c r="E1124" t="s">
        <v>300</v>
      </c>
      <c r="F1124" t="s">
        <v>96</v>
      </c>
      <c r="G1124" t="s">
        <v>97</v>
      </c>
      <c r="H1124" t="s">
        <v>17</v>
      </c>
      <c r="I1124" t="s">
        <v>18</v>
      </c>
      <c r="J1124" t="s">
        <v>19</v>
      </c>
      <c r="K1124">
        <v>4050</v>
      </c>
      <c r="L1124">
        <v>0</v>
      </c>
      <c r="M1124" t="s">
        <v>20</v>
      </c>
      <c r="N1124">
        <f>L1124/500</f>
        <v>0</v>
      </c>
      <c r="P1124">
        <f>K1124/800</f>
        <v>5.0625</v>
      </c>
    </row>
    <row r="1125" spans="1:16" x14ac:dyDescent="0.35">
      <c r="A1125">
        <v>3</v>
      </c>
      <c r="B1125">
        <v>583005013</v>
      </c>
      <c r="C1125">
        <v>35692</v>
      </c>
      <c r="D1125" t="s">
        <v>26</v>
      </c>
      <c r="E1125" t="s">
        <v>14</v>
      </c>
      <c r="F1125" t="s">
        <v>27</v>
      </c>
      <c r="G1125" t="s">
        <v>28</v>
      </c>
      <c r="H1125" t="s">
        <v>17</v>
      </c>
      <c r="I1125" t="s">
        <v>18</v>
      </c>
      <c r="J1125" t="s">
        <v>19</v>
      </c>
      <c r="K1125">
        <v>540</v>
      </c>
      <c r="L1125">
        <v>0</v>
      </c>
      <c r="M1125" t="s">
        <v>20</v>
      </c>
      <c r="N1125">
        <f>L1125/500</f>
        <v>0</v>
      </c>
      <c r="P1125">
        <f>K1125/800</f>
        <v>0.67500000000000004</v>
      </c>
    </row>
    <row r="1126" spans="1:16" x14ac:dyDescent="0.35">
      <c r="A1126">
        <v>18</v>
      </c>
      <c r="B1126">
        <v>583005013</v>
      </c>
      <c r="C1126">
        <v>35692</v>
      </c>
      <c r="D1126" t="s">
        <v>26</v>
      </c>
      <c r="E1126" t="s">
        <v>14</v>
      </c>
      <c r="F1126" t="s">
        <v>27</v>
      </c>
      <c r="G1126" t="s">
        <v>28</v>
      </c>
      <c r="H1126" t="s">
        <v>17</v>
      </c>
      <c r="I1126" t="s">
        <v>18</v>
      </c>
      <c r="J1126" t="s">
        <v>19</v>
      </c>
      <c r="K1126">
        <v>72</v>
      </c>
      <c r="L1126">
        <v>0</v>
      </c>
      <c r="M1126" t="s">
        <v>20</v>
      </c>
      <c r="N1126">
        <f>L1126/500</f>
        <v>0</v>
      </c>
      <c r="P1126">
        <f>K1126/800</f>
        <v>0.09</v>
      </c>
    </row>
    <row r="1127" spans="1:16" x14ac:dyDescent="0.35">
      <c r="A1127">
        <v>34</v>
      </c>
      <c r="B1127">
        <v>583005013</v>
      </c>
      <c r="C1127">
        <v>35692</v>
      </c>
      <c r="D1127" t="s">
        <v>26</v>
      </c>
      <c r="E1127" t="s">
        <v>14</v>
      </c>
      <c r="F1127" t="s">
        <v>27</v>
      </c>
      <c r="G1127" t="s">
        <v>28</v>
      </c>
      <c r="H1127" t="s">
        <v>17</v>
      </c>
      <c r="I1127" t="s">
        <v>18</v>
      </c>
      <c r="J1127" t="s">
        <v>19</v>
      </c>
      <c r="K1127">
        <v>720</v>
      </c>
      <c r="L1127">
        <v>0</v>
      </c>
      <c r="M1127" t="s">
        <v>20</v>
      </c>
      <c r="N1127">
        <f>L1127/500</f>
        <v>0</v>
      </c>
      <c r="P1127">
        <f>K1127/800</f>
        <v>0.9</v>
      </c>
    </row>
    <row r="1128" spans="1:16" x14ac:dyDescent="0.35">
      <c r="A1128">
        <v>38</v>
      </c>
      <c r="B1128">
        <v>583005013</v>
      </c>
      <c r="C1128">
        <v>35692</v>
      </c>
      <c r="D1128" t="s">
        <v>26</v>
      </c>
      <c r="E1128" t="s">
        <v>14</v>
      </c>
      <c r="F1128" t="s">
        <v>27</v>
      </c>
      <c r="G1128" t="s">
        <v>28</v>
      </c>
      <c r="H1128" t="s">
        <v>17</v>
      </c>
      <c r="I1128" t="s">
        <v>18</v>
      </c>
      <c r="J1128" t="s">
        <v>19</v>
      </c>
      <c r="K1128">
        <v>288</v>
      </c>
      <c r="L1128">
        <v>0</v>
      </c>
      <c r="M1128" t="s">
        <v>20</v>
      </c>
      <c r="N1128">
        <f>L1128/500</f>
        <v>0</v>
      </c>
      <c r="P1128">
        <f>K1128/800</f>
        <v>0.36</v>
      </c>
    </row>
    <row r="1129" spans="1:16" x14ac:dyDescent="0.35">
      <c r="A1129">
        <v>130</v>
      </c>
      <c r="B1129">
        <v>583005213</v>
      </c>
      <c r="C1129">
        <v>35970</v>
      </c>
      <c r="D1129" t="s">
        <v>153</v>
      </c>
      <c r="E1129" t="s">
        <v>177</v>
      </c>
      <c r="F1129" t="s">
        <v>154</v>
      </c>
      <c r="G1129" t="s">
        <v>155</v>
      </c>
      <c r="H1129" t="s">
        <v>17</v>
      </c>
      <c r="I1129" t="s">
        <v>18</v>
      </c>
      <c r="J1129" t="s">
        <v>19</v>
      </c>
      <c r="K1129">
        <v>360</v>
      </c>
      <c r="L1129">
        <v>0</v>
      </c>
      <c r="M1129" t="s">
        <v>20</v>
      </c>
      <c r="N1129">
        <f>L1129/500</f>
        <v>0</v>
      </c>
      <c r="P1129">
        <f>K1129/800</f>
        <v>0.45</v>
      </c>
    </row>
    <row r="1130" spans="1:16" x14ac:dyDescent="0.35">
      <c r="A1130">
        <v>131</v>
      </c>
      <c r="B1130">
        <v>583005213</v>
      </c>
      <c r="C1130">
        <v>35970</v>
      </c>
      <c r="D1130" t="s">
        <v>153</v>
      </c>
      <c r="E1130" t="s">
        <v>177</v>
      </c>
      <c r="F1130" t="s">
        <v>154</v>
      </c>
      <c r="G1130" t="s">
        <v>155</v>
      </c>
      <c r="H1130" t="s">
        <v>17</v>
      </c>
      <c r="I1130" t="s">
        <v>18</v>
      </c>
      <c r="J1130" t="s">
        <v>19</v>
      </c>
      <c r="K1130">
        <v>3585</v>
      </c>
      <c r="L1130">
        <v>0</v>
      </c>
      <c r="M1130" t="s">
        <v>20</v>
      </c>
      <c r="N1130">
        <f>L1130/500</f>
        <v>0</v>
      </c>
      <c r="P1130">
        <f>K1130/800</f>
        <v>4.4812500000000002</v>
      </c>
    </row>
    <row r="1131" spans="1:16" x14ac:dyDescent="0.35">
      <c r="A1131">
        <v>132</v>
      </c>
      <c r="B1131">
        <v>583005213</v>
      </c>
      <c r="C1131">
        <v>35970</v>
      </c>
      <c r="D1131" t="s">
        <v>153</v>
      </c>
      <c r="E1131" t="s">
        <v>177</v>
      </c>
      <c r="F1131" t="s">
        <v>154</v>
      </c>
      <c r="G1131" t="s">
        <v>155</v>
      </c>
      <c r="H1131" t="s">
        <v>17</v>
      </c>
      <c r="I1131" t="s">
        <v>18</v>
      </c>
      <c r="J1131" t="s">
        <v>19</v>
      </c>
      <c r="K1131">
        <v>45</v>
      </c>
      <c r="L1131">
        <v>0</v>
      </c>
      <c r="M1131" t="s">
        <v>20</v>
      </c>
      <c r="N1131">
        <f>L1131/500</f>
        <v>0</v>
      </c>
      <c r="P1131">
        <f>K1131/800</f>
        <v>5.6250000000000001E-2</v>
      </c>
    </row>
    <row r="1132" spans="1:16" x14ac:dyDescent="0.35">
      <c r="A1132">
        <v>603</v>
      </c>
      <c r="B1132">
        <v>583005897</v>
      </c>
      <c r="C1132">
        <v>36946</v>
      </c>
      <c r="D1132" t="s">
        <v>153</v>
      </c>
      <c r="E1132" t="s">
        <v>324</v>
      </c>
      <c r="F1132" t="s">
        <v>154</v>
      </c>
      <c r="G1132" t="s">
        <v>155</v>
      </c>
      <c r="H1132" t="s">
        <v>17</v>
      </c>
      <c r="I1132" t="s">
        <v>18</v>
      </c>
      <c r="J1132" t="s">
        <v>19</v>
      </c>
      <c r="K1132">
        <v>3090</v>
      </c>
      <c r="L1132">
        <v>0</v>
      </c>
      <c r="M1132" t="s">
        <v>20</v>
      </c>
      <c r="N1132">
        <f>L1132/500</f>
        <v>0</v>
      </c>
      <c r="P1132">
        <f>K1132/800</f>
        <v>3.8624999999999998</v>
      </c>
    </row>
    <row r="1133" spans="1:16" x14ac:dyDescent="0.35">
      <c r="A1133">
        <v>613</v>
      </c>
      <c r="B1133">
        <v>583005897</v>
      </c>
      <c r="C1133">
        <v>36946</v>
      </c>
      <c r="D1133" t="s">
        <v>153</v>
      </c>
      <c r="E1133" t="s">
        <v>324</v>
      </c>
      <c r="F1133" t="s">
        <v>154</v>
      </c>
      <c r="G1133" t="s">
        <v>155</v>
      </c>
      <c r="H1133" t="s">
        <v>17</v>
      </c>
      <c r="I1133" t="s">
        <v>18</v>
      </c>
      <c r="J1133" t="s">
        <v>19</v>
      </c>
      <c r="K1133">
        <v>360</v>
      </c>
      <c r="L1133">
        <v>0</v>
      </c>
      <c r="M1133" t="s">
        <v>20</v>
      </c>
      <c r="N1133">
        <f>L1133/500</f>
        <v>0</v>
      </c>
      <c r="P1133">
        <f>K1133/800</f>
        <v>0.45</v>
      </c>
    </row>
    <row r="1134" spans="1:16" x14ac:dyDescent="0.35">
      <c r="A1134">
        <v>614</v>
      </c>
      <c r="B1134">
        <v>583005897</v>
      </c>
      <c r="C1134">
        <v>36946</v>
      </c>
      <c r="D1134" t="s">
        <v>153</v>
      </c>
      <c r="E1134" t="s">
        <v>324</v>
      </c>
      <c r="F1134" t="s">
        <v>154</v>
      </c>
      <c r="G1134" t="s">
        <v>155</v>
      </c>
      <c r="H1134" t="s">
        <v>17</v>
      </c>
      <c r="I1134" t="s">
        <v>18</v>
      </c>
      <c r="J1134" t="s">
        <v>19</v>
      </c>
      <c r="K1134">
        <v>513</v>
      </c>
      <c r="L1134">
        <v>0</v>
      </c>
      <c r="M1134" t="s">
        <v>20</v>
      </c>
      <c r="N1134">
        <f>L1134/500</f>
        <v>0</v>
      </c>
      <c r="P1134">
        <f>K1134/800</f>
        <v>0.64124999999999999</v>
      </c>
    </row>
    <row r="1135" spans="1:16" x14ac:dyDescent="0.35">
      <c r="A1135">
        <v>888</v>
      </c>
      <c r="B1135">
        <v>583006239</v>
      </c>
      <c r="C1135">
        <v>37386</v>
      </c>
      <c r="D1135" t="s">
        <v>153</v>
      </c>
      <c r="E1135" t="s">
        <v>367</v>
      </c>
      <c r="F1135" t="s">
        <v>154</v>
      </c>
      <c r="G1135" t="s">
        <v>155</v>
      </c>
      <c r="H1135" t="s">
        <v>17</v>
      </c>
      <c r="I1135" t="s">
        <v>18</v>
      </c>
      <c r="J1135" t="s">
        <v>19</v>
      </c>
      <c r="K1135">
        <v>912</v>
      </c>
      <c r="L1135">
        <v>0</v>
      </c>
      <c r="M1135" t="s">
        <v>20</v>
      </c>
      <c r="N1135">
        <f>L1135/500</f>
        <v>0</v>
      </c>
      <c r="P1135">
        <f>K1135/800</f>
        <v>1.1399999999999999</v>
      </c>
    </row>
    <row r="1136" spans="1:16" x14ac:dyDescent="0.35">
      <c r="A1136">
        <v>1139</v>
      </c>
      <c r="B1136">
        <v>583006630</v>
      </c>
      <c r="C1136">
        <v>37910</v>
      </c>
      <c r="D1136" t="s">
        <v>153</v>
      </c>
      <c r="E1136" t="s">
        <v>413</v>
      </c>
      <c r="F1136" t="s">
        <v>154</v>
      </c>
      <c r="G1136" t="s">
        <v>155</v>
      </c>
      <c r="H1136" t="s">
        <v>17</v>
      </c>
      <c r="I1136" t="s">
        <v>18</v>
      </c>
      <c r="J1136" t="s">
        <v>19</v>
      </c>
      <c r="K1136">
        <v>3366</v>
      </c>
      <c r="L1136">
        <v>0</v>
      </c>
      <c r="M1136" t="s">
        <v>20</v>
      </c>
      <c r="N1136">
        <f>L1136/500</f>
        <v>0</v>
      </c>
      <c r="P1136">
        <f>K1136/800</f>
        <v>4.2074999999999996</v>
      </c>
    </row>
    <row r="1137" spans="1:16" x14ac:dyDescent="0.35">
      <c r="A1137">
        <v>1140</v>
      </c>
      <c r="B1137">
        <v>583006630</v>
      </c>
      <c r="C1137">
        <v>37910</v>
      </c>
      <c r="D1137" t="s">
        <v>153</v>
      </c>
      <c r="E1137" t="s">
        <v>413</v>
      </c>
      <c r="F1137" t="s">
        <v>154</v>
      </c>
      <c r="G1137" t="s">
        <v>155</v>
      </c>
      <c r="H1137" t="s">
        <v>17</v>
      </c>
      <c r="I1137" t="s">
        <v>18</v>
      </c>
      <c r="J1137" t="s">
        <v>19</v>
      </c>
      <c r="K1137">
        <v>450</v>
      </c>
      <c r="L1137">
        <v>0</v>
      </c>
      <c r="M1137" t="s">
        <v>20</v>
      </c>
      <c r="N1137">
        <f>L1137/500</f>
        <v>0</v>
      </c>
      <c r="P1137">
        <f>K1137/800</f>
        <v>0.5625</v>
      </c>
    </row>
    <row r="1138" spans="1:16" x14ac:dyDescent="0.35">
      <c r="A1138">
        <v>1220</v>
      </c>
      <c r="B1138">
        <v>583006650</v>
      </c>
      <c r="C1138">
        <v>37932</v>
      </c>
      <c r="D1138" t="s">
        <v>153</v>
      </c>
      <c r="E1138" t="s">
        <v>420</v>
      </c>
      <c r="F1138" t="s">
        <v>154</v>
      </c>
      <c r="G1138" t="s">
        <v>155</v>
      </c>
      <c r="H1138" t="s">
        <v>17</v>
      </c>
      <c r="I1138" t="s">
        <v>18</v>
      </c>
      <c r="J1138" t="s">
        <v>19</v>
      </c>
      <c r="K1138">
        <v>2796</v>
      </c>
      <c r="L1138">
        <v>0</v>
      </c>
      <c r="M1138" t="s">
        <v>20</v>
      </c>
      <c r="N1138">
        <f>L1138/500</f>
        <v>0</v>
      </c>
      <c r="P1138">
        <f>K1138/800</f>
        <v>3.4950000000000001</v>
      </c>
    </row>
    <row r="1139" spans="1:16" x14ac:dyDescent="0.35">
      <c r="A1139">
        <v>1221</v>
      </c>
      <c r="B1139">
        <v>583006650</v>
      </c>
      <c r="C1139">
        <v>37932</v>
      </c>
      <c r="D1139" t="s">
        <v>153</v>
      </c>
      <c r="E1139" t="s">
        <v>420</v>
      </c>
      <c r="F1139" t="s">
        <v>154</v>
      </c>
      <c r="G1139" t="s">
        <v>155</v>
      </c>
      <c r="H1139" t="s">
        <v>17</v>
      </c>
      <c r="I1139" t="s">
        <v>18</v>
      </c>
      <c r="J1139" t="s">
        <v>19</v>
      </c>
      <c r="K1139">
        <v>486</v>
      </c>
      <c r="L1139">
        <v>0</v>
      </c>
      <c r="M1139" t="s">
        <v>20</v>
      </c>
      <c r="N1139">
        <f>L1139/500</f>
        <v>0</v>
      </c>
      <c r="P1139">
        <f>K1139/800</f>
        <v>0.60750000000000004</v>
      </c>
    </row>
    <row r="1140" spans="1:16" x14ac:dyDescent="0.35">
      <c r="A1140">
        <v>1222</v>
      </c>
      <c r="B1140">
        <v>583006650</v>
      </c>
      <c r="C1140">
        <v>37932</v>
      </c>
      <c r="D1140" t="s">
        <v>153</v>
      </c>
      <c r="E1140" t="s">
        <v>420</v>
      </c>
      <c r="F1140" t="s">
        <v>154</v>
      </c>
      <c r="G1140" t="s">
        <v>155</v>
      </c>
      <c r="H1140" t="s">
        <v>17</v>
      </c>
      <c r="I1140" t="s">
        <v>18</v>
      </c>
      <c r="J1140" t="s">
        <v>19</v>
      </c>
      <c r="K1140">
        <v>216</v>
      </c>
      <c r="L1140">
        <v>0</v>
      </c>
      <c r="M1140" t="s">
        <v>20</v>
      </c>
      <c r="N1140">
        <f>L1140/500</f>
        <v>0</v>
      </c>
      <c r="P1140">
        <f>K1140/800</f>
        <v>0.27</v>
      </c>
    </row>
    <row r="1141" spans="1:16" x14ac:dyDescent="0.35">
      <c r="A1141">
        <v>1223</v>
      </c>
      <c r="B1141">
        <v>583006650</v>
      </c>
      <c r="C1141">
        <v>37932</v>
      </c>
      <c r="D1141" t="s">
        <v>153</v>
      </c>
      <c r="E1141" t="s">
        <v>420</v>
      </c>
      <c r="F1141" t="s">
        <v>154</v>
      </c>
      <c r="G1141" t="s">
        <v>155</v>
      </c>
      <c r="H1141" t="s">
        <v>17</v>
      </c>
      <c r="I1141" t="s">
        <v>18</v>
      </c>
      <c r="J1141" t="s">
        <v>19</v>
      </c>
      <c r="K1141">
        <v>225</v>
      </c>
      <c r="L1141">
        <v>0</v>
      </c>
      <c r="M1141" t="s">
        <v>20</v>
      </c>
      <c r="N1141">
        <f>L1141/500</f>
        <v>0</v>
      </c>
      <c r="P1141">
        <f>K1141/800</f>
        <v>0.28125</v>
      </c>
    </row>
    <row r="1142" spans="1:16" x14ac:dyDescent="0.35">
      <c r="A1142">
        <v>1243</v>
      </c>
      <c r="B1142">
        <v>583006706</v>
      </c>
      <c r="C1142">
        <v>38012</v>
      </c>
      <c r="D1142" t="s">
        <v>153</v>
      </c>
      <c r="E1142" t="s">
        <v>424</v>
      </c>
      <c r="F1142" t="s">
        <v>154</v>
      </c>
      <c r="G1142" t="s">
        <v>155</v>
      </c>
      <c r="H1142" t="s">
        <v>17</v>
      </c>
      <c r="I1142" t="s">
        <v>18</v>
      </c>
      <c r="J1142" t="s">
        <v>19</v>
      </c>
      <c r="K1142">
        <v>174</v>
      </c>
      <c r="L1142">
        <v>0</v>
      </c>
      <c r="M1142" t="s">
        <v>20</v>
      </c>
      <c r="N1142">
        <f>L1142/500</f>
        <v>0</v>
      </c>
      <c r="P1142">
        <f>K1142/800</f>
        <v>0.2175</v>
      </c>
    </row>
    <row r="1143" spans="1:16" x14ac:dyDescent="0.35">
      <c r="A1143">
        <v>1247</v>
      </c>
      <c r="B1143">
        <v>583006706</v>
      </c>
      <c r="C1143">
        <v>38012</v>
      </c>
      <c r="D1143" t="s">
        <v>153</v>
      </c>
      <c r="E1143" t="s">
        <v>424</v>
      </c>
      <c r="F1143" t="s">
        <v>154</v>
      </c>
      <c r="G1143" t="s">
        <v>155</v>
      </c>
      <c r="H1143" t="s">
        <v>17</v>
      </c>
      <c r="I1143" t="s">
        <v>18</v>
      </c>
      <c r="J1143" t="s">
        <v>19</v>
      </c>
      <c r="K1143">
        <v>447</v>
      </c>
      <c r="L1143">
        <v>0</v>
      </c>
      <c r="M1143" t="s">
        <v>20</v>
      </c>
      <c r="N1143">
        <f>L1143/500</f>
        <v>0</v>
      </c>
      <c r="P1143">
        <f>K1143/800</f>
        <v>0.55874999999999997</v>
      </c>
    </row>
    <row r="1144" spans="1:16" x14ac:dyDescent="0.35">
      <c r="A1144">
        <v>1248</v>
      </c>
      <c r="B1144">
        <v>583006706</v>
      </c>
      <c r="C1144">
        <v>38012</v>
      </c>
      <c r="D1144" t="s">
        <v>153</v>
      </c>
      <c r="E1144" t="s">
        <v>424</v>
      </c>
      <c r="F1144" t="s">
        <v>154</v>
      </c>
      <c r="G1144" t="s">
        <v>155</v>
      </c>
      <c r="H1144" t="s">
        <v>17</v>
      </c>
      <c r="I1144" t="s">
        <v>18</v>
      </c>
      <c r="J1144" t="s">
        <v>19</v>
      </c>
      <c r="K1144">
        <v>1206</v>
      </c>
      <c r="L1144">
        <v>0</v>
      </c>
      <c r="M1144" t="s">
        <v>20</v>
      </c>
      <c r="N1144">
        <f>L1144/500</f>
        <v>0</v>
      </c>
      <c r="P1144">
        <f>K1144/800</f>
        <v>1.5075000000000001</v>
      </c>
    </row>
    <row r="1145" spans="1:16" x14ac:dyDescent="0.35">
      <c r="A1145">
        <v>1317</v>
      </c>
      <c r="B1145">
        <v>583006825</v>
      </c>
      <c r="C1145">
        <v>38175</v>
      </c>
      <c r="D1145" t="s">
        <v>153</v>
      </c>
      <c r="E1145" t="s">
        <v>434</v>
      </c>
      <c r="F1145" t="s">
        <v>154</v>
      </c>
      <c r="G1145" t="s">
        <v>155</v>
      </c>
      <c r="H1145" t="s">
        <v>17</v>
      </c>
      <c r="I1145" t="s">
        <v>18</v>
      </c>
      <c r="J1145" t="s">
        <v>19</v>
      </c>
      <c r="K1145">
        <v>1599</v>
      </c>
      <c r="L1145">
        <v>0</v>
      </c>
      <c r="M1145" t="s">
        <v>20</v>
      </c>
      <c r="N1145">
        <f>L1145/500</f>
        <v>0</v>
      </c>
      <c r="P1145">
        <f>K1145/800</f>
        <v>1.99875</v>
      </c>
    </row>
    <row r="1146" spans="1:16" x14ac:dyDescent="0.35">
      <c r="A1146">
        <v>1321</v>
      </c>
      <c r="B1146">
        <v>583006825</v>
      </c>
      <c r="C1146">
        <v>38175</v>
      </c>
      <c r="D1146" t="s">
        <v>153</v>
      </c>
      <c r="E1146" t="s">
        <v>434</v>
      </c>
      <c r="F1146" t="s">
        <v>154</v>
      </c>
      <c r="G1146" t="s">
        <v>155</v>
      </c>
      <c r="H1146" t="s">
        <v>17</v>
      </c>
      <c r="I1146" t="s">
        <v>18</v>
      </c>
      <c r="J1146" t="s">
        <v>19</v>
      </c>
      <c r="K1146">
        <v>216</v>
      </c>
      <c r="L1146">
        <v>0</v>
      </c>
      <c r="M1146" t="s">
        <v>20</v>
      </c>
      <c r="N1146">
        <f>L1146/500</f>
        <v>0</v>
      </c>
      <c r="P1146">
        <f>K1146/800</f>
        <v>0.27</v>
      </c>
    </row>
    <row r="1147" spans="1:16" x14ac:dyDescent="0.35">
      <c r="A1147">
        <v>527</v>
      </c>
      <c r="B1147">
        <v>583005823</v>
      </c>
      <c r="C1147">
        <v>36818</v>
      </c>
      <c r="D1147" t="s">
        <v>314</v>
      </c>
      <c r="E1147" t="s">
        <v>310</v>
      </c>
      <c r="F1147" t="s">
        <v>315</v>
      </c>
      <c r="G1147" t="s">
        <v>316</v>
      </c>
      <c r="H1147" t="s">
        <v>17</v>
      </c>
      <c r="I1147" t="s">
        <v>18</v>
      </c>
      <c r="J1147" t="s">
        <v>19</v>
      </c>
      <c r="K1147">
        <v>3600</v>
      </c>
      <c r="L1147">
        <v>0</v>
      </c>
      <c r="M1147" t="s">
        <v>20</v>
      </c>
      <c r="N1147">
        <f>L1147/500</f>
        <v>0</v>
      </c>
      <c r="P1147">
        <f>K1147/800</f>
        <v>4.5</v>
      </c>
    </row>
    <row r="1148" spans="1:16" x14ac:dyDescent="0.35">
      <c r="A1148">
        <v>528</v>
      </c>
      <c r="B1148">
        <v>583005823</v>
      </c>
      <c r="C1148">
        <v>36818</v>
      </c>
      <c r="D1148" t="s">
        <v>314</v>
      </c>
      <c r="E1148" t="s">
        <v>310</v>
      </c>
      <c r="F1148" t="s">
        <v>315</v>
      </c>
      <c r="G1148" t="s">
        <v>316</v>
      </c>
      <c r="H1148" t="s">
        <v>17</v>
      </c>
      <c r="I1148" t="s">
        <v>18</v>
      </c>
      <c r="J1148" t="s">
        <v>19</v>
      </c>
      <c r="K1148">
        <v>405</v>
      </c>
      <c r="L1148">
        <v>0</v>
      </c>
      <c r="M1148" t="s">
        <v>20</v>
      </c>
      <c r="N1148">
        <f>L1148/500</f>
        <v>0</v>
      </c>
      <c r="P1148">
        <f>K1148/800</f>
        <v>0.50624999999999998</v>
      </c>
    </row>
    <row r="1149" spans="1:16" x14ac:dyDescent="0.35">
      <c r="A1149">
        <v>657</v>
      </c>
      <c r="B1149">
        <v>583006017</v>
      </c>
      <c r="C1149">
        <v>37100</v>
      </c>
      <c r="D1149" t="s">
        <v>314</v>
      </c>
      <c r="E1149" t="s">
        <v>343</v>
      </c>
      <c r="F1149" t="s">
        <v>315</v>
      </c>
      <c r="G1149" t="s">
        <v>316</v>
      </c>
      <c r="H1149" t="s">
        <v>17</v>
      </c>
      <c r="I1149" t="s">
        <v>18</v>
      </c>
      <c r="J1149" t="s">
        <v>19</v>
      </c>
      <c r="K1149">
        <v>3960</v>
      </c>
      <c r="L1149">
        <v>0</v>
      </c>
      <c r="M1149" t="s">
        <v>20</v>
      </c>
      <c r="N1149">
        <f>L1149/500</f>
        <v>0</v>
      </c>
      <c r="P1149">
        <f>K1149/800</f>
        <v>4.95</v>
      </c>
    </row>
    <row r="1150" spans="1:16" x14ac:dyDescent="0.35">
      <c r="A1150">
        <v>658</v>
      </c>
      <c r="B1150">
        <v>583006017</v>
      </c>
      <c r="C1150">
        <v>37100</v>
      </c>
      <c r="D1150" t="s">
        <v>314</v>
      </c>
      <c r="E1150" t="s">
        <v>343</v>
      </c>
      <c r="F1150" t="s">
        <v>315</v>
      </c>
      <c r="G1150" t="s">
        <v>316</v>
      </c>
      <c r="H1150" t="s">
        <v>17</v>
      </c>
      <c r="I1150" t="s">
        <v>18</v>
      </c>
      <c r="J1150" t="s">
        <v>19</v>
      </c>
      <c r="K1150">
        <v>72</v>
      </c>
      <c r="L1150">
        <v>0</v>
      </c>
      <c r="M1150" t="s">
        <v>20</v>
      </c>
      <c r="N1150">
        <f>L1150/500</f>
        <v>0</v>
      </c>
      <c r="P1150">
        <f>K1150/800</f>
        <v>0.09</v>
      </c>
    </row>
    <row r="1151" spans="1:16" x14ac:dyDescent="0.35">
      <c r="A1151">
        <v>1207</v>
      </c>
      <c r="B1151">
        <v>583006649</v>
      </c>
      <c r="C1151">
        <v>37931</v>
      </c>
      <c r="D1151" t="s">
        <v>314</v>
      </c>
      <c r="E1151" t="s">
        <v>420</v>
      </c>
      <c r="F1151" t="s">
        <v>315</v>
      </c>
      <c r="G1151" t="s">
        <v>316</v>
      </c>
      <c r="H1151" t="s">
        <v>17</v>
      </c>
      <c r="I1151" t="s">
        <v>18</v>
      </c>
      <c r="J1151" t="s">
        <v>19</v>
      </c>
      <c r="K1151">
        <v>2322</v>
      </c>
      <c r="L1151">
        <v>0</v>
      </c>
      <c r="M1151" t="s">
        <v>20</v>
      </c>
      <c r="N1151">
        <f>L1151/500</f>
        <v>0</v>
      </c>
      <c r="P1151">
        <f>K1151/800</f>
        <v>2.9024999999999999</v>
      </c>
    </row>
    <row r="1152" spans="1:16" x14ac:dyDescent="0.35">
      <c r="A1152">
        <v>1208</v>
      </c>
      <c r="B1152">
        <v>583006649</v>
      </c>
      <c r="C1152">
        <v>37931</v>
      </c>
      <c r="D1152" t="s">
        <v>314</v>
      </c>
      <c r="E1152" t="s">
        <v>420</v>
      </c>
      <c r="F1152" t="s">
        <v>315</v>
      </c>
      <c r="G1152" t="s">
        <v>316</v>
      </c>
      <c r="H1152" t="s">
        <v>17</v>
      </c>
      <c r="I1152" t="s">
        <v>18</v>
      </c>
      <c r="J1152" t="s">
        <v>19</v>
      </c>
      <c r="K1152">
        <v>369</v>
      </c>
      <c r="L1152">
        <v>0</v>
      </c>
      <c r="M1152" t="s">
        <v>20</v>
      </c>
      <c r="N1152">
        <f>L1152/500</f>
        <v>0</v>
      </c>
      <c r="P1152">
        <f>K1152/800</f>
        <v>0.46124999999999999</v>
      </c>
    </row>
    <row r="1153" spans="1:16" x14ac:dyDescent="0.35">
      <c r="A1153">
        <v>1209</v>
      </c>
      <c r="B1153">
        <v>583006649</v>
      </c>
      <c r="C1153">
        <v>37931</v>
      </c>
      <c r="D1153" t="s">
        <v>314</v>
      </c>
      <c r="E1153" t="s">
        <v>420</v>
      </c>
      <c r="F1153" t="s">
        <v>315</v>
      </c>
      <c r="G1153" t="s">
        <v>316</v>
      </c>
      <c r="H1153" t="s">
        <v>17</v>
      </c>
      <c r="I1153" t="s">
        <v>18</v>
      </c>
      <c r="J1153" t="s">
        <v>19</v>
      </c>
      <c r="K1153">
        <v>1035</v>
      </c>
      <c r="L1153">
        <v>0</v>
      </c>
      <c r="M1153" t="s">
        <v>20</v>
      </c>
      <c r="N1153">
        <f>L1153/500</f>
        <v>0</v>
      </c>
      <c r="P1153">
        <f>K1153/800</f>
        <v>1.29375</v>
      </c>
    </row>
    <row r="1154" spans="1:16" x14ac:dyDescent="0.35">
      <c r="A1154">
        <v>1215</v>
      </c>
      <c r="B1154">
        <v>583006661</v>
      </c>
      <c r="C1154">
        <v>37946</v>
      </c>
      <c r="D1154" t="s">
        <v>314</v>
      </c>
      <c r="E1154" t="s">
        <v>420</v>
      </c>
      <c r="F1154" t="s">
        <v>315</v>
      </c>
      <c r="G1154" t="s">
        <v>316</v>
      </c>
      <c r="H1154" t="s">
        <v>17</v>
      </c>
      <c r="I1154" t="s">
        <v>18</v>
      </c>
      <c r="J1154" t="s">
        <v>19</v>
      </c>
      <c r="K1154">
        <v>2247</v>
      </c>
      <c r="L1154">
        <v>0</v>
      </c>
      <c r="M1154" t="s">
        <v>20</v>
      </c>
      <c r="N1154">
        <f>L1154/500</f>
        <v>0</v>
      </c>
      <c r="P1154">
        <f>K1154/800</f>
        <v>2.8087499999999999</v>
      </c>
    </row>
    <row r="1155" spans="1:16" x14ac:dyDescent="0.35">
      <c r="A1155">
        <v>1216</v>
      </c>
      <c r="B1155">
        <v>583006661</v>
      </c>
      <c r="C1155">
        <v>37946</v>
      </c>
      <c r="D1155" t="s">
        <v>314</v>
      </c>
      <c r="E1155" t="s">
        <v>420</v>
      </c>
      <c r="F1155" t="s">
        <v>315</v>
      </c>
      <c r="G1155" t="s">
        <v>316</v>
      </c>
      <c r="H1155" t="s">
        <v>17</v>
      </c>
      <c r="I1155" t="s">
        <v>18</v>
      </c>
      <c r="J1155" t="s">
        <v>19</v>
      </c>
      <c r="K1155">
        <v>114</v>
      </c>
      <c r="L1155">
        <v>0</v>
      </c>
      <c r="M1155" t="s">
        <v>20</v>
      </c>
      <c r="N1155">
        <f>L1155/500</f>
        <v>0</v>
      </c>
      <c r="P1155">
        <f>K1155/800</f>
        <v>0.14249999999999999</v>
      </c>
    </row>
    <row r="1156" spans="1:16" x14ac:dyDescent="0.35">
      <c r="A1156">
        <v>1217</v>
      </c>
      <c r="B1156">
        <v>583006661</v>
      </c>
      <c r="C1156">
        <v>37946</v>
      </c>
      <c r="D1156" t="s">
        <v>314</v>
      </c>
      <c r="E1156" t="s">
        <v>420</v>
      </c>
      <c r="F1156" t="s">
        <v>315</v>
      </c>
      <c r="G1156" t="s">
        <v>316</v>
      </c>
      <c r="H1156" t="s">
        <v>17</v>
      </c>
      <c r="I1156" t="s">
        <v>18</v>
      </c>
      <c r="J1156" t="s">
        <v>19</v>
      </c>
      <c r="K1156">
        <v>723</v>
      </c>
      <c r="L1156">
        <v>0</v>
      </c>
      <c r="M1156" t="s">
        <v>20</v>
      </c>
      <c r="N1156">
        <f>L1156/500</f>
        <v>0</v>
      </c>
      <c r="P1156">
        <f>K1156/800</f>
        <v>0.90375000000000005</v>
      </c>
    </row>
    <row r="1157" spans="1:16" x14ac:dyDescent="0.35">
      <c r="A1157">
        <v>1277</v>
      </c>
      <c r="B1157">
        <v>583006739</v>
      </c>
      <c r="C1157">
        <v>38056</v>
      </c>
      <c r="D1157" t="s">
        <v>314</v>
      </c>
      <c r="E1157" t="s">
        <v>424</v>
      </c>
      <c r="F1157" t="s">
        <v>315</v>
      </c>
      <c r="G1157" t="s">
        <v>316</v>
      </c>
      <c r="H1157" t="s">
        <v>17</v>
      </c>
      <c r="I1157" t="s">
        <v>18</v>
      </c>
      <c r="J1157" t="s">
        <v>19</v>
      </c>
      <c r="K1157">
        <v>216</v>
      </c>
      <c r="L1157">
        <v>0</v>
      </c>
      <c r="M1157" t="s">
        <v>20</v>
      </c>
      <c r="N1157">
        <f>L1157/500</f>
        <v>0</v>
      </c>
      <c r="P1157">
        <f>K1157/800</f>
        <v>0.27</v>
      </c>
    </row>
    <row r="1158" spans="1:16" x14ac:dyDescent="0.35">
      <c r="A1158">
        <v>1278</v>
      </c>
      <c r="B1158">
        <v>583006739</v>
      </c>
      <c r="C1158">
        <v>38056</v>
      </c>
      <c r="D1158" t="s">
        <v>314</v>
      </c>
      <c r="E1158" t="s">
        <v>424</v>
      </c>
      <c r="F1158" t="s">
        <v>315</v>
      </c>
      <c r="G1158" t="s">
        <v>316</v>
      </c>
      <c r="H1158" t="s">
        <v>17</v>
      </c>
      <c r="I1158" t="s">
        <v>18</v>
      </c>
      <c r="J1158" t="s">
        <v>19</v>
      </c>
      <c r="K1158">
        <v>729</v>
      </c>
      <c r="L1158">
        <v>0</v>
      </c>
      <c r="M1158" t="s">
        <v>20</v>
      </c>
      <c r="N1158">
        <f>L1158/500</f>
        <v>0</v>
      </c>
      <c r="P1158">
        <f>K1158/800</f>
        <v>0.91125</v>
      </c>
    </row>
    <row r="1159" spans="1:16" x14ac:dyDescent="0.35">
      <c r="A1159">
        <v>1279</v>
      </c>
      <c r="B1159">
        <v>583006739</v>
      </c>
      <c r="C1159">
        <v>38056</v>
      </c>
      <c r="D1159" t="s">
        <v>314</v>
      </c>
      <c r="E1159" t="s">
        <v>424</v>
      </c>
      <c r="F1159" t="s">
        <v>315</v>
      </c>
      <c r="G1159" t="s">
        <v>316</v>
      </c>
      <c r="H1159" t="s">
        <v>17</v>
      </c>
      <c r="I1159" t="s">
        <v>18</v>
      </c>
      <c r="J1159" t="s">
        <v>19</v>
      </c>
      <c r="K1159">
        <v>2859</v>
      </c>
      <c r="L1159">
        <v>0</v>
      </c>
      <c r="M1159" t="s">
        <v>20</v>
      </c>
      <c r="N1159">
        <f>L1159/500</f>
        <v>0</v>
      </c>
      <c r="P1159">
        <f>K1159/800</f>
        <v>3.57375</v>
      </c>
    </row>
    <row r="1160" spans="1:16" x14ac:dyDescent="0.35">
      <c r="A1160">
        <v>74</v>
      </c>
      <c r="B1160">
        <v>583005111</v>
      </c>
      <c r="C1160">
        <v>35831</v>
      </c>
      <c r="D1160" t="s">
        <v>119</v>
      </c>
      <c r="E1160" t="s">
        <v>81</v>
      </c>
      <c r="F1160" t="s">
        <v>120</v>
      </c>
      <c r="G1160" t="s">
        <v>121</v>
      </c>
      <c r="H1160" t="s">
        <v>17</v>
      </c>
      <c r="I1160" t="s">
        <v>18</v>
      </c>
      <c r="J1160" t="s">
        <v>19</v>
      </c>
      <c r="K1160">
        <v>12</v>
      </c>
      <c r="L1160">
        <v>0</v>
      </c>
      <c r="M1160" t="s">
        <v>20</v>
      </c>
      <c r="N1160">
        <f>L1160/500</f>
        <v>0</v>
      </c>
      <c r="P1160">
        <f>K1160/800</f>
        <v>1.4999999999999999E-2</v>
      </c>
    </row>
    <row r="1161" spans="1:16" x14ac:dyDescent="0.35">
      <c r="A1161">
        <v>87</v>
      </c>
      <c r="B1161">
        <v>583005162</v>
      </c>
      <c r="C1161">
        <v>35900</v>
      </c>
      <c r="D1161" t="s">
        <v>119</v>
      </c>
      <c r="E1161" t="s">
        <v>126</v>
      </c>
      <c r="F1161" t="s">
        <v>120</v>
      </c>
      <c r="G1161" t="s">
        <v>121</v>
      </c>
      <c r="H1161" t="s">
        <v>17</v>
      </c>
      <c r="I1161" t="s">
        <v>18</v>
      </c>
      <c r="J1161" t="s">
        <v>19</v>
      </c>
      <c r="K1161">
        <v>12</v>
      </c>
      <c r="L1161">
        <v>0</v>
      </c>
      <c r="M1161" t="s">
        <v>20</v>
      </c>
      <c r="N1161">
        <f>L1161/500</f>
        <v>0</v>
      </c>
      <c r="P1161">
        <f>K1161/800</f>
        <v>1.4999999999999999E-2</v>
      </c>
    </row>
    <row r="1162" spans="1:16" x14ac:dyDescent="0.35">
      <c r="A1162">
        <v>277</v>
      </c>
      <c r="B1162">
        <v>583005381</v>
      </c>
      <c r="C1162">
        <v>36202</v>
      </c>
      <c r="D1162" t="s">
        <v>119</v>
      </c>
      <c r="E1162" t="s">
        <v>237</v>
      </c>
      <c r="F1162" t="s">
        <v>120</v>
      </c>
      <c r="G1162" t="s">
        <v>121</v>
      </c>
      <c r="H1162" t="s">
        <v>17</v>
      </c>
      <c r="I1162" t="s">
        <v>18</v>
      </c>
      <c r="J1162" t="s">
        <v>19</v>
      </c>
      <c r="K1162">
        <v>21</v>
      </c>
      <c r="L1162">
        <v>0</v>
      </c>
      <c r="M1162" t="s">
        <v>20</v>
      </c>
      <c r="N1162">
        <f>L1162/500</f>
        <v>0</v>
      </c>
      <c r="P1162">
        <f>K1162/800</f>
        <v>2.6249999999999999E-2</v>
      </c>
    </row>
    <row r="1163" spans="1:16" x14ac:dyDescent="0.35">
      <c r="A1163">
        <v>689</v>
      </c>
      <c r="B1163">
        <v>583005999</v>
      </c>
      <c r="C1163">
        <v>37079</v>
      </c>
      <c r="D1163" t="s">
        <v>119</v>
      </c>
      <c r="E1163" t="s">
        <v>343</v>
      </c>
      <c r="F1163" t="s">
        <v>120</v>
      </c>
      <c r="G1163" t="s">
        <v>121</v>
      </c>
      <c r="H1163" t="s">
        <v>17</v>
      </c>
      <c r="I1163" t="s">
        <v>18</v>
      </c>
      <c r="J1163" t="s">
        <v>19</v>
      </c>
      <c r="K1163">
        <v>27</v>
      </c>
      <c r="L1163">
        <v>0</v>
      </c>
      <c r="M1163" t="s">
        <v>20</v>
      </c>
      <c r="N1163">
        <f>L1163/500</f>
        <v>0</v>
      </c>
      <c r="P1163">
        <f>K1163/800</f>
        <v>3.3750000000000002E-2</v>
      </c>
    </row>
    <row r="1164" spans="1:16" x14ac:dyDescent="0.35">
      <c r="A1164">
        <v>690</v>
      </c>
      <c r="B1164">
        <v>583005998</v>
      </c>
      <c r="C1164">
        <v>37078</v>
      </c>
      <c r="D1164" t="s">
        <v>119</v>
      </c>
      <c r="E1164" t="s">
        <v>343</v>
      </c>
      <c r="F1164" t="s">
        <v>120</v>
      </c>
      <c r="G1164" t="s">
        <v>121</v>
      </c>
      <c r="H1164" t="s">
        <v>17</v>
      </c>
      <c r="I1164" t="s">
        <v>18</v>
      </c>
      <c r="J1164" t="s">
        <v>19</v>
      </c>
      <c r="K1164">
        <v>45</v>
      </c>
      <c r="L1164">
        <v>0</v>
      </c>
      <c r="M1164" t="s">
        <v>20</v>
      </c>
      <c r="N1164">
        <f>L1164/500</f>
        <v>0</v>
      </c>
      <c r="P1164">
        <f>K1164/800</f>
        <v>5.6250000000000001E-2</v>
      </c>
    </row>
    <row r="1165" spans="1:16" x14ac:dyDescent="0.35">
      <c r="A1165">
        <v>358</v>
      </c>
      <c r="B1165">
        <v>583005478</v>
      </c>
      <c r="C1165">
        <v>36336</v>
      </c>
      <c r="D1165" t="s">
        <v>267</v>
      </c>
      <c r="E1165" t="s">
        <v>266</v>
      </c>
      <c r="F1165" t="s">
        <v>268</v>
      </c>
      <c r="G1165" t="s">
        <v>269</v>
      </c>
      <c r="H1165" t="s">
        <v>17</v>
      </c>
      <c r="I1165" t="s">
        <v>18</v>
      </c>
      <c r="J1165" t="s">
        <v>19</v>
      </c>
      <c r="K1165">
        <v>72</v>
      </c>
      <c r="L1165">
        <v>0</v>
      </c>
      <c r="M1165" t="s">
        <v>20</v>
      </c>
      <c r="N1165">
        <f>L1165/500</f>
        <v>0</v>
      </c>
      <c r="P1165">
        <f>K1165/800</f>
        <v>0.09</v>
      </c>
    </row>
    <row r="1166" spans="1:16" x14ac:dyDescent="0.35">
      <c r="A1166">
        <v>736</v>
      </c>
      <c r="B1166">
        <v>583006058</v>
      </c>
      <c r="C1166">
        <v>37156</v>
      </c>
      <c r="D1166" t="s">
        <v>267</v>
      </c>
      <c r="E1166" t="s">
        <v>347</v>
      </c>
      <c r="F1166" t="s">
        <v>268</v>
      </c>
      <c r="G1166" t="s">
        <v>269</v>
      </c>
      <c r="H1166" t="s">
        <v>17</v>
      </c>
      <c r="I1166" t="s">
        <v>18</v>
      </c>
      <c r="J1166" t="s">
        <v>19</v>
      </c>
      <c r="K1166">
        <v>1416</v>
      </c>
      <c r="L1166">
        <v>0</v>
      </c>
      <c r="M1166" t="s">
        <v>20</v>
      </c>
      <c r="N1166">
        <f>L1166/500</f>
        <v>0</v>
      </c>
      <c r="P1166">
        <f>K1166/800</f>
        <v>1.77</v>
      </c>
    </row>
    <row r="1167" spans="1:16" x14ac:dyDescent="0.35">
      <c r="A1167">
        <v>737</v>
      </c>
      <c r="B1167">
        <v>583006058</v>
      </c>
      <c r="C1167">
        <v>37156</v>
      </c>
      <c r="D1167" t="s">
        <v>267</v>
      </c>
      <c r="E1167" t="s">
        <v>347</v>
      </c>
      <c r="F1167" t="s">
        <v>268</v>
      </c>
      <c r="G1167" t="s">
        <v>269</v>
      </c>
      <c r="H1167" t="s">
        <v>17</v>
      </c>
      <c r="I1167" t="s">
        <v>18</v>
      </c>
      <c r="J1167" t="s">
        <v>19</v>
      </c>
      <c r="K1167">
        <v>324</v>
      </c>
      <c r="L1167">
        <v>0</v>
      </c>
      <c r="M1167" t="s">
        <v>20</v>
      </c>
      <c r="N1167">
        <f>L1167/500</f>
        <v>0</v>
      </c>
      <c r="P1167">
        <f>K1167/800</f>
        <v>0.40500000000000003</v>
      </c>
    </row>
    <row r="1168" spans="1:16" x14ac:dyDescent="0.35">
      <c r="A1168">
        <v>738</v>
      </c>
      <c r="B1168">
        <v>583006043</v>
      </c>
      <c r="C1168">
        <v>37132</v>
      </c>
      <c r="D1168" t="s">
        <v>267</v>
      </c>
      <c r="E1168" t="s">
        <v>347</v>
      </c>
      <c r="F1168" t="s">
        <v>268</v>
      </c>
      <c r="G1168" t="s">
        <v>269</v>
      </c>
      <c r="H1168" t="s">
        <v>17</v>
      </c>
      <c r="I1168" t="s">
        <v>18</v>
      </c>
      <c r="J1168" t="s">
        <v>19</v>
      </c>
      <c r="K1168">
        <v>612</v>
      </c>
      <c r="L1168">
        <v>0</v>
      </c>
      <c r="M1168" t="s">
        <v>20</v>
      </c>
      <c r="N1168">
        <f>L1168/500</f>
        <v>0</v>
      </c>
      <c r="P1168">
        <f>K1168/800</f>
        <v>0.76500000000000001</v>
      </c>
    </row>
    <row r="1169" spans="1:16" x14ac:dyDescent="0.35">
      <c r="A1169">
        <v>739</v>
      </c>
      <c r="B1169">
        <v>583006043</v>
      </c>
      <c r="C1169">
        <v>37132</v>
      </c>
      <c r="D1169" t="s">
        <v>267</v>
      </c>
      <c r="E1169" t="s">
        <v>347</v>
      </c>
      <c r="F1169" t="s">
        <v>268</v>
      </c>
      <c r="G1169" t="s">
        <v>269</v>
      </c>
      <c r="H1169" t="s">
        <v>17</v>
      </c>
      <c r="I1169" t="s">
        <v>18</v>
      </c>
      <c r="J1169" t="s">
        <v>19</v>
      </c>
      <c r="K1169">
        <v>1260</v>
      </c>
      <c r="L1169">
        <v>0</v>
      </c>
      <c r="M1169" t="s">
        <v>20</v>
      </c>
      <c r="N1169">
        <f>L1169/500</f>
        <v>0</v>
      </c>
      <c r="P1169">
        <f>K1169/800</f>
        <v>1.575</v>
      </c>
    </row>
    <row r="1170" spans="1:16" x14ac:dyDescent="0.35">
      <c r="A1170">
        <v>1235</v>
      </c>
      <c r="B1170">
        <v>583006744</v>
      </c>
      <c r="C1170">
        <v>38062</v>
      </c>
      <c r="D1170" t="s">
        <v>425</v>
      </c>
      <c r="E1170" t="s">
        <v>424</v>
      </c>
      <c r="F1170" t="s">
        <v>426</v>
      </c>
      <c r="G1170" t="s">
        <v>427</v>
      </c>
      <c r="H1170" t="s">
        <v>17</v>
      </c>
      <c r="I1170" t="s">
        <v>18</v>
      </c>
      <c r="J1170" t="s">
        <v>19</v>
      </c>
      <c r="K1170">
        <v>1800</v>
      </c>
      <c r="L1170">
        <v>0</v>
      </c>
      <c r="M1170" t="s">
        <v>20</v>
      </c>
      <c r="N1170">
        <f>L1170/500</f>
        <v>0</v>
      </c>
      <c r="P1170">
        <f>K1170/800</f>
        <v>2.25</v>
      </c>
    </row>
    <row r="1171" spans="1:16" x14ac:dyDescent="0.35">
      <c r="A1171">
        <v>1275</v>
      </c>
      <c r="B1171">
        <v>583006734</v>
      </c>
      <c r="C1171">
        <v>38050</v>
      </c>
      <c r="D1171" t="s">
        <v>431</v>
      </c>
      <c r="E1171" t="s">
        <v>424</v>
      </c>
      <c r="F1171" t="s">
        <v>432</v>
      </c>
      <c r="G1171" t="s">
        <v>433</v>
      </c>
      <c r="H1171" t="s">
        <v>17</v>
      </c>
      <c r="I1171" t="s">
        <v>18</v>
      </c>
      <c r="J1171" t="s">
        <v>19</v>
      </c>
      <c r="K1171">
        <v>468</v>
      </c>
      <c r="L1171">
        <v>0</v>
      </c>
      <c r="M1171" t="s">
        <v>20</v>
      </c>
      <c r="N1171">
        <f>L1171/500</f>
        <v>0</v>
      </c>
      <c r="P1171">
        <f>K1171/800</f>
        <v>0.58499999999999996</v>
      </c>
    </row>
    <row r="1172" spans="1:16" x14ac:dyDescent="0.35">
      <c r="A1172">
        <v>1276</v>
      </c>
      <c r="B1172">
        <v>583006734</v>
      </c>
      <c r="C1172">
        <v>38050</v>
      </c>
      <c r="D1172" t="s">
        <v>431</v>
      </c>
      <c r="E1172" t="s">
        <v>424</v>
      </c>
      <c r="F1172" t="s">
        <v>432</v>
      </c>
      <c r="G1172" t="s">
        <v>433</v>
      </c>
      <c r="H1172" t="s">
        <v>17</v>
      </c>
      <c r="I1172" t="s">
        <v>18</v>
      </c>
      <c r="J1172" t="s">
        <v>19</v>
      </c>
      <c r="K1172">
        <v>981</v>
      </c>
      <c r="L1172">
        <v>0</v>
      </c>
      <c r="M1172" t="s">
        <v>20</v>
      </c>
      <c r="N1172">
        <f>L1172/500</f>
        <v>0</v>
      </c>
      <c r="P1172">
        <f>K1172/800</f>
        <v>1.2262500000000001</v>
      </c>
    </row>
    <row r="1173" spans="1:16" x14ac:dyDescent="0.35">
      <c r="A1173">
        <v>1253</v>
      </c>
      <c r="B1173">
        <v>583006714</v>
      </c>
      <c r="C1173">
        <v>38020</v>
      </c>
      <c r="D1173" t="s">
        <v>428</v>
      </c>
      <c r="E1173" t="s">
        <v>424</v>
      </c>
      <c r="F1173" t="s">
        <v>429</v>
      </c>
      <c r="G1173" t="s">
        <v>430</v>
      </c>
      <c r="H1173" t="s">
        <v>17</v>
      </c>
      <c r="I1173" t="s">
        <v>18</v>
      </c>
      <c r="J1173" t="s">
        <v>19</v>
      </c>
      <c r="K1173">
        <v>324</v>
      </c>
      <c r="L1173">
        <v>0</v>
      </c>
      <c r="M1173" t="s">
        <v>20</v>
      </c>
      <c r="N1173">
        <f>L1173/500</f>
        <v>0</v>
      </c>
      <c r="P1173">
        <f>K1173/800</f>
        <v>0.40500000000000003</v>
      </c>
    </row>
    <row r="1174" spans="1:16" x14ac:dyDescent="0.35">
      <c r="A1174">
        <v>1254</v>
      </c>
      <c r="B1174">
        <v>583006714</v>
      </c>
      <c r="C1174">
        <v>38020</v>
      </c>
      <c r="D1174" t="s">
        <v>428</v>
      </c>
      <c r="E1174" t="s">
        <v>424</v>
      </c>
      <c r="F1174" t="s">
        <v>429</v>
      </c>
      <c r="G1174" t="s">
        <v>430</v>
      </c>
      <c r="H1174" t="s">
        <v>17</v>
      </c>
      <c r="I1174" t="s">
        <v>18</v>
      </c>
      <c r="J1174" t="s">
        <v>19</v>
      </c>
      <c r="K1174">
        <v>1440</v>
      </c>
      <c r="L1174">
        <v>0</v>
      </c>
      <c r="M1174" t="s">
        <v>20</v>
      </c>
      <c r="N1174">
        <f>L1174/500</f>
        <v>0</v>
      </c>
      <c r="P1174">
        <f>K1174/800</f>
        <v>1.8</v>
      </c>
    </row>
    <row r="1175" spans="1:16" x14ac:dyDescent="0.35">
      <c r="A1175">
        <v>1080</v>
      </c>
      <c r="B1175">
        <v>583006545</v>
      </c>
      <c r="C1175">
        <v>37805</v>
      </c>
      <c r="D1175" t="s">
        <v>403</v>
      </c>
      <c r="E1175" t="s">
        <v>404</v>
      </c>
      <c r="F1175" t="s">
        <v>405</v>
      </c>
      <c r="G1175" t="s">
        <v>406</v>
      </c>
      <c r="H1175" t="s">
        <v>17</v>
      </c>
      <c r="I1175" t="s">
        <v>18</v>
      </c>
      <c r="J1175" t="s">
        <v>19</v>
      </c>
      <c r="K1175">
        <v>84</v>
      </c>
      <c r="L1175">
        <v>0</v>
      </c>
      <c r="M1175" t="s">
        <v>20</v>
      </c>
      <c r="N1175">
        <f>L1175/500</f>
        <v>0</v>
      </c>
      <c r="P1175">
        <f>K1175/800</f>
        <v>0.105</v>
      </c>
    </row>
    <row r="1176" spans="1:16" x14ac:dyDescent="0.35">
      <c r="A1176">
        <v>1081</v>
      </c>
      <c r="B1176">
        <v>583006545</v>
      </c>
      <c r="C1176">
        <v>37805</v>
      </c>
      <c r="D1176" t="s">
        <v>403</v>
      </c>
      <c r="E1176" t="s">
        <v>404</v>
      </c>
      <c r="F1176" t="s">
        <v>405</v>
      </c>
      <c r="G1176" t="s">
        <v>406</v>
      </c>
      <c r="H1176" t="s">
        <v>17</v>
      </c>
      <c r="I1176" t="s">
        <v>18</v>
      </c>
      <c r="J1176" t="s">
        <v>19</v>
      </c>
      <c r="K1176">
        <v>2781</v>
      </c>
      <c r="L1176">
        <v>0</v>
      </c>
      <c r="M1176" t="s">
        <v>20</v>
      </c>
      <c r="N1176">
        <f>L1176/500</f>
        <v>0</v>
      </c>
      <c r="P1176">
        <f>K1176/800</f>
        <v>3.4762499999999998</v>
      </c>
    </row>
    <row r="1177" spans="1:16" x14ac:dyDescent="0.35">
      <c r="A1177">
        <v>1082</v>
      </c>
      <c r="B1177">
        <v>583006545</v>
      </c>
      <c r="C1177">
        <v>37805</v>
      </c>
      <c r="D1177" t="s">
        <v>403</v>
      </c>
      <c r="E1177" t="s">
        <v>404</v>
      </c>
      <c r="F1177" t="s">
        <v>405</v>
      </c>
      <c r="G1177" t="s">
        <v>406</v>
      </c>
      <c r="H1177" t="s">
        <v>17</v>
      </c>
      <c r="I1177" t="s">
        <v>18</v>
      </c>
      <c r="J1177" t="s">
        <v>19</v>
      </c>
      <c r="K1177">
        <v>909</v>
      </c>
      <c r="L1177">
        <v>0</v>
      </c>
      <c r="M1177" t="s">
        <v>20</v>
      </c>
      <c r="N1177">
        <f>L1177/500</f>
        <v>0</v>
      </c>
      <c r="P1177">
        <f>K1177/800</f>
        <v>1.13625</v>
      </c>
    </row>
    <row r="1178" spans="1:16" x14ac:dyDescent="0.35">
      <c r="A1178">
        <v>1020</v>
      </c>
      <c r="B1178">
        <v>583006463</v>
      </c>
      <c r="C1178">
        <v>37676</v>
      </c>
      <c r="D1178" t="s">
        <v>397</v>
      </c>
      <c r="E1178" t="s">
        <v>393</v>
      </c>
      <c r="F1178" t="s">
        <v>398</v>
      </c>
      <c r="G1178" t="s">
        <v>399</v>
      </c>
      <c r="H1178" t="s">
        <v>17</v>
      </c>
      <c r="I1178" t="s">
        <v>18</v>
      </c>
      <c r="J1178" t="s">
        <v>19</v>
      </c>
      <c r="K1178">
        <v>756</v>
      </c>
      <c r="L1178">
        <v>0</v>
      </c>
      <c r="M1178" t="s">
        <v>20</v>
      </c>
      <c r="N1178">
        <f>L1178/500</f>
        <v>0</v>
      </c>
      <c r="P1178">
        <f>K1178/800</f>
        <v>0.94499999999999995</v>
      </c>
    </row>
    <row r="1179" spans="1:16" x14ac:dyDescent="0.35">
      <c r="A1179">
        <v>1021</v>
      </c>
      <c r="B1179">
        <v>583006463</v>
      </c>
      <c r="C1179">
        <v>37676</v>
      </c>
      <c r="D1179" t="s">
        <v>397</v>
      </c>
      <c r="E1179" t="s">
        <v>393</v>
      </c>
      <c r="F1179" t="s">
        <v>398</v>
      </c>
      <c r="G1179" t="s">
        <v>399</v>
      </c>
      <c r="H1179" t="s">
        <v>17</v>
      </c>
      <c r="I1179" t="s">
        <v>18</v>
      </c>
      <c r="J1179" t="s">
        <v>19</v>
      </c>
      <c r="K1179">
        <v>2220</v>
      </c>
      <c r="L1179">
        <v>0</v>
      </c>
      <c r="M1179" t="s">
        <v>20</v>
      </c>
      <c r="N1179">
        <f>L1179/500</f>
        <v>0</v>
      </c>
      <c r="P1179">
        <f>K1179/800</f>
        <v>2.7749999999999999</v>
      </c>
    </row>
    <row r="1180" spans="1:16" x14ac:dyDescent="0.35">
      <c r="A1180">
        <v>1022</v>
      </c>
      <c r="B1180">
        <v>583006463</v>
      </c>
      <c r="C1180">
        <v>37676</v>
      </c>
      <c r="D1180" t="s">
        <v>397</v>
      </c>
      <c r="E1180" t="s">
        <v>393</v>
      </c>
      <c r="F1180" t="s">
        <v>398</v>
      </c>
      <c r="G1180" t="s">
        <v>399</v>
      </c>
      <c r="H1180" t="s">
        <v>17</v>
      </c>
      <c r="I1180" t="s">
        <v>18</v>
      </c>
      <c r="J1180" t="s">
        <v>19</v>
      </c>
      <c r="K1180">
        <v>954</v>
      </c>
      <c r="L1180">
        <v>0</v>
      </c>
      <c r="M1180" t="s">
        <v>20</v>
      </c>
      <c r="N1180">
        <f>L1180/500</f>
        <v>0</v>
      </c>
      <c r="P1180">
        <f>K1180/800</f>
        <v>1.1924999999999999</v>
      </c>
    </row>
    <row r="1181" spans="1:16" x14ac:dyDescent="0.35">
      <c r="A1181">
        <v>1023</v>
      </c>
      <c r="B1181">
        <v>583006463</v>
      </c>
      <c r="C1181">
        <v>37676</v>
      </c>
      <c r="D1181" t="s">
        <v>397</v>
      </c>
      <c r="E1181" t="s">
        <v>393</v>
      </c>
      <c r="F1181" t="s">
        <v>398</v>
      </c>
      <c r="G1181" t="s">
        <v>399</v>
      </c>
      <c r="H1181" t="s">
        <v>17</v>
      </c>
      <c r="I1181" t="s">
        <v>18</v>
      </c>
      <c r="J1181" t="s">
        <v>19</v>
      </c>
      <c r="K1181">
        <v>36</v>
      </c>
      <c r="L1181">
        <v>0</v>
      </c>
      <c r="M1181" t="s">
        <v>20</v>
      </c>
      <c r="N1181">
        <f>L1181/500</f>
        <v>0</v>
      </c>
      <c r="P1181">
        <f>K1181/800</f>
        <v>4.4999999999999998E-2</v>
      </c>
    </row>
    <row r="1182" spans="1:16" x14ac:dyDescent="0.35">
      <c r="A1182">
        <v>1069</v>
      </c>
      <c r="B1182">
        <v>583006481</v>
      </c>
      <c r="C1182">
        <v>37697</v>
      </c>
      <c r="D1182" t="s">
        <v>400</v>
      </c>
      <c r="E1182" t="s">
        <v>393</v>
      </c>
      <c r="F1182" t="s">
        <v>401</v>
      </c>
      <c r="G1182" t="s">
        <v>402</v>
      </c>
      <c r="H1182" t="s">
        <v>17</v>
      </c>
      <c r="I1182" t="s">
        <v>18</v>
      </c>
      <c r="J1182" t="s">
        <v>19</v>
      </c>
      <c r="K1182">
        <v>354</v>
      </c>
      <c r="L1182">
        <v>0</v>
      </c>
      <c r="M1182" t="s">
        <v>20</v>
      </c>
      <c r="N1182">
        <f>L1182/500</f>
        <v>0</v>
      </c>
      <c r="P1182">
        <f>K1182/800</f>
        <v>0.4425</v>
      </c>
    </row>
    <row r="1183" spans="1:16" x14ac:dyDescent="0.35">
      <c r="A1183">
        <v>1070</v>
      </c>
      <c r="B1183">
        <v>583006481</v>
      </c>
      <c r="C1183">
        <v>37697</v>
      </c>
      <c r="D1183" t="s">
        <v>400</v>
      </c>
      <c r="E1183" t="s">
        <v>393</v>
      </c>
      <c r="F1183" t="s">
        <v>401</v>
      </c>
      <c r="G1183" t="s">
        <v>402</v>
      </c>
      <c r="H1183" t="s">
        <v>17</v>
      </c>
      <c r="I1183" t="s">
        <v>18</v>
      </c>
      <c r="J1183" t="s">
        <v>19</v>
      </c>
      <c r="K1183">
        <v>72</v>
      </c>
      <c r="L1183">
        <v>0</v>
      </c>
      <c r="M1183" t="s">
        <v>20</v>
      </c>
      <c r="N1183">
        <f>L1183/500</f>
        <v>0</v>
      </c>
      <c r="P1183">
        <f>K1183/800</f>
        <v>0.09</v>
      </c>
    </row>
    <row r="1184" spans="1:16" x14ac:dyDescent="0.35">
      <c r="A1184">
        <v>1071</v>
      </c>
      <c r="B1184">
        <v>583006481</v>
      </c>
      <c r="C1184">
        <v>37697</v>
      </c>
      <c r="D1184" t="s">
        <v>400</v>
      </c>
      <c r="E1184" t="s">
        <v>393</v>
      </c>
      <c r="F1184" t="s">
        <v>401</v>
      </c>
      <c r="G1184" t="s">
        <v>402</v>
      </c>
      <c r="H1184" t="s">
        <v>17</v>
      </c>
      <c r="I1184" t="s">
        <v>18</v>
      </c>
      <c r="J1184" t="s">
        <v>19</v>
      </c>
      <c r="K1184">
        <v>2643</v>
      </c>
      <c r="L1184">
        <v>0</v>
      </c>
      <c r="M1184" t="s">
        <v>20</v>
      </c>
      <c r="N1184">
        <f>L1184/500</f>
        <v>0</v>
      </c>
      <c r="P1184">
        <f>K1184/800</f>
        <v>3.30375</v>
      </c>
    </row>
    <row r="1185" spans="1:16" x14ac:dyDescent="0.35">
      <c r="A1185">
        <v>1072</v>
      </c>
      <c r="B1185">
        <v>583006481</v>
      </c>
      <c r="C1185">
        <v>37697</v>
      </c>
      <c r="D1185" t="s">
        <v>400</v>
      </c>
      <c r="E1185" t="s">
        <v>393</v>
      </c>
      <c r="F1185" t="s">
        <v>401</v>
      </c>
      <c r="G1185" t="s">
        <v>402</v>
      </c>
      <c r="H1185" t="s">
        <v>17</v>
      </c>
      <c r="I1185" t="s">
        <v>18</v>
      </c>
      <c r="J1185" t="s">
        <v>19</v>
      </c>
      <c r="K1185">
        <v>792</v>
      </c>
      <c r="L1185">
        <v>0</v>
      </c>
      <c r="M1185" t="s">
        <v>20</v>
      </c>
      <c r="N1185">
        <f>L1185/500</f>
        <v>0</v>
      </c>
      <c r="P1185">
        <f>K1185/800</f>
        <v>0.99</v>
      </c>
    </row>
    <row r="1186" spans="1:16" x14ac:dyDescent="0.35">
      <c r="A1186">
        <v>1441</v>
      </c>
      <c r="B1186">
        <v>583006921</v>
      </c>
      <c r="C1186">
        <v>38314</v>
      </c>
      <c r="D1186" t="s">
        <v>400</v>
      </c>
      <c r="E1186" t="s">
        <v>451</v>
      </c>
      <c r="F1186" t="s">
        <v>401</v>
      </c>
      <c r="G1186" t="s">
        <v>402</v>
      </c>
      <c r="H1186" t="s">
        <v>17</v>
      </c>
      <c r="I1186" t="s">
        <v>18</v>
      </c>
      <c r="J1186" t="s">
        <v>19</v>
      </c>
      <c r="K1186">
        <v>21</v>
      </c>
      <c r="L1186">
        <v>0</v>
      </c>
      <c r="M1186" t="s">
        <v>20</v>
      </c>
      <c r="N1186">
        <f>L1186/500</f>
        <v>0</v>
      </c>
      <c r="P1186">
        <f>K1186/800</f>
        <v>2.6249999999999999E-2</v>
      </c>
    </row>
    <row r="1187" spans="1:16" x14ac:dyDescent="0.35">
      <c r="A1187">
        <v>1443</v>
      </c>
      <c r="B1187">
        <v>583006921</v>
      </c>
      <c r="C1187">
        <v>38314</v>
      </c>
      <c r="D1187" t="s">
        <v>400</v>
      </c>
      <c r="E1187" t="s">
        <v>451</v>
      </c>
      <c r="F1187" t="s">
        <v>401</v>
      </c>
      <c r="G1187" t="s">
        <v>402</v>
      </c>
      <c r="H1187" t="s">
        <v>17</v>
      </c>
      <c r="I1187" t="s">
        <v>18</v>
      </c>
      <c r="J1187" t="s">
        <v>19</v>
      </c>
      <c r="K1187">
        <v>1305</v>
      </c>
      <c r="L1187">
        <v>0</v>
      </c>
      <c r="M1187" t="s">
        <v>20</v>
      </c>
      <c r="N1187">
        <f>L1187/500</f>
        <v>0</v>
      </c>
      <c r="P1187">
        <f>K1187/800</f>
        <v>1.6312500000000001</v>
      </c>
    </row>
    <row r="1188" spans="1:16" x14ac:dyDescent="0.35">
      <c r="A1188">
        <v>1444</v>
      </c>
      <c r="B1188">
        <v>583006921</v>
      </c>
      <c r="C1188">
        <v>38314</v>
      </c>
      <c r="D1188" t="s">
        <v>400</v>
      </c>
      <c r="E1188" t="s">
        <v>451</v>
      </c>
      <c r="F1188" t="s">
        <v>401</v>
      </c>
      <c r="G1188" t="s">
        <v>402</v>
      </c>
      <c r="H1188" t="s">
        <v>17</v>
      </c>
      <c r="I1188" t="s">
        <v>18</v>
      </c>
      <c r="J1188" t="s">
        <v>19</v>
      </c>
      <c r="K1188">
        <v>2415</v>
      </c>
      <c r="L1188">
        <v>0</v>
      </c>
      <c r="M1188" t="s">
        <v>20</v>
      </c>
      <c r="N1188">
        <f>L1188/500</f>
        <v>0</v>
      </c>
      <c r="P1188">
        <f>K1188/800</f>
        <v>3.0187499999999998</v>
      </c>
    </row>
    <row r="1189" spans="1:16" x14ac:dyDescent="0.35">
      <c r="A1189">
        <v>910</v>
      </c>
      <c r="B1189">
        <v>583006275</v>
      </c>
      <c r="C1189">
        <v>37435</v>
      </c>
      <c r="D1189" t="s">
        <v>377</v>
      </c>
      <c r="E1189" t="s">
        <v>367</v>
      </c>
      <c r="F1189" t="s">
        <v>378</v>
      </c>
      <c r="G1189" t="s">
        <v>379</v>
      </c>
      <c r="H1189" t="s">
        <v>17</v>
      </c>
      <c r="I1189" t="s">
        <v>18</v>
      </c>
      <c r="J1189" t="s">
        <v>19</v>
      </c>
      <c r="K1189">
        <v>36</v>
      </c>
      <c r="L1189">
        <v>0</v>
      </c>
      <c r="M1189" t="s">
        <v>20</v>
      </c>
      <c r="N1189">
        <f>L1189/500</f>
        <v>0</v>
      </c>
      <c r="P1189">
        <f>K1189/800</f>
        <v>4.4999999999999998E-2</v>
      </c>
    </row>
    <row r="1190" spans="1:16" x14ac:dyDescent="0.35">
      <c r="A1190">
        <v>911</v>
      </c>
      <c r="B1190">
        <v>583006275</v>
      </c>
      <c r="C1190">
        <v>37435</v>
      </c>
      <c r="D1190" t="s">
        <v>377</v>
      </c>
      <c r="E1190" t="s">
        <v>367</v>
      </c>
      <c r="F1190" t="s">
        <v>378</v>
      </c>
      <c r="G1190" t="s">
        <v>379</v>
      </c>
      <c r="H1190" t="s">
        <v>17</v>
      </c>
      <c r="I1190" t="s">
        <v>18</v>
      </c>
      <c r="J1190" t="s">
        <v>19</v>
      </c>
      <c r="K1190">
        <v>1491</v>
      </c>
      <c r="L1190">
        <v>0</v>
      </c>
      <c r="M1190" t="s">
        <v>20</v>
      </c>
      <c r="N1190">
        <f>L1190/500</f>
        <v>0</v>
      </c>
      <c r="P1190">
        <f>K1190/800</f>
        <v>1.86375</v>
      </c>
    </row>
    <row r="1191" spans="1:16" x14ac:dyDescent="0.35">
      <c r="A1191">
        <v>912</v>
      </c>
      <c r="B1191">
        <v>583006275</v>
      </c>
      <c r="C1191">
        <v>37435</v>
      </c>
      <c r="D1191" t="s">
        <v>377</v>
      </c>
      <c r="E1191" t="s">
        <v>367</v>
      </c>
      <c r="F1191" t="s">
        <v>378</v>
      </c>
      <c r="G1191" t="s">
        <v>379</v>
      </c>
      <c r="H1191" t="s">
        <v>17</v>
      </c>
      <c r="I1191" t="s">
        <v>18</v>
      </c>
      <c r="J1191" t="s">
        <v>19</v>
      </c>
      <c r="K1191">
        <v>213</v>
      </c>
      <c r="L1191">
        <v>0</v>
      </c>
      <c r="M1191" t="s">
        <v>20</v>
      </c>
      <c r="N1191">
        <f>L1191/500</f>
        <v>0</v>
      </c>
      <c r="P1191">
        <f>K1191/800</f>
        <v>0.26624999999999999</v>
      </c>
    </row>
    <row r="1192" spans="1:16" x14ac:dyDescent="0.35">
      <c r="A1192">
        <v>225</v>
      </c>
      <c r="B1192">
        <v>583005309</v>
      </c>
      <c r="C1192">
        <v>36109</v>
      </c>
      <c r="D1192" t="s">
        <v>101</v>
      </c>
      <c r="E1192" t="s">
        <v>217</v>
      </c>
      <c r="F1192" t="s">
        <v>229</v>
      </c>
      <c r="G1192" t="s">
        <v>230</v>
      </c>
      <c r="H1192" t="s">
        <v>17</v>
      </c>
      <c r="I1192" t="s">
        <v>18</v>
      </c>
      <c r="J1192" t="s">
        <v>19</v>
      </c>
      <c r="K1192">
        <v>234</v>
      </c>
      <c r="L1192">
        <v>0</v>
      </c>
      <c r="M1192" t="s">
        <v>20</v>
      </c>
      <c r="N1192">
        <f>L1192/500</f>
        <v>0</v>
      </c>
      <c r="P1192">
        <f>K1192/800</f>
        <v>0.29249999999999998</v>
      </c>
    </row>
    <row r="1193" spans="1:16" x14ac:dyDescent="0.35">
      <c r="A1193">
        <v>226</v>
      </c>
      <c r="B1193">
        <v>583005309</v>
      </c>
      <c r="C1193">
        <v>36109</v>
      </c>
      <c r="D1193" t="s">
        <v>101</v>
      </c>
      <c r="E1193" t="s">
        <v>217</v>
      </c>
      <c r="F1193" t="s">
        <v>229</v>
      </c>
      <c r="G1193" t="s">
        <v>230</v>
      </c>
      <c r="H1193" t="s">
        <v>17</v>
      </c>
      <c r="I1193" t="s">
        <v>18</v>
      </c>
      <c r="J1193" t="s">
        <v>19</v>
      </c>
      <c r="K1193">
        <v>1551</v>
      </c>
      <c r="L1193">
        <v>0</v>
      </c>
      <c r="M1193" t="s">
        <v>20</v>
      </c>
      <c r="N1193">
        <f>L1193/500</f>
        <v>0</v>
      </c>
      <c r="P1193">
        <f>K1193/800</f>
        <v>1.93875</v>
      </c>
    </row>
    <row r="1194" spans="1:16" x14ac:dyDescent="0.35">
      <c r="A1194">
        <v>479</v>
      </c>
      <c r="B1194">
        <v>583005765</v>
      </c>
      <c r="C1194">
        <v>36731</v>
      </c>
      <c r="D1194" t="s">
        <v>101</v>
      </c>
      <c r="E1194" t="s">
        <v>300</v>
      </c>
      <c r="F1194" t="s">
        <v>229</v>
      </c>
      <c r="G1194" t="s">
        <v>230</v>
      </c>
      <c r="H1194" t="s">
        <v>17</v>
      </c>
      <c r="I1194" t="s">
        <v>18</v>
      </c>
      <c r="J1194" t="s">
        <v>19</v>
      </c>
      <c r="K1194">
        <v>1812</v>
      </c>
      <c r="L1194">
        <v>0</v>
      </c>
      <c r="M1194" t="s">
        <v>20</v>
      </c>
      <c r="N1194">
        <f>L1194/500</f>
        <v>0</v>
      </c>
      <c r="P1194">
        <f>K1194/800</f>
        <v>2.2650000000000001</v>
      </c>
    </row>
    <row r="1195" spans="1:16" x14ac:dyDescent="0.35">
      <c r="A1195">
        <v>908</v>
      </c>
      <c r="B1195">
        <v>583006288</v>
      </c>
      <c r="C1195">
        <v>37454</v>
      </c>
      <c r="D1195" t="s">
        <v>101</v>
      </c>
      <c r="E1195" t="s">
        <v>367</v>
      </c>
      <c r="F1195" t="s">
        <v>229</v>
      </c>
      <c r="G1195" t="s">
        <v>230</v>
      </c>
      <c r="H1195" t="s">
        <v>17</v>
      </c>
      <c r="I1195" t="s">
        <v>18</v>
      </c>
      <c r="J1195" t="s">
        <v>19</v>
      </c>
      <c r="K1195">
        <v>1824</v>
      </c>
      <c r="L1195">
        <v>0</v>
      </c>
      <c r="M1195" t="s">
        <v>20</v>
      </c>
      <c r="N1195">
        <f>L1195/500</f>
        <v>0</v>
      </c>
      <c r="P1195">
        <f>K1195/800</f>
        <v>2.2799999999999998</v>
      </c>
    </row>
    <row r="1196" spans="1:16" x14ac:dyDescent="0.35">
      <c r="A1196">
        <v>1138</v>
      </c>
      <c r="B1196">
        <v>583006589</v>
      </c>
      <c r="C1196">
        <v>37851</v>
      </c>
      <c r="D1196" t="s">
        <v>340</v>
      </c>
      <c r="E1196" t="s">
        <v>413</v>
      </c>
      <c r="F1196" t="s">
        <v>341</v>
      </c>
      <c r="G1196" t="s">
        <v>342</v>
      </c>
      <c r="H1196" t="s">
        <v>17</v>
      </c>
      <c r="I1196" t="s">
        <v>63</v>
      </c>
      <c r="J1196" t="s">
        <v>64</v>
      </c>
      <c r="K1196">
        <v>54</v>
      </c>
      <c r="L1196">
        <v>89.1</v>
      </c>
      <c r="M1196" t="s">
        <v>20</v>
      </c>
      <c r="N1196">
        <f>L1196/500</f>
        <v>0.1782</v>
      </c>
    </row>
    <row r="1197" spans="1:16" x14ac:dyDescent="0.35">
      <c r="A1197">
        <v>627</v>
      </c>
      <c r="B1197">
        <v>583005910</v>
      </c>
      <c r="C1197">
        <v>36961</v>
      </c>
      <c r="D1197" t="s">
        <v>340</v>
      </c>
      <c r="E1197" t="s">
        <v>324</v>
      </c>
      <c r="F1197" t="s">
        <v>341</v>
      </c>
      <c r="G1197" t="s">
        <v>342</v>
      </c>
      <c r="H1197" t="s">
        <v>17</v>
      </c>
      <c r="I1197" t="s">
        <v>18</v>
      </c>
      <c r="J1197" t="s">
        <v>19</v>
      </c>
      <c r="K1197">
        <v>24</v>
      </c>
      <c r="L1197">
        <v>0</v>
      </c>
      <c r="M1197" t="s">
        <v>20</v>
      </c>
      <c r="N1197">
        <f>L1197/500</f>
        <v>0</v>
      </c>
      <c r="P1197">
        <f>K1197/800</f>
        <v>0.03</v>
      </c>
    </row>
    <row r="1198" spans="1:16" x14ac:dyDescent="0.35">
      <c r="A1198">
        <v>762</v>
      </c>
      <c r="B1198">
        <v>583006042</v>
      </c>
      <c r="C1198">
        <v>37131</v>
      </c>
      <c r="D1198" t="s">
        <v>354</v>
      </c>
      <c r="E1198" t="s">
        <v>347</v>
      </c>
      <c r="F1198" t="s">
        <v>355</v>
      </c>
      <c r="G1198" t="s">
        <v>356</v>
      </c>
      <c r="H1198" t="s">
        <v>17</v>
      </c>
      <c r="I1198" t="s">
        <v>18</v>
      </c>
      <c r="J1198" t="s">
        <v>19</v>
      </c>
      <c r="K1198">
        <v>144</v>
      </c>
      <c r="L1198">
        <v>0</v>
      </c>
      <c r="M1198" t="s">
        <v>20</v>
      </c>
      <c r="N1198">
        <f>L1198/500</f>
        <v>0</v>
      </c>
      <c r="P1198">
        <f>K1198/800</f>
        <v>0.18</v>
      </c>
    </row>
    <row r="1199" spans="1:16" x14ac:dyDescent="0.35">
      <c r="A1199">
        <v>763</v>
      </c>
      <c r="B1199">
        <v>583006042</v>
      </c>
      <c r="C1199">
        <v>37131</v>
      </c>
      <c r="D1199" t="s">
        <v>354</v>
      </c>
      <c r="E1199" t="s">
        <v>347</v>
      </c>
      <c r="F1199" t="s">
        <v>355</v>
      </c>
      <c r="G1199" t="s">
        <v>356</v>
      </c>
      <c r="H1199" t="s">
        <v>17</v>
      </c>
      <c r="I1199" t="s">
        <v>18</v>
      </c>
      <c r="J1199" t="s">
        <v>19</v>
      </c>
      <c r="K1199">
        <v>1116</v>
      </c>
      <c r="L1199">
        <v>0</v>
      </c>
      <c r="M1199" t="s">
        <v>20</v>
      </c>
      <c r="N1199">
        <f>L1199/500</f>
        <v>0</v>
      </c>
      <c r="P1199">
        <f>K1199/800</f>
        <v>1.395</v>
      </c>
    </row>
    <row r="1200" spans="1:16" x14ac:dyDescent="0.35">
      <c r="A1200">
        <v>764</v>
      </c>
      <c r="B1200">
        <v>583006042</v>
      </c>
      <c r="C1200">
        <v>37131</v>
      </c>
      <c r="D1200" t="s">
        <v>354</v>
      </c>
      <c r="E1200" t="s">
        <v>347</v>
      </c>
      <c r="F1200" t="s">
        <v>355</v>
      </c>
      <c r="G1200" t="s">
        <v>356</v>
      </c>
      <c r="H1200" t="s">
        <v>17</v>
      </c>
      <c r="I1200" t="s">
        <v>18</v>
      </c>
      <c r="J1200" t="s">
        <v>19</v>
      </c>
      <c r="K1200">
        <v>180</v>
      </c>
      <c r="L1200">
        <v>0</v>
      </c>
      <c r="M1200" t="s">
        <v>20</v>
      </c>
      <c r="N1200">
        <f>L1200/500</f>
        <v>0</v>
      </c>
      <c r="P1200">
        <f>K1200/800</f>
        <v>0.22500000000000001</v>
      </c>
    </row>
    <row r="1201" spans="1:17" x14ac:dyDescent="0.35">
      <c r="A1201">
        <v>388</v>
      </c>
      <c r="B1201">
        <v>583005558</v>
      </c>
      <c r="C1201">
        <v>36452</v>
      </c>
      <c r="D1201" t="s">
        <v>277</v>
      </c>
      <c r="E1201" t="s">
        <v>270</v>
      </c>
      <c r="F1201" t="s">
        <v>278</v>
      </c>
      <c r="G1201" t="s">
        <v>279</v>
      </c>
      <c r="H1201" t="s">
        <v>17</v>
      </c>
      <c r="I1201" t="s">
        <v>18</v>
      </c>
      <c r="J1201" t="s">
        <v>19</v>
      </c>
      <c r="K1201">
        <v>12</v>
      </c>
      <c r="L1201">
        <v>0</v>
      </c>
      <c r="M1201" t="s">
        <v>20</v>
      </c>
      <c r="N1201">
        <f>L1201/500</f>
        <v>0</v>
      </c>
      <c r="P1201">
        <f>K1201/800</f>
        <v>1.4999999999999999E-2</v>
      </c>
    </row>
    <row r="1202" spans="1:17" x14ac:dyDescent="0.35">
      <c r="A1202">
        <v>1034</v>
      </c>
      <c r="B1202">
        <v>583006434</v>
      </c>
      <c r="C1202">
        <v>37644</v>
      </c>
      <c r="D1202" t="s">
        <v>277</v>
      </c>
      <c r="E1202" t="s">
        <v>393</v>
      </c>
      <c r="F1202" t="s">
        <v>278</v>
      </c>
      <c r="G1202" t="s">
        <v>279</v>
      </c>
      <c r="H1202" t="s">
        <v>17</v>
      </c>
      <c r="I1202" t="s">
        <v>18</v>
      </c>
      <c r="J1202" t="s">
        <v>19</v>
      </c>
      <c r="K1202">
        <v>621</v>
      </c>
      <c r="L1202">
        <v>0</v>
      </c>
      <c r="M1202" t="s">
        <v>20</v>
      </c>
      <c r="N1202">
        <f>L1202/500</f>
        <v>0</v>
      </c>
      <c r="P1202">
        <f>K1202/800</f>
        <v>0.77625</v>
      </c>
    </row>
    <row r="1203" spans="1:17" x14ac:dyDescent="0.35">
      <c r="A1203">
        <v>1035</v>
      </c>
      <c r="B1203">
        <v>583006434</v>
      </c>
      <c r="C1203">
        <v>37644</v>
      </c>
      <c r="D1203" t="s">
        <v>277</v>
      </c>
      <c r="E1203" t="s">
        <v>393</v>
      </c>
      <c r="F1203" t="s">
        <v>278</v>
      </c>
      <c r="G1203" t="s">
        <v>279</v>
      </c>
      <c r="H1203" t="s">
        <v>17</v>
      </c>
      <c r="I1203" t="s">
        <v>18</v>
      </c>
      <c r="J1203" t="s">
        <v>19</v>
      </c>
      <c r="K1203">
        <v>312</v>
      </c>
      <c r="L1203">
        <v>0</v>
      </c>
      <c r="M1203" t="s">
        <v>20</v>
      </c>
      <c r="N1203">
        <f>L1203/500</f>
        <v>0</v>
      </c>
      <c r="P1203">
        <f>K1203/800</f>
        <v>0.39</v>
      </c>
    </row>
    <row r="1204" spans="1:17" x14ac:dyDescent="0.35">
      <c r="A1204">
        <v>1036</v>
      </c>
      <c r="B1204">
        <v>583006434</v>
      </c>
      <c r="C1204">
        <v>37644</v>
      </c>
      <c r="D1204" t="s">
        <v>277</v>
      </c>
      <c r="E1204" t="s">
        <v>393</v>
      </c>
      <c r="F1204" t="s">
        <v>278</v>
      </c>
      <c r="G1204" t="s">
        <v>279</v>
      </c>
      <c r="H1204" t="s">
        <v>17</v>
      </c>
      <c r="I1204" t="s">
        <v>18</v>
      </c>
      <c r="J1204" t="s">
        <v>19</v>
      </c>
      <c r="K1204">
        <v>501</v>
      </c>
      <c r="L1204">
        <v>0</v>
      </c>
      <c r="M1204" t="s">
        <v>20</v>
      </c>
      <c r="N1204">
        <f>L1204/500</f>
        <v>0</v>
      </c>
      <c r="P1204">
        <f>K1204/800</f>
        <v>0.62624999999999997</v>
      </c>
    </row>
    <row r="1205" spans="1:17" x14ac:dyDescent="0.35">
      <c r="A1205">
        <v>1037</v>
      </c>
      <c r="B1205">
        <v>583006434</v>
      </c>
      <c r="C1205">
        <v>37644</v>
      </c>
      <c r="D1205" t="s">
        <v>277</v>
      </c>
      <c r="E1205" t="s">
        <v>393</v>
      </c>
      <c r="F1205" t="s">
        <v>278</v>
      </c>
      <c r="G1205" t="s">
        <v>279</v>
      </c>
      <c r="H1205" t="s">
        <v>17</v>
      </c>
      <c r="I1205" t="s">
        <v>18</v>
      </c>
      <c r="J1205" t="s">
        <v>19</v>
      </c>
      <c r="K1205">
        <v>966</v>
      </c>
      <c r="L1205">
        <v>0</v>
      </c>
      <c r="M1205" t="s">
        <v>20</v>
      </c>
      <c r="N1205">
        <f>L1205/500</f>
        <v>0</v>
      </c>
      <c r="P1205">
        <f>K1205/800</f>
        <v>1.2075</v>
      </c>
    </row>
    <row r="1206" spans="1:17" x14ac:dyDescent="0.35">
      <c r="A1206">
        <v>1246</v>
      </c>
      <c r="B1206">
        <v>583006715</v>
      </c>
      <c r="C1206">
        <v>38021</v>
      </c>
      <c r="D1206" t="s">
        <v>277</v>
      </c>
      <c r="E1206" t="s">
        <v>424</v>
      </c>
      <c r="F1206" t="s">
        <v>278</v>
      </c>
      <c r="G1206" t="s">
        <v>279</v>
      </c>
      <c r="H1206" t="s">
        <v>17</v>
      </c>
      <c r="I1206" t="s">
        <v>18</v>
      </c>
      <c r="J1206" t="s">
        <v>19</v>
      </c>
      <c r="K1206">
        <v>36</v>
      </c>
      <c r="L1206">
        <v>0</v>
      </c>
      <c r="M1206" t="s">
        <v>20</v>
      </c>
      <c r="N1206">
        <f>L1206/500</f>
        <v>0</v>
      </c>
      <c r="P1206">
        <f>K1206/800</f>
        <v>4.4999999999999998E-2</v>
      </c>
    </row>
    <row r="1207" spans="1:17" x14ac:dyDescent="0.35">
      <c r="A1207">
        <v>94</v>
      </c>
      <c r="B1207">
        <v>583005136</v>
      </c>
      <c r="C1207">
        <v>35868</v>
      </c>
      <c r="E1207" t="s">
        <v>126</v>
      </c>
      <c r="F1207" t="s">
        <v>142</v>
      </c>
      <c r="G1207" t="s">
        <v>143</v>
      </c>
      <c r="H1207" t="s">
        <v>17</v>
      </c>
      <c r="I1207" t="s">
        <v>63</v>
      </c>
      <c r="J1207" t="s">
        <v>64</v>
      </c>
      <c r="K1207">
        <v>1344</v>
      </c>
      <c r="L1207">
        <v>2378.88</v>
      </c>
      <c r="M1207" t="s">
        <v>20</v>
      </c>
      <c r="N1207">
        <f>L1207/500</f>
        <v>4.7577600000000002</v>
      </c>
    </row>
    <row r="1208" spans="1:17" x14ac:dyDescent="0.35">
      <c r="A1208">
        <v>1364</v>
      </c>
      <c r="B1208">
        <v>583006757</v>
      </c>
      <c r="C1208">
        <v>38090</v>
      </c>
      <c r="D1208" t="s">
        <v>441</v>
      </c>
      <c r="E1208" t="s">
        <v>434</v>
      </c>
      <c r="F1208" t="s">
        <v>442</v>
      </c>
      <c r="G1208" t="s">
        <v>443</v>
      </c>
      <c r="H1208" t="s">
        <v>17</v>
      </c>
      <c r="I1208" t="s">
        <v>18</v>
      </c>
      <c r="J1208" t="s">
        <v>19</v>
      </c>
      <c r="K1208">
        <v>12</v>
      </c>
      <c r="L1208">
        <v>0</v>
      </c>
      <c r="M1208" t="s">
        <v>20</v>
      </c>
      <c r="N1208">
        <f>L1208/500</f>
        <v>0</v>
      </c>
      <c r="P1208">
        <f>K1208/800</f>
        <v>1.4999999999999999E-2</v>
      </c>
    </row>
    <row r="1209" spans="1:17" x14ac:dyDescent="0.35">
      <c r="A1209">
        <v>1432</v>
      </c>
      <c r="B1209">
        <v>583006867</v>
      </c>
      <c r="C1209">
        <v>38236</v>
      </c>
      <c r="D1209" t="s">
        <v>448</v>
      </c>
      <c r="E1209" t="s">
        <v>444</v>
      </c>
      <c r="F1209" t="s">
        <v>449</v>
      </c>
      <c r="G1209" t="s">
        <v>450</v>
      </c>
      <c r="H1209" t="s">
        <v>17</v>
      </c>
      <c r="I1209" t="s">
        <v>18</v>
      </c>
      <c r="J1209" t="s">
        <v>19</v>
      </c>
      <c r="K1209">
        <v>495</v>
      </c>
      <c r="L1209">
        <v>0</v>
      </c>
      <c r="M1209" t="s">
        <v>20</v>
      </c>
      <c r="N1209">
        <f>L1209/500</f>
        <v>0</v>
      </c>
      <c r="P1209">
        <f>K1209/800</f>
        <v>0.61875000000000002</v>
      </c>
    </row>
    <row r="1210" spans="1:17" x14ac:dyDescent="0.35">
      <c r="A1210">
        <v>172</v>
      </c>
      <c r="B1210">
        <v>583005233</v>
      </c>
      <c r="C1210">
        <v>35994</v>
      </c>
      <c r="D1210" t="s">
        <v>181</v>
      </c>
      <c r="E1210" t="s">
        <v>177</v>
      </c>
      <c r="F1210" t="s">
        <v>182</v>
      </c>
      <c r="G1210" t="s">
        <v>183</v>
      </c>
      <c r="H1210" t="s">
        <v>17</v>
      </c>
      <c r="I1210" t="s">
        <v>135</v>
      </c>
      <c r="J1210" t="s">
        <v>19</v>
      </c>
      <c r="K1210">
        <v>300</v>
      </c>
      <c r="L1210">
        <v>0</v>
      </c>
      <c r="M1210" t="s">
        <v>20</v>
      </c>
      <c r="N1210">
        <f>L1210/500</f>
        <v>0</v>
      </c>
      <c r="Q1210">
        <f t="shared" ref="Q1210:Q1267" si="0">K1210/2500</f>
        <v>0.12</v>
      </c>
    </row>
    <row r="1211" spans="1:17" x14ac:dyDescent="0.35">
      <c r="A1211">
        <v>191</v>
      </c>
      <c r="B1211">
        <v>583005243</v>
      </c>
      <c r="C1211">
        <v>36012</v>
      </c>
      <c r="D1211" t="s">
        <v>181</v>
      </c>
      <c r="E1211" t="s">
        <v>200</v>
      </c>
      <c r="F1211" t="s">
        <v>182</v>
      </c>
      <c r="G1211" t="s">
        <v>183</v>
      </c>
      <c r="H1211" t="s">
        <v>17</v>
      </c>
      <c r="I1211" t="s">
        <v>135</v>
      </c>
      <c r="J1211" t="s">
        <v>19</v>
      </c>
      <c r="K1211">
        <v>450</v>
      </c>
      <c r="L1211">
        <v>0</v>
      </c>
      <c r="M1211" t="s">
        <v>20</v>
      </c>
      <c r="N1211">
        <f>L1211/500</f>
        <v>0</v>
      </c>
      <c r="Q1211">
        <f t="shared" si="0"/>
        <v>0.18</v>
      </c>
    </row>
    <row r="1212" spans="1:17" x14ac:dyDescent="0.35">
      <c r="A1212">
        <v>243</v>
      </c>
      <c r="B1212">
        <v>583005386</v>
      </c>
      <c r="C1212">
        <v>36207</v>
      </c>
      <c r="D1212" t="s">
        <v>238</v>
      </c>
      <c r="E1212" t="s">
        <v>237</v>
      </c>
      <c r="F1212" t="s">
        <v>239</v>
      </c>
      <c r="G1212" t="s">
        <v>240</v>
      </c>
      <c r="H1212" t="s">
        <v>17</v>
      </c>
      <c r="I1212" t="s">
        <v>135</v>
      </c>
      <c r="J1212" t="s">
        <v>19</v>
      </c>
      <c r="K1212">
        <v>600</v>
      </c>
      <c r="L1212">
        <v>0</v>
      </c>
      <c r="M1212" t="s">
        <v>20</v>
      </c>
      <c r="N1212">
        <f>L1212/500</f>
        <v>0</v>
      </c>
      <c r="Q1212">
        <f t="shared" si="0"/>
        <v>0.24</v>
      </c>
    </row>
    <row r="1213" spans="1:17" x14ac:dyDescent="0.35">
      <c r="A1213">
        <v>244</v>
      </c>
      <c r="B1213">
        <v>583005383</v>
      </c>
      <c r="C1213">
        <v>36204</v>
      </c>
      <c r="D1213" t="s">
        <v>13</v>
      </c>
      <c r="E1213" t="s">
        <v>237</v>
      </c>
      <c r="F1213" t="s">
        <v>15</v>
      </c>
      <c r="G1213" t="s">
        <v>16</v>
      </c>
      <c r="H1213" t="s">
        <v>17</v>
      </c>
      <c r="I1213" t="s">
        <v>135</v>
      </c>
      <c r="J1213" t="s">
        <v>19</v>
      </c>
      <c r="K1213">
        <v>132</v>
      </c>
      <c r="L1213">
        <v>0</v>
      </c>
      <c r="M1213" t="s">
        <v>20</v>
      </c>
      <c r="N1213">
        <f>L1213/500</f>
        <v>0</v>
      </c>
      <c r="Q1213">
        <f t="shared" si="0"/>
        <v>5.28E-2</v>
      </c>
    </row>
    <row r="1214" spans="1:17" x14ac:dyDescent="0.35">
      <c r="A1214">
        <v>282</v>
      </c>
      <c r="B1214">
        <v>583005432</v>
      </c>
      <c r="C1214">
        <v>36277</v>
      </c>
      <c r="D1214" t="s">
        <v>257</v>
      </c>
      <c r="E1214" t="s">
        <v>254</v>
      </c>
      <c r="F1214" t="s">
        <v>258</v>
      </c>
      <c r="G1214" t="s">
        <v>259</v>
      </c>
      <c r="H1214" t="s">
        <v>17</v>
      </c>
      <c r="I1214" t="s">
        <v>135</v>
      </c>
      <c r="J1214" t="s">
        <v>19</v>
      </c>
      <c r="K1214">
        <v>516</v>
      </c>
      <c r="L1214">
        <v>0</v>
      </c>
      <c r="M1214" t="s">
        <v>20</v>
      </c>
      <c r="N1214">
        <f>L1214/500</f>
        <v>0</v>
      </c>
      <c r="Q1214">
        <f t="shared" si="0"/>
        <v>0.2064</v>
      </c>
    </row>
    <row r="1215" spans="1:17" x14ac:dyDescent="0.35">
      <c r="A1215">
        <v>287</v>
      </c>
      <c r="B1215">
        <v>583005455</v>
      </c>
      <c r="C1215">
        <v>36305</v>
      </c>
      <c r="D1215" t="s">
        <v>21</v>
      </c>
      <c r="E1215" t="s">
        <v>254</v>
      </c>
      <c r="F1215" t="s">
        <v>22</v>
      </c>
      <c r="G1215" t="s">
        <v>23</v>
      </c>
      <c r="H1215" t="s">
        <v>17</v>
      </c>
      <c r="I1215" t="s">
        <v>135</v>
      </c>
      <c r="J1215" t="s">
        <v>19</v>
      </c>
      <c r="K1215">
        <v>1350</v>
      </c>
      <c r="L1215">
        <v>0</v>
      </c>
      <c r="M1215" t="s">
        <v>20</v>
      </c>
      <c r="N1215">
        <f>L1215/500</f>
        <v>0</v>
      </c>
      <c r="Q1215">
        <f t="shared" si="0"/>
        <v>0.54</v>
      </c>
    </row>
    <row r="1216" spans="1:17" x14ac:dyDescent="0.35">
      <c r="A1216">
        <v>310</v>
      </c>
      <c r="B1216">
        <v>583005427</v>
      </c>
      <c r="C1216">
        <v>36270</v>
      </c>
      <c r="D1216" t="s">
        <v>32</v>
      </c>
      <c r="E1216" t="s">
        <v>254</v>
      </c>
      <c r="F1216" t="s">
        <v>33</v>
      </c>
      <c r="G1216" t="s">
        <v>34</v>
      </c>
      <c r="H1216" t="s">
        <v>17</v>
      </c>
      <c r="I1216" t="s">
        <v>135</v>
      </c>
      <c r="J1216" t="s">
        <v>19</v>
      </c>
      <c r="K1216">
        <v>225</v>
      </c>
      <c r="L1216">
        <v>0</v>
      </c>
      <c r="M1216" t="s">
        <v>20</v>
      </c>
      <c r="N1216">
        <f>L1216/500</f>
        <v>0</v>
      </c>
      <c r="Q1216">
        <f t="shared" si="0"/>
        <v>0.09</v>
      </c>
    </row>
    <row r="1217" spans="1:17" x14ac:dyDescent="0.35">
      <c r="A1217">
        <v>311</v>
      </c>
      <c r="B1217">
        <v>583005426</v>
      </c>
      <c r="C1217">
        <v>36269</v>
      </c>
      <c r="D1217" t="s">
        <v>32</v>
      </c>
      <c r="E1217" t="s">
        <v>254</v>
      </c>
      <c r="F1217" t="s">
        <v>33</v>
      </c>
      <c r="G1217" t="s">
        <v>34</v>
      </c>
      <c r="H1217" t="s">
        <v>17</v>
      </c>
      <c r="I1217" t="s">
        <v>135</v>
      </c>
      <c r="J1217" t="s">
        <v>19</v>
      </c>
      <c r="K1217">
        <v>234</v>
      </c>
      <c r="L1217">
        <v>0</v>
      </c>
      <c r="M1217" t="s">
        <v>20</v>
      </c>
      <c r="N1217">
        <f>L1217/500</f>
        <v>0</v>
      </c>
      <c r="Q1217">
        <f t="shared" si="0"/>
        <v>9.3600000000000003E-2</v>
      </c>
    </row>
    <row r="1218" spans="1:17" x14ac:dyDescent="0.35">
      <c r="A1218">
        <v>397</v>
      </c>
      <c r="B1218">
        <v>583005562</v>
      </c>
      <c r="C1218">
        <v>36456</v>
      </c>
      <c r="D1218" t="s">
        <v>39</v>
      </c>
      <c r="E1218" t="s">
        <v>270</v>
      </c>
      <c r="F1218" t="s">
        <v>40</v>
      </c>
      <c r="G1218" t="s">
        <v>41</v>
      </c>
      <c r="H1218" t="s">
        <v>17</v>
      </c>
      <c r="I1218" t="s">
        <v>135</v>
      </c>
      <c r="J1218" t="s">
        <v>19</v>
      </c>
      <c r="K1218">
        <v>150</v>
      </c>
      <c r="L1218">
        <v>0</v>
      </c>
      <c r="M1218" t="s">
        <v>20</v>
      </c>
      <c r="N1218">
        <f>L1218/500</f>
        <v>0</v>
      </c>
      <c r="Q1218">
        <f t="shared" si="0"/>
        <v>0.06</v>
      </c>
    </row>
    <row r="1219" spans="1:17" x14ac:dyDescent="0.35">
      <c r="A1219">
        <v>403</v>
      </c>
      <c r="B1219">
        <v>583005567</v>
      </c>
      <c r="C1219">
        <v>36467</v>
      </c>
      <c r="D1219" t="s">
        <v>101</v>
      </c>
      <c r="E1219" t="s">
        <v>270</v>
      </c>
      <c r="F1219" t="s">
        <v>102</v>
      </c>
      <c r="G1219" t="s">
        <v>103</v>
      </c>
      <c r="H1219" t="s">
        <v>17</v>
      </c>
      <c r="I1219" t="s">
        <v>135</v>
      </c>
      <c r="J1219" t="s">
        <v>19</v>
      </c>
      <c r="K1219">
        <v>517.5</v>
      </c>
      <c r="L1219">
        <v>0</v>
      </c>
      <c r="M1219" t="s">
        <v>20</v>
      </c>
      <c r="N1219">
        <f>L1219/500</f>
        <v>0</v>
      </c>
      <c r="Q1219">
        <f t="shared" si="0"/>
        <v>0.20699999999999999</v>
      </c>
    </row>
    <row r="1220" spans="1:17" x14ac:dyDescent="0.35">
      <c r="A1220">
        <v>429</v>
      </c>
      <c r="B1220">
        <v>583005665</v>
      </c>
      <c r="C1220">
        <v>36604</v>
      </c>
      <c r="D1220" t="s">
        <v>92</v>
      </c>
      <c r="E1220" t="s">
        <v>292</v>
      </c>
      <c r="F1220" t="s">
        <v>93</v>
      </c>
      <c r="G1220" t="s">
        <v>94</v>
      </c>
      <c r="H1220" t="s">
        <v>17</v>
      </c>
      <c r="I1220" t="s">
        <v>135</v>
      </c>
      <c r="J1220" t="s">
        <v>19</v>
      </c>
      <c r="K1220">
        <v>780</v>
      </c>
      <c r="L1220">
        <v>0</v>
      </c>
      <c r="M1220" t="s">
        <v>20</v>
      </c>
      <c r="N1220">
        <f>L1220/500</f>
        <v>0</v>
      </c>
      <c r="Q1220">
        <f t="shared" si="0"/>
        <v>0.312</v>
      </c>
    </row>
    <row r="1221" spans="1:17" x14ac:dyDescent="0.35">
      <c r="A1221">
        <v>443</v>
      </c>
      <c r="B1221">
        <v>583005629</v>
      </c>
      <c r="C1221">
        <v>36547</v>
      </c>
      <c r="D1221" t="s">
        <v>21</v>
      </c>
      <c r="E1221" t="s">
        <v>292</v>
      </c>
      <c r="F1221" t="s">
        <v>22</v>
      </c>
      <c r="G1221" t="s">
        <v>23</v>
      </c>
      <c r="H1221" t="s">
        <v>17</v>
      </c>
      <c r="I1221" t="s">
        <v>135</v>
      </c>
      <c r="J1221" t="s">
        <v>19</v>
      </c>
      <c r="K1221">
        <v>300</v>
      </c>
      <c r="L1221">
        <v>0</v>
      </c>
      <c r="M1221" t="s">
        <v>20</v>
      </c>
      <c r="N1221">
        <f>L1221/500</f>
        <v>0</v>
      </c>
      <c r="Q1221">
        <f t="shared" si="0"/>
        <v>0.12</v>
      </c>
    </row>
    <row r="1222" spans="1:17" x14ac:dyDescent="0.35">
      <c r="A1222">
        <v>460</v>
      </c>
      <c r="B1222">
        <v>583005676</v>
      </c>
      <c r="C1222">
        <v>36618</v>
      </c>
      <c r="D1222" t="s">
        <v>296</v>
      </c>
      <c r="E1222" t="s">
        <v>297</v>
      </c>
      <c r="F1222" t="s">
        <v>298</v>
      </c>
      <c r="G1222" t="s">
        <v>299</v>
      </c>
      <c r="H1222" t="s">
        <v>17</v>
      </c>
      <c r="I1222" t="s">
        <v>135</v>
      </c>
      <c r="J1222" t="s">
        <v>19</v>
      </c>
      <c r="K1222">
        <v>780</v>
      </c>
      <c r="L1222">
        <v>0</v>
      </c>
      <c r="M1222" t="s">
        <v>20</v>
      </c>
      <c r="N1222">
        <f>L1222/500</f>
        <v>0</v>
      </c>
      <c r="Q1222">
        <f t="shared" si="0"/>
        <v>0.312</v>
      </c>
    </row>
    <row r="1223" spans="1:17" x14ac:dyDescent="0.35">
      <c r="A1223">
        <v>485</v>
      </c>
      <c r="B1223">
        <v>583005720</v>
      </c>
      <c r="C1223">
        <v>36676</v>
      </c>
      <c r="D1223" t="s">
        <v>223</v>
      </c>
      <c r="E1223" t="s">
        <v>300</v>
      </c>
      <c r="F1223" t="s">
        <v>224</v>
      </c>
      <c r="G1223" t="s">
        <v>225</v>
      </c>
      <c r="H1223" t="s">
        <v>17</v>
      </c>
      <c r="I1223" t="s">
        <v>135</v>
      </c>
      <c r="J1223" t="s">
        <v>19</v>
      </c>
      <c r="K1223">
        <v>75</v>
      </c>
      <c r="L1223">
        <v>0</v>
      </c>
      <c r="M1223" t="s">
        <v>20</v>
      </c>
      <c r="N1223">
        <f>L1223/500</f>
        <v>0</v>
      </c>
      <c r="Q1223">
        <f t="shared" si="0"/>
        <v>0.03</v>
      </c>
    </row>
    <row r="1224" spans="1:17" x14ac:dyDescent="0.35">
      <c r="A1224">
        <v>486</v>
      </c>
      <c r="B1224">
        <v>583005719</v>
      </c>
      <c r="C1224">
        <v>36675</v>
      </c>
      <c r="D1224" t="s">
        <v>65</v>
      </c>
      <c r="E1224" t="s">
        <v>300</v>
      </c>
      <c r="F1224" t="s">
        <v>66</v>
      </c>
      <c r="G1224" t="s">
        <v>67</v>
      </c>
      <c r="H1224" t="s">
        <v>17</v>
      </c>
      <c r="I1224" t="s">
        <v>135</v>
      </c>
      <c r="J1224" t="s">
        <v>19</v>
      </c>
      <c r="K1224">
        <v>42</v>
      </c>
      <c r="L1224">
        <v>0</v>
      </c>
      <c r="M1224" t="s">
        <v>20</v>
      </c>
      <c r="N1224">
        <f>L1224/500</f>
        <v>0</v>
      </c>
      <c r="Q1224">
        <f t="shared" si="0"/>
        <v>1.6799999999999999E-2</v>
      </c>
    </row>
    <row r="1225" spans="1:17" x14ac:dyDescent="0.35">
      <c r="A1225">
        <v>534</v>
      </c>
      <c r="B1225">
        <v>583005820</v>
      </c>
      <c r="C1225">
        <v>36813</v>
      </c>
      <c r="D1225" t="s">
        <v>56</v>
      </c>
      <c r="E1225" t="s">
        <v>310</v>
      </c>
      <c r="F1225" t="s">
        <v>57</v>
      </c>
      <c r="G1225" t="s">
        <v>58</v>
      </c>
      <c r="H1225" t="s">
        <v>17</v>
      </c>
      <c r="I1225" t="s">
        <v>135</v>
      </c>
      <c r="J1225" t="s">
        <v>19</v>
      </c>
      <c r="K1225">
        <v>150</v>
      </c>
      <c r="L1225">
        <v>0</v>
      </c>
      <c r="M1225" t="s">
        <v>20</v>
      </c>
      <c r="N1225">
        <f>L1225/500</f>
        <v>0</v>
      </c>
      <c r="Q1225">
        <f t="shared" si="0"/>
        <v>0.06</v>
      </c>
    </row>
    <row r="1226" spans="1:17" x14ac:dyDescent="0.35">
      <c r="A1226">
        <v>549</v>
      </c>
      <c r="B1226">
        <v>583005790</v>
      </c>
      <c r="C1226">
        <v>36776</v>
      </c>
      <c r="D1226" t="s">
        <v>280</v>
      </c>
      <c r="E1226" t="s">
        <v>310</v>
      </c>
      <c r="F1226" t="s">
        <v>281</v>
      </c>
      <c r="G1226" t="s">
        <v>282</v>
      </c>
      <c r="H1226" t="s">
        <v>17</v>
      </c>
      <c r="I1226" t="s">
        <v>135</v>
      </c>
      <c r="J1226" t="s">
        <v>19</v>
      </c>
      <c r="K1226">
        <v>111</v>
      </c>
      <c r="L1226">
        <v>0</v>
      </c>
      <c r="M1226" t="s">
        <v>20</v>
      </c>
      <c r="N1226">
        <f>L1226/500</f>
        <v>0</v>
      </c>
      <c r="Q1226">
        <f t="shared" si="0"/>
        <v>4.4400000000000002E-2</v>
      </c>
    </row>
    <row r="1227" spans="1:17" x14ac:dyDescent="0.35">
      <c r="A1227">
        <v>585</v>
      </c>
      <c r="B1227">
        <v>583005830</v>
      </c>
      <c r="C1227">
        <v>36837</v>
      </c>
      <c r="D1227" t="s">
        <v>65</v>
      </c>
      <c r="E1227" t="s">
        <v>318</v>
      </c>
      <c r="F1227" t="s">
        <v>66</v>
      </c>
      <c r="G1227" t="s">
        <v>67</v>
      </c>
      <c r="H1227" t="s">
        <v>17</v>
      </c>
      <c r="I1227" t="s">
        <v>135</v>
      </c>
      <c r="J1227" t="s">
        <v>19</v>
      </c>
      <c r="K1227">
        <v>39</v>
      </c>
      <c r="L1227">
        <v>0</v>
      </c>
      <c r="M1227" t="s">
        <v>20</v>
      </c>
      <c r="N1227">
        <f>L1227/500</f>
        <v>0</v>
      </c>
      <c r="Q1227">
        <f t="shared" si="0"/>
        <v>1.5599999999999999E-2</v>
      </c>
    </row>
    <row r="1228" spans="1:17" x14ac:dyDescent="0.35">
      <c r="A1228">
        <v>635</v>
      </c>
      <c r="B1228">
        <v>583005886</v>
      </c>
      <c r="C1228">
        <v>36919</v>
      </c>
      <c r="D1228" t="s">
        <v>92</v>
      </c>
      <c r="E1228" t="s">
        <v>324</v>
      </c>
      <c r="F1228" t="s">
        <v>93</v>
      </c>
      <c r="G1228" t="s">
        <v>94</v>
      </c>
      <c r="H1228" t="s">
        <v>17</v>
      </c>
      <c r="I1228" t="s">
        <v>135</v>
      </c>
      <c r="J1228" t="s">
        <v>19</v>
      </c>
      <c r="K1228">
        <v>1080</v>
      </c>
      <c r="L1228">
        <v>0</v>
      </c>
      <c r="M1228" t="s">
        <v>20</v>
      </c>
      <c r="N1228">
        <f>L1228/500</f>
        <v>0</v>
      </c>
      <c r="Q1228">
        <f t="shared" si="0"/>
        <v>0.432</v>
      </c>
    </row>
    <row r="1229" spans="1:17" x14ac:dyDescent="0.35">
      <c r="A1229">
        <v>681</v>
      </c>
      <c r="B1229">
        <v>583006031</v>
      </c>
      <c r="C1229">
        <v>37117</v>
      </c>
      <c r="D1229" t="s">
        <v>274</v>
      </c>
      <c r="E1229" t="s">
        <v>343</v>
      </c>
      <c r="F1229" t="s">
        <v>275</v>
      </c>
      <c r="G1229" t="s">
        <v>276</v>
      </c>
      <c r="H1229" t="s">
        <v>17</v>
      </c>
      <c r="I1229" t="s">
        <v>135</v>
      </c>
      <c r="J1229" t="s">
        <v>19</v>
      </c>
      <c r="K1229">
        <v>480</v>
      </c>
      <c r="L1229">
        <v>0</v>
      </c>
      <c r="M1229" t="s">
        <v>20</v>
      </c>
      <c r="N1229">
        <f>L1229/500</f>
        <v>0</v>
      </c>
      <c r="Q1229">
        <f t="shared" si="0"/>
        <v>0.192</v>
      </c>
    </row>
    <row r="1230" spans="1:17" x14ac:dyDescent="0.35">
      <c r="A1230">
        <v>698</v>
      </c>
      <c r="B1230">
        <v>583006009</v>
      </c>
      <c r="C1230">
        <v>37089</v>
      </c>
      <c r="D1230" t="s">
        <v>65</v>
      </c>
      <c r="E1230" t="s">
        <v>343</v>
      </c>
      <c r="F1230" t="s">
        <v>66</v>
      </c>
      <c r="G1230" t="s">
        <v>67</v>
      </c>
      <c r="H1230" t="s">
        <v>17</v>
      </c>
      <c r="I1230" t="s">
        <v>135</v>
      </c>
      <c r="J1230" t="s">
        <v>19</v>
      </c>
      <c r="K1230">
        <v>375</v>
      </c>
      <c r="L1230">
        <v>0</v>
      </c>
      <c r="M1230" t="s">
        <v>20</v>
      </c>
      <c r="N1230">
        <f>L1230/500</f>
        <v>0</v>
      </c>
      <c r="Q1230">
        <f t="shared" si="0"/>
        <v>0.15</v>
      </c>
    </row>
    <row r="1231" spans="1:17" x14ac:dyDescent="0.35">
      <c r="A1231">
        <v>729</v>
      </c>
      <c r="B1231">
        <v>583006050</v>
      </c>
      <c r="C1231">
        <v>37147</v>
      </c>
      <c r="D1231" t="s">
        <v>351</v>
      </c>
      <c r="E1231" t="s">
        <v>347</v>
      </c>
      <c r="F1231" t="s">
        <v>352</v>
      </c>
      <c r="G1231" t="s">
        <v>353</v>
      </c>
      <c r="H1231" t="s">
        <v>17</v>
      </c>
      <c r="I1231" t="s">
        <v>135</v>
      </c>
      <c r="J1231" t="s">
        <v>19</v>
      </c>
      <c r="K1231">
        <v>738.9</v>
      </c>
      <c r="L1231">
        <v>0</v>
      </c>
      <c r="M1231" t="s">
        <v>20</v>
      </c>
      <c r="N1231">
        <f>L1231/500</f>
        <v>0</v>
      </c>
      <c r="Q1231">
        <f t="shared" si="0"/>
        <v>0.29555999999999999</v>
      </c>
    </row>
    <row r="1232" spans="1:17" x14ac:dyDescent="0.35">
      <c r="A1232">
        <v>743</v>
      </c>
      <c r="B1232">
        <v>583006055</v>
      </c>
      <c r="C1232">
        <v>37153</v>
      </c>
      <c r="D1232" t="s">
        <v>354</v>
      </c>
      <c r="E1232" t="s">
        <v>347</v>
      </c>
      <c r="F1232" t="s">
        <v>355</v>
      </c>
      <c r="G1232" t="s">
        <v>356</v>
      </c>
      <c r="H1232" t="s">
        <v>17</v>
      </c>
      <c r="I1232" t="s">
        <v>135</v>
      </c>
      <c r="J1232" t="s">
        <v>19</v>
      </c>
      <c r="K1232">
        <v>675</v>
      </c>
      <c r="L1232">
        <v>0</v>
      </c>
      <c r="M1232" t="s">
        <v>20</v>
      </c>
      <c r="N1232">
        <f>L1232/500</f>
        <v>0</v>
      </c>
      <c r="Q1232">
        <f t="shared" si="0"/>
        <v>0.27</v>
      </c>
    </row>
    <row r="1233" spans="1:17" x14ac:dyDescent="0.35">
      <c r="A1233">
        <v>751</v>
      </c>
      <c r="B1233">
        <v>583006087</v>
      </c>
      <c r="C1233">
        <v>37190</v>
      </c>
      <c r="D1233" t="s">
        <v>247</v>
      </c>
      <c r="E1233" t="s">
        <v>347</v>
      </c>
      <c r="F1233" t="s">
        <v>248</v>
      </c>
      <c r="G1233" t="s">
        <v>249</v>
      </c>
      <c r="H1233" t="s">
        <v>17</v>
      </c>
      <c r="I1233" t="s">
        <v>135</v>
      </c>
      <c r="J1233" t="s">
        <v>19</v>
      </c>
      <c r="K1233">
        <v>75</v>
      </c>
      <c r="L1233">
        <v>0</v>
      </c>
      <c r="M1233" t="s">
        <v>20</v>
      </c>
      <c r="N1233">
        <f>L1233/500</f>
        <v>0</v>
      </c>
      <c r="Q1233">
        <f t="shared" si="0"/>
        <v>0.03</v>
      </c>
    </row>
    <row r="1234" spans="1:17" x14ac:dyDescent="0.35">
      <c r="A1234">
        <v>761</v>
      </c>
      <c r="B1234">
        <v>583006089</v>
      </c>
      <c r="C1234">
        <v>37192</v>
      </c>
      <c r="D1234" t="s">
        <v>289</v>
      </c>
      <c r="E1234" t="s">
        <v>347</v>
      </c>
      <c r="F1234" t="s">
        <v>290</v>
      </c>
      <c r="G1234" t="s">
        <v>291</v>
      </c>
      <c r="H1234" t="s">
        <v>17</v>
      </c>
      <c r="I1234" t="s">
        <v>135</v>
      </c>
      <c r="J1234" t="s">
        <v>19</v>
      </c>
      <c r="K1234">
        <v>2101.8000000000002</v>
      </c>
      <c r="L1234">
        <v>0</v>
      </c>
      <c r="M1234" t="s">
        <v>20</v>
      </c>
      <c r="N1234">
        <f>L1234/500</f>
        <v>0</v>
      </c>
      <c r="Q1234">
        <f t="shared" si="0"/>
        <v>0.84072000000000002</v>
      </c>
    </row>
    <row r="1235" spans="1:17" x14ac:dyDescent="0.35">
      <c r="A1235">
        <v>810</v>
      </c>
      <c r="B1235">
        <v>583006143</v>
      </c>
      <c r="C1235">
        <v>37270</v>
      </c>
      <c r="D1235" t="s">
        <v>361</v>
      </c>
      <c r="E1235" t="s">
        <v>360</v>
      </c>
      <c r="F1235" t="s">
        <v>362</v>
      </c>
      <c r="G1235" t="s">
        <v>363</v>
      </c>
      <c r="H1235" t="s">
        <v>17</v>
      </c>
      <c r="I1235" t="s">
        <v>135</v>
      </c>
      <c r="J1235" t="s">
        <v>19</v>
      </c>
      <c r="K1235">
        <v>480</v>
      </c>
      <c r="L1235">
        <v>0</v>
      </c>
      <c r="M1235" t="s">
        <v>20</v>
      </c>
      <c r="N1235">
        <f>L1235/500</f>
        <v>0</v>
      </c>
      <c r="Q1235">
        <f t="shared" si="0"/>
        <v>0.192</v>
      </c>
    </row>
    <row r="1236" spans="1:17" x14ac:dyDescent="0.35">
      <c r="A1236">
        <v>825</v>
      </c>
      <c r="B1236">
        <v>583006171</v>
      </c>
      <c r="C1236">
        <v>37302</v>
      </c>
      <c r="D1236" t="s">
        <v>216</v>
      </c>
      <c r="E1236" t="s">
        <v>360</v>
      </c>
      <c r="F1236" t="s">
        <v>218</v>
      </c>
      <c r="G1236" t="s">
        <v>219</v>
      </c>
      <c r="H1236" t="s">
        <v>17</v>
      </c>
      <c r="I1236" t="s">
        <v>135</v>
      </c>
      <c r="J1236" t="s">
        <v>19</v>
      </c>
      <c r="K1236">
        <v>600</v>
      </c>
      <c r="L1236">
        <v>0</v>
      </c>
      <c r="M1236" t="s">
        <v>20</v>
      </c>
      <c r="N1236">
        <f>L1236/500</f>
        <v>0</v>
      </c>
      <c r="Q1236">
        <f t="shared" si="0"/>
        <v>0.24</v>
      </c>
    </row>
    <row r="1237" spans="1:17" x14ac:dyDescent="0.35">
      <c r="A1237">
        <v>890</v>
      </c>
      <c r="B1237">
        <v>583006240</v>
      </c>
      <c r="C1237">
        <v>37387</v>
      </c>
      <c r="D1237" t="s">
        <v>153</v>
      </c>
      <c r="E1237" t="s">
        <v>367</v>
      </c>
      <c r="F1237" t="s">
        <v>154</v>
      </c>
      <c r="G1237" t="s">
        <v>155</v>
      </c>
      <c r="H1237" t="s">
        <v>17</v>
      </c>
      <c r="I1237" t="s">
        <v>135</v>
      </c>
      <c r="J1237" t="s">
        <v>19</v>
      </c>
      <c r="K1237">
        <v>3000</v>
      </c>
      <c r="L1237">
        <v>0</v>
      </c>
      <c r="M1237" t="s">
        <v>20</v>
      </c>
      <c r="N1237">
        <f>L1237/500</f>
        <v>0</v>
      </c>
      <c r="Q1237">
        <f t="shared" si="0"/>
        <v>1.2</v>
      </c>
    </row>
    <row r="1238" spans="1:17" x14ac:dyDescent="0.35">
      <c r="A1238">
        <v>893</v>
      </c>
      <c r="B1238">
        <v>583006236</v>
      </c>
      <c r="C1238">
        <v>37381</v>
      </c>
      <c r="D1238" t="s">
        <v>328</v>
      </c>
      <c r="E1238" t="s">
        <v>367</v>
      </c>
      <c r="F1238" t="s">
        <v>329</v>
      </c>
      <c r="G1238" t="s">
        <v>330</v>
      </c>
      <c r="H1238" t="s">
        <v>17</v>
      </c>
      <c r="I1238" t="s">
        <v>135</v>
      </c>
      <c r="J1238" t="s">
        <v>19</v>
      </c>
      <c r="K1238">
        <v>60</v>
      </c>
      <c r="L1238">
        <v>0</v>
      </c>
      <c r="M1238" t="s">
        <v>20</v>
      </c>
      <c r="N1238">
        <f>L1238/500</f>
        <v>0</v>
      </c>
      <c r="Q1238">
        <f t="shared" si="0"/>
        <v>2.4E-2</v>
      </c>
    </row>
    <row r="1239" spans="1:17" x14ac:dyDescent="0.35">
      <c r="A1239">
        <v>907</v>
      </c>
      <c r="B1239">
        <v>583006259</v>
      </c>
      <c r="C1239">
        <v>37414</v>
      </c>
      <c r="D1239" t="s">
        <v>344</v>
      </c>
      <c r="E1239" t="s">
        <v>367</v>
      </c>
      <c r="F1239" t="s">
        <v>345</v>
      </c>
      <c r="G1239" t="s">
        <v>346</v>
      </c>
      <c r="H1239" t="s">
        <v>17</v>
      </c>
      <c r="I1239" t="s">
        <v>135</v>
      </c>
      <c r="J1239" t="s">
        <v>19</v>
      </c>
      <c r="K1239">
        <v>1050</v>
      </c>
      <c r="L1239">
        <v>0</v>
      </c>
      <c r="M1239" t="s">
        <v>20</v>
      </c>
      <c r="N1239">
        <f>L1239/500</f>
        <v>0</v>
      </c>
      <c r="Q1239">
        <f t="shared" si="0"/>
        <v>0.42</v>
      </c>
    </row>
    <row r="1240" spans="1:17" x14ac:dyDescent="0.35">
      <c r="A1240">
        <v>941</v>
      </c>
      <c r="B1240">
        <v>583006380</v>
      </c>
      <c r="C1240">
        <v>37573</v>
      </c>
      <c r="D1240" t="s">
        <v>65</v>
      </c>
      <c r="E1240" t="s">
        <v>386</v>
      </c>
      <c r="F1240" t="s">
        <v>66</v>
      </c>
      <c r="G1240" t="s">
        <v>67</v>
      </c>
      <c r="H1240" t="s">
        <v>17</v>
      </c>
      <c r="I1240" t="s">
        <v>135</v>
      </c>
      <c r="J1240" t="s">
        <v>19</v>
      </c>
      <c r="K1240">
        <v>975</v>
      </c>
      <c r="L1240">
        <v>0</v>
      </c>
      <c r="M1240" t="s">
        <v>20</v>
      </c>
      <c r="N1240">
        <f>L1240/500</f>
        <v>0</v>
      </c>
      <c r="Q1240">
        <f t="shared" si="0"/>
        <v>0.39</v>
      </c>
    </row>
    <row r="1241" spans="1:17" x14ac:dyDescent="0.35">
      <c r="A1241">
        <v>1033</v>
      </c>
      <c r="B1241">
        <v>583006398</v>
      </c>
      <c r="C1241">
        <v>37604</v>
      </c>
      <c r="D1241" t="s">
        <v>181</v>
      </c>
      <c r="E1241" t="s">
        <v>393</v>
      </c>
      <c r="F1241" t="s">
        <v>182</v>
      </c>
      <c r="G1241" t="s">
        <v>183</v>
      </c>
      <c r="H1241" t="s">
        <v>17</v>
      </c>
      <c r="I1241" t="s">
        <v>135</v>
      </c>
      <c r="J1241" t="s">
        <v>19</v>
      </c>
      <c r="K1241">
        <v>246</v>
      </c>
      <c r="L1241">
        <v>0</v>
      </c>
      <c r="M1241" t="s">
        <v>20</v>
      </c>
      <c r="N1241">
        <f>L1241/500</f>
        <v>0</v>
      </c>
      <c r="Q1241">
        <f t="shared" si="0"/>
        <v>9.8400000000000001E-2</v>
      </c>
    </row>
    <row r="1242" spans="1:17" x14ac:dyDescent="0.35">
      <c r="A1242">
        <v>1038</v>
      </c>
      <c r="B1242">
        <v>583006435</v>
      </c>
      <c r="C1242">
        <v>37645</v>
      </c>
      <c r="D1242" t="s">
        <v>277</v>
      </c>
      <c r="E1242" t="s">
        <v>393</v>
      </c>
      <c r="F1242" t="s">
        <v>278</v>
      </c>
      <c r="G1242" t="s">
        <v>279</v>
      </c>
      <c r="H1242" t="s">
        <v>17</v>
      </c>
      <c r="I1242" t="s">
        <v>135</v>
      </c>
      <c r="J1242" t="s">
        <v>19</v>
      </c>
      <c r="K1242">
        <v>660</v>
      </c>
      <c r="L1242">
        <v>0</v>
      </c>
      <c r="M1242" t="s">
        <v>20</v>
      </c>
      <c r="N1242">
        <f>L1242/500</f>
        <v>0</v>
      </c>
      <c r="Q1242">
        <f t="shared" si="0"/>
        <v>0.26400000000000001</v>
      </c>
    </row>
    <row r="1243" spans="1:17" x14ac:dyDescent="0.35">
      <c r="A1243">
        <v>1039</v>
      </c>
      <c r="B1243">
        <v>583006436</v>
      </c>
      <c r="C1243">
        <v>37647</v>
      </c>
      <c r="D1243" t="s">
        <v>277</v>
      </c>
      <c r="E1243" t="s">
        <v>393</v>
      </c>
      <c r="F1243" t="s">
        <v>278</v>
      </c>
      <c r="G1243" t="s">
        <v>279</v>
      </c>
      <c r="H1243" t="s">
        <v>17</v>
      </c>
      <c r="I1243" t="s">
        <v>135</v>
      </c>
      <c r="J1243" t="s">
        <v>19</v>
      </c>
      <c r="K1243">
        <v>975</v>
      </c>
      <c r="L1243">
        <v>0</v>
      </c>
      <c r="M1243" t="s">
        <v>20</v>
      </c>
      <c r="N1243">
        <f>L1243/500</f>
        <v>0</v>
      </c>
      <c r="Q1243">
        <f t="shared" si="0"/>
        <v>0.39</v>
      </c>
    </row>
    <row r="1244" spans="1:17" x14ac:dyDescent="0.35">
      <c r="A1244">
        <v>1044</v>
      </c>
      <c r="B1244">
        <v>583006443</v>
      </c>
      <c r="C1244">
        <v>37656</v>
      </c>
      <c r="D1244" t="s">
        <v>29</v>
      </c>
      <c r="E1244" t="s">
        <v>393</v>
      </c>
      <c r="F1244" t="s">
        <v>30</v>
      </c>
      <c r="G1244" t="s">
        <v>31</v>
      </c>
      <c r="H1244" t="s">
        <v>17</v>
      </c>
      <c r="I1244" t="s">
        <v>135</v>
      </c>
      <c r="J1244" t="s">
        <v>19</v>
      </c>
      <c r="K1244">
        <v>597</v>
      </c>
      <c r="L1244">
        <v>0</v>
      </c>
      <c r="M1244" t="s">
        <v>20</v>
      </c>
      <c r="N1244">
        <f>L1244/500</f>
        <v>0</v>
      </c>
      <c r="Q1244">
        <f t="shared" si="0"/>
        <v>0.23880000000000001</v>
      </c>
    </row>
    <row r="1245" spans="1:17" x14ac:dyDescent="0.35">
      <c r="A1245">
        <v>1102</v>
      </c>
      <c r="B1245">
        <v>583006555</v>
      </c>
      <c r="C1245">
        <v>37815</v>
      </c>
      <c r="D1245" t="s">
        <v>32</v>
      </c>
      <c r="E1245" t="s">
        <v>404</v>
      </c>
      <c r="F1245" t="s">
        <v>33</v>
      </c>
      <c r="G1245" t="s">
        <v>34</v>
      </c>
      <c r="H1245" t="s">
        <v>17</v>
      </c>
      <c r="I1245" t="s">
        <v>135</v>
      </c>
      <c r="J1245" t="s">
        <v>19</v>
      </c>
      <c r="K1245">
        <v>240</v>
      </c>
      <c r="L1245">
        <v>0</v>
      </c>
      <c r="M1245" t="s">
        <v>20</v>
      </c>
      <c r="N1245">
        <f>L1245/500</f>
        <v>0</v>
      </c>
      <c r="Q1245">
        <f t="shared" si="0"/>
        <v>9.6000000000000002E-2</v>
      </c>
    </row>
    <row r="1246" spans="1:17" x14ac:dyDescent="0.35">
      <c r="A1246">
        <v>1110</v>
      </c>
      <c r="B1246">
        <v>583006494</v>
      </c>
      <c r="C1246">
        <v>37730</v>
      </c>
      <c r="D1246" t="s">
        <v>226</v>
      </c>
      <c r="E1246" t="s">
        <v>404</v>
      </c>
      <c r="F1246" t="s">
        <v>227</v>
      </c>
      <c r="G1246" t="s">
        <v>228</v>
      </c>
      <c r="H1246" t="s">
        <v>17</v>
      </c>
      <c r="I1246" t="s">
        <v>135</v>
      </c>
      <c r="J1246" t="s">
        <v>19</v>
      </c>
      <c r="K1246">
        <v>360</v>
      </c>
      <c r="L1246">
        <v>0</v>
      </c>
      <c r="M1246" t="s">
        <v>20</v>
      </c>
      <c r="N1246">
        <f>L1246/500</f>
        <v>0</v>
      </c>
      <c r="Q1246">
        <f t="shared" si="0"/>
        <v>0.14399999999999999</v>
      </c>
    </row>
    <row r="1247" spans="1:17" x14ac:dyDescent="0.35">
      <c r="A1247">
        <v>1133</v>
      </c>
      <c r="B1247">
        <v>583006489</v>
      </c>
      <c r="C1247">
        <v>37720</v>
      </c>
      <c r="D1247" t="s">
        <v>407</v>
      </c>
      <c r="E1247" t="s">
        <v>404</v>
      </c>
      <c r="F1247" t="s">
        <v>408</v>
      </c>
      <c r="G1247" t="s">
        <v>409</v>
      </c>
      <c r="H1247" t="s">
        <v>17</v>
      </c>
      <c r="I1247" t="s">
        <v>135</v>
      </c>
      <c r="J1247" t="s">
        <v>19</v>
      </c>
      <c r="K1247">
        <v>450</v>
      </c>
      <c r="L1247">
        <v>0</v>
      </c>
      <c r="M1247" t="s">
        <v>20</v>
      </c>
      <c r="N1247">
        <f>L1247/500</f>
        <v>0</v>
      </c>
      <c r="Q1247">
        <f t="shared" si="0"/>
        <v>0.18</v>
      </c>
    </row>
    <row r="1248" spans="1:17" x14ac:dyDescent="0.35">
      <c r="A1248">
        <v>1210</v>
      </c>
      <c r="B1248">
        <v>583006660</v>
      </c>
      <c r="C1248">
        <v>37943</v>
      </c>
      <c r="D1248" t="s">
        <v>314</v>
      </c>
      <c r="E1248" t="s">
        <v>420</v>
      </c>
      <c r="F1248" t="s">
        <v>315</v>
      </c>
      <c r="G1248" t="s">
        <v>316</v>
      </c>
      <c r="H1248" t="s">
        <v>17</v>
      </c>
      <c r="I1248" t="s">
        <v>135</v>
      </c>
      <c r="J1248" t="s">
        <v>19</v>
      </c>
      <c r="K1248">
        <v>1800</v>
      </c>
      <c r="L1248">
        <v>0</v>
      </c>
      <c r="M1248" t="s">
        <v>20</v>
      </c>
      <c r="N1248">
        <f>L1248/500</f>
        <v>0</v>
      </c>
      <c r="Q1248">
        <f t="shared" si="0"/>
        <v>0.72</v>
      </c>
    </row>
    <row r="1249" spans="1:17" x14ac:dyDescent="0.35">
      <c r="A1249">
        <v>1232</v>
      </c>
      <c r="B1249">
        <v>583006752</v>
      </c>
      <c r="C1249">
        <v>38071</v>
      </c>
      <c r="D1249" t="s">
        <v>21</v>
      </c>
      <c r="E1249" t="s">
        <v>424</v>
      </c>
      <c r="F1249" t="s">
        <v>22</v>
      </c>
      <c r="G1249" t="s">
        <v>23</v>
      </c>
      <c r="H1249" t="s">
        <v>17</v>
      </c>
      <c r="I1249" t="s">
        <v>135</v>
      </c>
      <c r="J1249" t="s">
        <v>19</v>
      </c>
      <c r="K1249">
        <v>225</v>
      </c>
      <c r="L1249">
        <v>0</v>
      </c>
      <c r="M1249" t="s">
        <v>20</v>
      </c>
      <c r="N1249">
        <f>L1249/500</f>
        <v>0</v>
      </c>
      <c r="Q1249">
        <f t="shared" si="0"/>
        <v>0.09</v>
      </c>
    </row>
    <row r="1250" spans="1:17" x14ac:dyDescent="0.35">
      <c r="A1250">
        <v>1252</v>
      </c>
      <c r="B1250">
        <v>583006751</v>
      </c>
      <c r="C1250">
        <v>38070</v>
      </c>
      <c r="D1250" t="s">
        <v>21</v>
      </c>
      <c r="E1250" t="s">
        <v>424</v>
      </c>
      <c r="F1250" t="s">
        <v>22</v>
      </c>
      <c r="G1250" t="s">
        <v>23</v>
      </c>
      <c r="H1250" t="s">
        <v>17</v>
      </c>
      <c r="I1250" t="s">
        <v>135</v>
      </c>
      <c r="J1250" t="s">
        <v>19</v>
      </c>
      <c r="K1250">
        <v>540</v>
      </c>
      <c r="L1250">
        <v>0</v>
      </c>
      <c r="M1250" t="s">
        <v>20</v>
      </c>
      <c r="N1250">
        <f>L1250/500</f>
        <v>0</v>
      </c>
      <c r="Q1250">
        <f t="shared" si="0"/>
        <v>0.216</v>
      </c>
    </row>
    <row r="1251" spans="1:17" x14ac:dyDescent="0.35">
      <c r="A1251">
        <v>1298</v>
      </c>
      <c r="B1251">
        <v>583006676</v>
      </c>
      <c r="C1251">
        <v>37979</v>
      </c>
      <c r="D1251" t="s">
        <v>209</v>
      </c>
      <c r="E1251" t="s">
        <v>424</v>
      </c>
      <c r="F1251" t="s">
        <v>210</v>
      </c>
      <c r="G1251" t="s">
        <v>211</v>
      </c>
      <c r="H1251" t="s">
        <v>17</v>
      </c>
      <c r="I1251" t="s">
        <v>135</v>
      </c>
      <c r="J1251" t="s">
        <v>19</v>
      </c>
      <c r="K1251">
        <v>300</v>
      </c>
      <c r="L1251">
        <v>0</v>
      </c>
      <c r="M1251" t="s">
        <v>20</v>
      </c>
      <c r="N1251">
        <f>L1251/500</f>
        <v>0</v>
      </c>
      <c r="Q1251">
        <f t="shared" si="0"/>
        <v>0.12</v>
      </c>
    </row>
    <row r="1252" spans="1:17" x14ac:dyDescent="0.35">
      <c r="A1252">
        <v>1300</v>
      </c>
      <c r="B1252">
        <v>583006808</v>
      </c>
      <c r="C1252">
        <v>38154</v>
      </c>
      <c r="D1252" t="s">
        <v>48</v>
      </c>
      <c r="E1252" t="s">
        <v>434</v>
      </c>
      <c r="F1252" t="s">
        <v>49</v>
      </c>
      <c r="G1252" t="s">
        <v>50</v>
      </c>
      <c r="H1252" t="s">
        <v>17</v>
      </c>
      <c r="I1252" t="s">
        <v>135</v>
      </c>
      <c r="J1252" t="s">
        <v>19</v>
      </c>
      <c r="K1252">
        <v>240</v>
      </c>
      <c r="L1252">
        <v>0</v>
      </c>
      <c r="M1252" t="s">
        <v>20</v>
      </c>
      <c r="N1252">
        <f>L1252/500</f>
        <v>0</v>
      </c>
      <c r="Q1252">
        <f t="shared" si="0"/>
        <v>9.6000000000000002E-2</v>
      </c>
    </row>
    <row r="1253" spans="1:17" x14ac:dyDescent="0.35">
      <c r="A1253">
        <v>1315</v>
      </c>
      <c r="B1253">
        <v>583006815</v>
      </c>
      <c r="C1253">
        <v>38163</v>
      </c>
      <c r="D1253" t="s">
        <v>181</v>
      </c>
      <c r="E1253" t="s">
        <v>434</v>
      </c>
      <c r="F1253" t="s">
        <v>182</v>
      </c>
      <c r="G1253" t="s">
        <v>183</v>
      </c>
      <c r="H1253" t="s">
        <v>17</v>
      </c>
      <c r="I1253" t="s">
        <v>135</v>
      </c>
      <c r="J1253" t="s">
        <v>19</v>
      </c>
      <c r="K1253">
        <v>480</v>
      </c>
      <c r="L1253">
        <v>0</v>
      </c>
      <c r="M1253" t="s">
        <v>20</v>
      </c>
      <c r="N1253">
        <f>L1253/500</f>
        <v>0</v>
      </c>
      <c r="Q1253">
        <f t="shared" si="0"/>
        <v>0.192</v>
      </c>
    </row>
    <row r="1254" spans="1:17" x14ac:dyDescent="0.35">
      <c r="A1254">
        <v>1334</v>
      </c>
      <c r="B1254">
        <v>583006822</v>
      </c>
      <c r="C1254">
        <v>38172</v>
      </c>
      <c r="D1254" t="s">
        <v>132</v>
      </c>
      <c r="E1254" t="s">
        <v>434</v>
      </c>
      <c r="F1254" t="s">
        <v>133</v>
      </c>
      <c r="G1254" t="s">
        <v>134</v>
      </c>
      <c r="H1254" t="s">
        <v>17</v>
      </c>
      <c r="I1254" t="s">
        <v>135</v>
      </c>
      <c r="J1254" t="s">
        <v>19</v>
      </c>
      <c r="K1254">
        <v>375</v>
      </c>
      <c r="L1254">
        <v>0</v>
      </c>
      <c r="M1254" t="s">
        <v>20</v>
      </c>
      <c r="N1254">
        <f>L1254/500</f>
        <v>0</v>
      </c>
      <c r="Q1254">
        <f t="shared" si="0"/>
        <v>0.15</v>
      </c>
    </row>
    <row r="1255" spans="1:17" x14ac:dyDescent="0.35">
      <c r="A1255">
        <v>1338</v>
      </c>
      <c r="B1255">
        <v>583006823</v>
      </c>
      <c r="C1255">
        <v>38173</v>
      </c>
      <c r="D1255" t="s">
        <v>132</v>
      </c>
      <c r="E1255" t="s">
        <v>434</v>
      </c>
      <c r="F1255" t="s">
        <v>133</v>
      </c>
      <c r="G1255" t="s">
        <v>134</v>
      </c>
      <c r="H1255" t="s">
        <v>17</v>
      </c>
      <c r="I1255" t="s">
        <v>135</v>
      </c>
      <c r="J1255" t="s">
        <v>19</v>
      </c>
      <c r="K1255">
        <v>660</v>
      </c>
      <c r="L1255">
        <v>0</v>
      </c>
      <c r="M1255" t="s">
        <v>20</v>
      </c>
      <c r="N1255">
        <f>L1255/500</f>
        <v>0</v>
      </c>
      <c r="Q1255">
        <f t="shared" si="0"/>
        <v>0.26400000000000001</v>
      </c>
    </row>
    <row r="1256" spans="1:17" x14ac:dyDescent="0.35">
      <c r="A1256">
        <v>1344</v>
      </c>
      <c r="B1256">
        <v>583006820</v>
      </c>
      <c r="C1256">
        <v>38169</v>
      </c>
      <c r="D1256" t="s">
        <v>438</v>
      </c>
      <c r="E1256" t="s">
        <v>434</v>
      </c>
      <c r="F1256" t="s">
        <v>439</v>
      </c>
      <c r="G1256" t="s">
        <v>440</v>
      </c>
      <c r="H1256" t="s">
        <v>17</v>
      </c>
      <c r="I1256" t="s">
        <v>135</v>
      </c>
      <c r="J1256" t="s">
        <v>19</v>
      </c>
      <c r="K1256">
        <v>518</v>
      </c>
      <c r="L1256">
        <v>0</v>
      </c>
      <c r="M1256" t="s">
        <v>20</v>
      </c>
      <c r="N1256">
        <f>L1256/500</f>
        <v>0</v>
      </c>
      <c r="Q1256">
        <f t="shared" si="0"/>
        <v>0.2072</v>
      </c>
    </row>
    <row r="1257" spans="1:17" x14ac:dyDescent="0.35">
      <c r="A1257">
        <v>1348</v>
      </c>
      <c r="B1257">
        <v>583006788</v>
      </c>
      <c r="C1257">
        <v>38128</v>
      </c>
      <c r="D1257" t="s">
        <v>21</v>
      </c>
      <c r="E1257" t="s">
        <v>434</v>
      </c>
      <c r="F1257" t="s">
        <v>22</v>
      </c>
      <c r="G1257" t="s">
        <v>23</v>
      </c>
      <c r="H1257" t="s">
        <v>17</v>
      </c>
      <c r="I1257" t="s">
        <v>135</v>
      </c>
      <c r="J1257" t="s">
        <v>19</v>
      </c>
      <c r="K1257">
        <v>3016.8</v>
      </c>
      <c r="L1257">
        <v>0</v>
      </c>
      <c r="M1257" t="s">
        <v>20</v>
      </c>
      <c r="N1257">
        <f>L1257/500</f>
        <v>0</v>
      </c>
      <c r="Q1257">
        <f t="shared" si="0"/>
        <v>1.20672</v>
      </c>
    </row>
    <row r="1258" spans="1:17" x14ac:dyDescent="0.35">
      <c r="A1258">
        <v>1357</v>
      </c>
      <c r="B1258">
        <v>583006761</v>
      </c>
      <c r="C1258">
        <v>38094</v>
      </c>
      <c r="D1258" t="s">
        <v>13</v>
      </c>
      <c r="E1258" t="s">
        <v>434</v>
      </c>
      <c r="F1258" t="s">
        <v>15</v>
      </c>
      <c r="G1258" t="s">
        <v>16</v>
      </c>
      <c r="H1258" t="s">
        <v>17</v>
      </c>
      <c r="I1258" t="s">
        <v>135</v>
      </c>
      <c r="J1258" t="s">
        <v>19</v>
      </c>
      <c r="K1258">
        <v>171</v>
      </c>
      <c r="L1258">
        <v>0</v>
      </c>
      <c r="M1258" t="s">
        <v>20</v>
      </c>
      <c r="N1258">
        <f>L1258/500</f>
        <v>0</v>
      </c>
      <c r="Q1258">
        <f t="shared" si="0"/>
        <v>6.8400000000000002E-2</v>
      </c>
    </row>
    <row r="1259" spans="1:17" x14ac:dyDescent="0.35">
      <c r="A1259">
        <v>1370</v>
      </c>
      <c r="B1259">
        <v>583006884</v>
      </c>
      <c r="C1259">
        <v>38260</v>
      </c>
      <c r="D1259" t="s">
        <v>181</v>
      </c>
      <c r="E1259" t="s">
        <v>444</v>
      </c>
      <c r="F1259" t="s">
        <v>182</v>
      </c>
      <c r="G1259" t="s">
        <v>183</v>
      </c>
      <c r="H1259" t="s">
        <v>17</v>
      </c>
      <c r="I1259" t="s">
        <v>135</v>
      </c>
      <c r="J1259" t="s">
        <v>19</v>
      </c>
      <c r="K1259">
        <v>2864</v>
      </c>
      <c r="L1259">
        <v>0</v>
      </c>
      <c r="M1259" t="s">
        <v>20</v>
      </c>
      <c r="N1259">
        <f>L1259/500</f>
        <v>0</v>
      </c>
      <c r="Q1259">
        <f t="shared" si="0"/>
        <v>1.1456</v>
      </c>
    </row>
    <row r="1260" spans="1:17" x14ac:dyDescent="0.35">
      <c r="A1260">
        <v>1387</v>
      </c>
      <c r="B1260">
        <v>583006906</v>
      </c>
      <c r="C1260">
        <v>38283</v>
      </c>
      <c r="D1260" t="s">
        <v>196</v>
      </c>
      <c r="E1260" t="s">
        <v>444</v>
      </c>
      <c r="F1260" t="s">
        <v>197</v>
      </c>
      <c r="G1260" t="s">
        <v>198</v>
      </c>
      <c r="H1260" t="s">
        <v>17</v>
      </c>
      <c r="I1260" t="s">
        <v>135</v>
      </c>
      <c r="J1260" t="s">
        <v>19</v>
      </c>
      <c r="K1260">
        <v>750</v>
      </c>
      <c r="L1260">
        <v>0</v>
      </c>
      <c r="M1260" t="s">
        <v>20</v>
      </c>
      <c r="N1260">
        <f>L1260/500</f>
        <v>0</v>
      </c>
      <c r="Q1260">
        <f t="shared" si="0"/>
        <v>0.3</v>
      </c>
    </row>
    <row r="1261" spans="1:17" x14ac:dyDescent="0.35">
      <c r="A1261">
        <v>1412</v>
      </c>
      <c r="B1261">
        <v>583006854</v>
      </c>
      <c r="C1261">
        <v>38221</v>
      </c>
      <c r="D1261" t="s">
        <v>13</v>
      </c>
      <c r="E1261" t="s">
        <v>444</v>
      </c>
      <c r="F1261" t="s">
        <v>15</v>
      </c>
      <c r="G1261" t="s">
        <v>16</v>
      </c>
      <c r="H1261" t="s">
        <v>17</v>
      </c>
      <c r="I1261" t="s">
        <v>135</v>
      </c>
      <c r="J1261" t="s">
        <v>19</v>
      </c>
      <c r="K1261">
        <v>375</v>
      </c>
      <c r="L1261">
        <v>0</v>
      </c>
      <c r="M1261" t="s">
        <v>20</v>
      </c>
      <c r="N1261">
        <f>L1261/500</f>
        <v>0</v>
      </c>
      <c r="Q1261">
        <f t="shared" si="0"/>
        <v>0.15</v>
      </c>
    </row>
    <row r="1262" spans="1:17" x14ac:dyDescent="0.35">
      <c r="A1262">
        <v>1421</v>
      </c>
      <c r="B1262">
        <v>583006878</v>
      </c>
      <c r="C1262">
        <v>38251</v>
      </c>
      <c r="D1262" t="s">
        <v>223</v>
      </c>
      <c r="E1262" t="s">
        <v>444</v>
      </c>
      <c r="F1262" t="s">
        <v>224</v>
      </c>
      <c r="G1262" t="s">
        <v>225</v>
      </c>
      <c r="H1262" t="s">
        <v>17</v>
      </c>
      <c r="I1262" t="s">
        <v>135</v>
      </c>
      <c r="J1262" t="s">
        <v>19</v>
      </c>
      <c r="K1262">
        <v>3000</v>
      </c>
      <c r="L1262">
        <v>0</v>
      </c>
      <c r="M1262" t="s">
        <v>20</v>
      </c>
      <c r="N1262">
        <f>L1262/500</f>
        <v>0</v>
      </c>
      <c r="Q1262">
        <f t="shared" si="0"/>
        <v>1.2</v>
      </c>
    </row>
    <row r="1263" spans="1:17" x14ac:dyDescent="0.35">
      <c r="A1263">
        <v>1427</v>
      </c>
      <c r="B1263">
        <v>583006861</v>
      </c>
      <c r="C1263">
        <v>38229</v>
      </c>
      <c r="D1263" t="s">
        <v>125</v>
      </c>
      <c r="E1263" t="s">
        <v>444</v>
      </c>
      <c r="F1263" t="s">
        <v>127</v>
      </c>
      <c r="G1263" t="s">
        <v>128</v>
      </c>
      <c r="H1263" t="s">
        <v>17</v>
      </c>
      <c r="I1263" t="s">
        <v>135</v>
      </c>
      <c r="J1263" t="s">
        <v>19</v>
      </c>
      <c r="K1263">
        <v>2025</v>
      </c>
      <c r="L1263">
        <v>0</v>
      </c>
      <c r="M1263" t="s">
        <v>20</v>
      </c>
      <c r="N1263">
        <f>L1263/500</f>
        <v>0</v>
      </c>
      <c r="Q1263">
        <f t="shared" si="0"/>
        <v>0.81</v>
      </c>
    </row>
    <row r="1264" spans="1:17" x14ac:dyDescent="0.35">
      <c r="A1264">
        <v>1434</v>
      </c>
      <c r="B1264">
        <v>583006917</v>
      </c>
      <c r="C1264">
        <v>38309</v>
      </c>
      <c r="D1264" t="s">
        <v>452</v>
      </c>
      <c r="E1264" t="s">
        <v>451</v>
      </c>
      <c r="F1264" t="s">
        <v>453</v>
      </c>
      <c r="G1264" t="s">
        <v>454</v>
      </c>
      <c r="H1264" t="s">
        <v>17</v>
      </c>
      <c r="I1264" t="s">
        <v>135</v>
      </c>
      <c r="J1264" t="s">
        <v>19</v>
      </c>
      <c r="K1264">
        <v>60</v>
      </c>
      <c r="L1264">
        <v>0</v>
      </c>
      <c r="M1264" t="s">
        <v>20</v>
      </c>
      <c r="N1264">
        <f>L1264/500</f>
        <v>0</v>
      </c>
      <c r="Q1264">
        <f t="shared" si="0"/>
        <v>2.4E-2</v>
      </c>
    </row>
    <row r="1265" spans="1:17" x14ac:dyDescent="0.35">
      <c r="A1265">
        <v>1445</v>
      </c>
      <c r="B1265">
        <v>583006934</v>
      </c>
      <c r="C1265">
        <v>38327</v>
      </c>
      <c r="D1265" t="s">
        <v>13</v>
      </c>
      <c r="E1265" t="s">
        <v>451</v>
      </c>
      <c r="F1265" t="s">
        <v>15</v>
      </c>
      <c r="G1265" t="s">
        <v>16</v>
      </c>
      <c r="H1265" t="s">
        <v>17</v>
      </c>
      <c r="I1265" t="s">
        <v>135</v>
      </c>
      <c r="J1265" t="s">
        <v>19</v>
      </c>
      <c r="K1265">
        <v>225</v>
      </c>
      <c r="L1265">
        <v>0</v>
      </c>
      <c r="M1265" t="s">
        <v>20</v>
      </c>
      <c r="N1265">
        <f>L1265/500</f>
        <v>0</v>
      </c>
      <c r="Q1265">
        <f t="shared" si="0"/>
        <v>0.09</v>
      </c>
    </row>
    <row r="1266" spans="1:17" x14ac:dyDescent="0.35">
      <c r="A1266">
        <v>1449</v>
      </c>
      <c r="B1266">
        <v>583006930</v>
      </c>
      <c r="C1266">
        <v>38323</v>
      </c>
      <c r="D1266" t="s">
        <v>304</v>
      </c>
      <c r="E1266" t="s">
        <v>451</v>
      </c>
      <c r="F1266" t="s">
        <v>305</v>
      </c>
      <c r="G1266" t="s">
        <v>306</v>
      </c>
      <c r="H1266" t="s">
        <v>17</v>
      </c>
      <c r="I1266" t="s">
        <v>135</v>
      </c>
      <c r="J1266" t="s">
        <v>19</v>
      </c>
      <c r="K1266">
        <v>75</v>
      </c>
      <c r="L1266">
        <v>0</v>
      </c>
      <c r="M1266" t="s">
        <v>20</v>
      </c>
      <c r="N1266">
        <f>L1266/500</f>
        <v>0</v>
      </c>
      <c r="Q1266">
        <f t="shared" si="0"/>
        <v>0.03</v>
      </c>
    </row>
    <row r="1267" spans="1:17" x14ac:dyDescent="0.35">
      <c r="A1267">
        <v>1458</v>
      </c>
      <c r="B1267">
        <v>583006918</v>
      </c>
      <c r="C1267">
        <v>38310</v>
      </c>
      <c r="D1267" t="s">
        <v>113</v>
      </c>
      <c r="E1267" t="s">
        <v>451</v>
      </c>
      <c r="F1267" t="s">
        <v>114</v>
      </c>
      <c r="G1267" t="s">
        <v>115</v>
      </c>
      <c r="H1267" t="s">
        <v>17</v>
      </c>
      <c r="I1267" t="s">
        <v>135</v>
      </c>
      <c r="J1267" t="s">
        <v>19</v>
      </c>
      <c r="K1267">
        <v>150</v>
      </c>
      <c r="L1267">
        <v>0</v>
      </c>
      <c r="M1267" t="s">
        <v>20</v>
      </c>
      <c r="N1267">
        <f>L1267/500</f>
        <v>0</v>
      </c>
      <c r="Q1267">
        <f t="shared" si="0"/>
        <v>0.06</v>
      </c>
    </row>
  </sheetData>
  <sortState xmlns:xlrd2="http://schemas.microsoft.com/office/spreadsheetml/2017/richdata2" ref="A2:Q1209">
    <sortCondition ref="F2:F12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1F46-2EB8-4F14-9EE2-BB295644B5F5}">
  <dimension ref="B2:I130"/>
  <sheetViews>
    <sheetView rightToLeft="1" tabSelected="1" workbookViewId="0">
      <pane ySplit="2" topLeftCell="A3" activePane="bottomLeft" state="frozen"/>
      <selection pane="bottomLeft" activeCell="O121" sqref="O121"/>
    </sheetView>
  </sheetViews>
  <sheetFormatPr defaultRowHeight="14.5" x14ac:dyDescent="0.35"/>
  <cols>
    <col min="1" max="1" width="8.7265625" style="5"/>
    <col min="2" max="2" width="20.7265625" style="3" bestFit="1" customWidth="1"/>
    <col min="3" max="3" width="29.36328125" style="3" bestFit="1" customWidth="1"/>
    <col min="4" max="7" width="0" style="4" hidden="1" customWidth="1"/>
    <col min="8" max="8" width="8.7265625" style="1"/>
    <col min="9" max="9" width="13.453125" style="5" bestFit="1" customWidth="1"/>
    <col min="10" max="16384" width="8.7265625" style="5"/>
  </cols>
  <sheetData>
    <row r="2" spans="2:9" s="2" customFormat="1" ht="24" customHeight="1" x14ac:dyDescent="0.35">
      <c r="B2" s="18" t="s">
        <v>5</v>
      </c>
      <c r="C2" s="18" t="s">
        <v>6</v>
      </c>
      <c r="D2" s="19"/>
      <c r="E2" s="19"/>
      <c r="F2" s="19"/>
      <c r="G2" s="19"/>
      <c r="H2" s="19" t="s">
        <v>455</v>
      </c>
      <c r="I2" s="6"/>
    </row>
    <row r="3" spans="2:9" ht="17" x14ac:dyDescent="0.35">
      <c r="B3" s="13" t="s">
        <v>22</v>
      </c>
      <c r="C3" s="20" t="s">
        <v>23</v>
      </c>
      <c r="D3" s="14">
        <f>SUMIFS(Data!N:N,Data!$F:$F,$B3)</f>
        <v>0</v>
      </c>
      <c r="E3" s="14">
        <f>SUMIFS(Data!O:O,Data!$F:$F,$B3)</f>
        <v>0</v>
      </c>
      <c r="F3" s="14">
        <f>SUMIFS(Data!P:P,Data!$F:$F,$B3)</f>
        <v>178.26000000000002</v>
      </c>
      <c r="G3" s="14">
        <f>SUMIFS(Data!Q:Q,Data!$F:$F,$B3)</f>
        <v>2.17272</v>
      </c>
      <c r="H3" s="12">
        <f>SUM(D3:G3)</f>
        <v>180.43272000000002</v>
      </c>
      <c r="I3" s="7"/>
    </row>
    <row r="4" spans="2:9" ht="17" x14ac:dyDescent="0.35">
      <c r="B4" s="15" t="s">
        <v>117</v>
      </c>
      <c r="C4" s="21" t="s">
        <v>118</v>
      </c>
      <c r="D4" s="16">
        <f>SUMIFS(Data!N:N,Data!$F:$F,$B4)</f>
        <v>0</v>
      </c>
      <c r="E4" s="16">
        <f>SUMIFS(Data!O:O,Data!$F:$F,$B4)</f>
        <v>0</v>
      </c>
      <c r="F4" s="16">
        <f>SUMIFS(Data!P:P,Data!$F:$F,$B4)</f>
        <v>160.6875</v>
      </c>
      <c r="G4" s="16">
        <f>SUMIFS(Data!Q:Q,Data!$F:$F,$B4)</f>
        <v>0</v>
      </c>
      <c r="H4" s="17">
        <f>SUM(D4:G4)</f>
        <v>160.6875</v>
      </c>
      <c r="I4" s="8" t="s">
        <v>456</v>
      </c>
    </row>
    <row r="5" spans="2:9" ht="17" x14ac:dyDescent="0.35">
      <c r="B5" s="13" t="s">
        <v>127</v>
      </c>
      <c r="C5" s="20" t="s">
        <v>128</v>
      </c>
      <c r="D5" s="14">
        <f>SUMIFS(Data!N:N,Data!$F:$F,$B5)</f>
        <v>0.45923999999999998</v>
      </c>
      <c r="E5" s="14">
        <f>SUMIFS(Data!O:O,Data!$F:$F,$B5)</f>
        <v>0</v>
      </c>
      <c r="F5" s="14">
        <f>SUMIFS(Data!P:P,Data!$F:$F,$B5)</f>
        <v>73.342500000000001</v>
      </c>
      <c r="G5" s="14">
        <f>SUMIFS(Data!Q:Q,Data!$F:$F,$B5)</f>
        <v>0.81</v>
      </c>
      <c r="H5" s="12">
        <f>SUM(D5:G5)</f>
        <v>74.611739999999998</v>
      </c>
      <c r="I5" s="7"/>
    </row>
    <row r="6" spans="2:9" ht="17" x14ac:dyDescent="0.35">
      <c r="B6" s="13" t="s">
        <v>83</v>
      </c>
      <c r="C6" s="20" t="s">
        <v>84</v>
      </c>
      <c r="D6" s="14">
        <f>SUMIFS(Data!N:N,Data!$F:$F,$B6)</f>
        <v>5.1542399999999997</v>
      </c>
      <c r="E6" s="14">
        <f>SUMIFS(Data!O:O,Data!$F:$F,$B6)</f>
        <v>21.36544</v>
      </c>
      <c r="F6" s="14">
        <f>SUMIFS(Data!P:P,Data!$F:$F,$B6)</f>
        <v>43.533750000000005</v>
      </c>
      <c r="G6" s="14">
        <f>SUMIFS(Data!Q:Q,Data!$F:$F,$B6)</f>
        <v>0.12</v>
      </c>
      <c r="H6" s="12">
        <f>SUM(D6:G6)</f>
        <v>70.17343000000001</v>
      </c>
      <c r="I6" s="7"/>
    </row>
    <row r="7" spans="2:9" ht="17" x14ac:dyDescent="0.35">
      <c r="B7" s="13" t="s">
        <v>30</v>
      </c>
      <c r="C7" s="20" t="s">
        <v>31</v>
      </c>
      <c r="D7" s="14">
        <f>SUMIFS(Data!N:N,Data!$F:$F,$B7)</f>
        <v>2.8969200000000006</v>
      </c>
      <c r="E7" s="14">
        <f>SUMIFS(Data!O:O,Data!$F:$F,$B7)</f>
        <v>0</v>
      </c>
      <c r="F7" s="14">
        <f>SUMIFS(Data!P:P,Data!$F:$F,$B7)</f>
        <v>36.701250000000016</v>
      </c>
      <c r="G7" s="14">
        <f>SUMIFS(Data!Q:Q,Data!$F:$F,$B7)</f>
        <v>0.23880000000000001</v>
      </c>
      <c r="H7" s="12">
        <f>SUM(D7:G7)</f>
        <v>39.836970000000015</v>
      </c>
      <c r="I7" s="7"/>
    </row>
    <row r="8" spans="2:9" ht="17" x14ac:dyDescent="0.35">
      <c r="B8" s="13" t="s">
        <v>154</v>
      </c>
      <c r="C8" s="20" t="s">
        <v>155</v>
      </c>
      <c r="D8" s="14">
        <f>SUMIFS(Data!N:N,Data!$F:$F,$B8)</f>
        <v>0</v>
      </c>
      <c r="E8" s="14">
        <f>SUMIFS(Data!O:O,Data!$F:$F,$B8)</f>
        <v>0</v>
      </c>
      <c r="F8" s="14">
        <f>SUMIFS(Data!P:P,Data!$F:$F,$B8)</f>
        <v>25.057500000000005</v>
      </c>
      <c r="G8" s="14">
        <f>SUMIFS(Data!Q:Q,Data!$F:$F,$B8)</f>
        <v>1.2</v>
      </c>
      <c r="H8" s="12">
        <f>SUM(D8:G8)</f>
        <v>26.257500000000004</v>
      </c>
      <c r="I8" s="7"/>
    </row>
    <row r="9" spans="2:9" ht="17" x14ac:dyDescent="0.35">
      <c r="B9" s="13" t="s">
        <v>315</v>
      </c>
      <c r="C9" s="20" t="s">
        <v>316</v>
      </c>
      <c r="D9" s="14">
        <f>SUMIFS(Data!N:N,Data!$F:$F,$B9)</f>
        <v>0</v>
      </c>
      <c r="E9" s="14">
        <f>SUMIFS(Data!O:O,Data!$F:$F,$B9)</f>
        <v>0</v>
      </c>
      <c r="F9" s="14">
        <f>SUMIFS(Data!P:P,Data!$F:$F,$B9)</f>
        <v>23.313749999999995</v>
      </c>
      <c r="G9" s="14">
        <f>SUMIFS(Data!Q:Q,Data!$F:$F,$B9)</f>
        <v>0.72</v>
      </c>
      <c r="H9" s="12">
        <f>SUM(D9:G9)</f>
        <v>24.033749999999994</v>
      </c>
      <c r="I9" s="7"/>
    </row>
    <row r="10" spans="2:9" ht="17" x14ac:dyDescent="0.35">
      <c r="B10" s="13" t="s">
        <v>33</v>
      </c>
      <c r="C10" s="20" t="s">
        <v>34</v>
      </c>
      <c r="D10" s="14">
        <f>SUMIFS(Data!N:N,Data!$F:$F,$B10)</f>
        <v>0</v>
      </c>
      <c r="E10" s="14">
        <f>SUMIFS(Data!O:O,Data!$F:$F,$B10)</f>
        <v>0</v>
      </c>
      <c r="F10" s="14">
        <f>SUMIFS(Data!P:P,Data!$F:$F,$B10)</f>
        <v>18.509999999999998</v>
      </c>
      <c r="G10" s="14">
        <f>SUMIFS(Data!Q:Q,Data!$F:$F,$B10)</f>
        <v>0.27959999999999996</v>
      </c>
      <c r="H10" s="12">
        <f>SUM(D10:G10)</f>
        <v>18.789599999999997</v>
      </c>
      <c r="I10" s="7"/>
    </row>
    <row r="11" spans="2:9" ht="17" x14ac:dyDescent="0.35">
      <c r="B11" s="13" t="s">
        <v>201</v>
      </c>
      <c r="C11" s="20" t="s">
        <v>202</v>
      </c>
      <c r="D11" s="14">
        <f>SUMIFS(Data!N:N,Data!$F:$F,$B11)</f>
        <v>7.9500000000000001E-2</v>
      </c>
      <c r="E11" s="14">
        <f>SUMIFS(Data!O:O,Data!$F:$F,$B11)</f>
        <v>0</v>
      </c>
      <c r="F11" s="14">
        <f>SUMIFS(Data!P:P,Data!$F:$F,$B11)</f>
        <v>16.387499999999999</v>
      </c>
      <c r="G11" s="14">
        <f>SUMIFS(Data!Q:Q,Data!$F:$F,$B11)</f>
        <v>0</v>
      </c>
      <c r="H11" s="12">
        <f>SUM(D11:G11)</f>
        <v>16.466999999999999</v>
      </c>
      <c r="I11" s="7"/>
    </row>
    <row r="12" spans="2:9" ht="17" x14ac:dyDescent="0.35">
      <c r="B12" s="13" t="s">
        <v>49</v>
      </c>
      <c r="C12" s="20" t="s">
        <v>50</v>
      </c>
      <c r="D12" s="14">
        <f>SUMIFS(Data!N:N,Data!$F:$F,$B12)</f>
        <v>0</v>
      </c>
      <c r="E12" s="14">
        <f>SUMIFS(Data!O:O,Data!$F:$F,$B12)</f>
        <v>0</v>
      </c>
      <c r="F12" s="14">
        <f>SUMIFS(Data!P:P,Data!$F:$F,$B12)</f>
        <v>14.8575</v>
      </c>
      <c r="G12" s="14">
        <f>SUMIFS(Data!Q:Q,Data!$F:$F,$B12)</f>
        <v>9.6000000000000002E-2</v>
      </c>
      <c r="H12" s="12">
        <f>SUM(D12:G12)</f>
        <v>14.9535</v>
      </c>
      <c r="I12" s="7"/>
    </row>
    <row r="13" spans="2:9" ht="17" x14ac:dyDescent="0.35">
      <c r="B13" s="13" t="s">
        <v>137</v>
      </c>
      <c r="C13" s="20" t="s">
        <v>138</v>
      </c>
      <c r="D13" s="14">
        <f>SUMIFS(Data!N:N,Data!$F:$F,$B13)</f>
        <v>0</v>
      </c>
      <c r="E13" s="14">
        <f>SUMIFS(Data!O:O,Data!$F:$F,$B13)</f>
        <v>0</v>
      </c>
      <c r="F13" s="14">
        <f>SUMIFS(Data!P:P,Data!$F:$F,$B13)</f>
        <v>14.422500000000001</v>
      </c>
      <c r="G13" s="14">
        <f>SUMIFS(Data!Q:Q,Data!$F:$F,$B13)</f>
        <v>0</v>
      </c>
      <c r="H13" s="12">
        <f>SUM(D13:G13)</f>
        <v>14.422500000000001</v>
      </c>
      <c r="I13" s="7"/>
    </row>
    <row r="14" spans="2:9" ht="17" x14ac:dyDescent="0.35">
      <c r="B14" s="13" t="s">
        <v>290</v>
      </c>
      <c r="C14" s="20" t="s">
        <v>291</v>
      </c>
      <c r="D14" s="14">
        <f>SUMIFS(Data!N:N,Data!$F:$F,$B14)</f>
        <v>0</v>
      </c>
      <c r="E14" s="14">
        <f>SUMIFS(Data!O:O,Data!$F:$F,$B14)</f>
        <v>0</v>
      </c>
      <c r="F14" s="14">
        <f>SUMIFS(Data!P:P,Data!$F:$F,$B14)</f>
        <v>12.76125</v>
      </c>
      <c r="G14" s="14">
        <f>SUMIFS(Data!Q:Q,Data!$F:$F,$B14)</f>
        <v>0.84072000000000002</v>
      </c>
      <c r="H14" s="12">
        <f>SUM(D14:G14)</f>
        <v>13.60197</v>
      </c>
      <c r="I14" s="7"/>
    </row>
    <row r="15" spans="2:9" ht="17" x14ac:dyDescent="0.35">
      <c r="B15" s="13" t="s">
        <v>46</v>
      </c>
      <c r="C15" s="20" t="s">
        <v>47</v>
      </c>
      <c r="D15" s="14">
        <f>SUMIFS(Data!N:N,Data!$F:$F,$B15)</f>
        <v>0</v>
      </c>
      <c r="E15" s="14">
        <f>SUMIFS(Data!O:O,Data!$F:$F,$B15)</f>
        <v>0</v>
      </c>
      <c r="F15" s="14">
        <f>SUMIFS(Data!P:P,Data!$F:$F,$B15)</f>
        <v>13.436249999999998</v>
      </c>
      <c r="G15" s="14">
        <f>SUMIFS(Data!Q:Q,Data!$F:$F,$B15)</f>
        <v>0</v>
      </c>
      <c r="H15" s="12">
        <f>SUM(D15:G15)</f>
        <v>13.436249999999998</v>
      </c>
      <c r="I15" s="7"/>
    </row>
    <row r="16" spans="2:9" ht="17" x14ac:dyDescent="0.35">
      <c r="B16" s="13" t="s">
        <v>218</v>
      </c>
      <c r="C16" s="20" t="s">
        <v>219</v>
      </c>
      <c r="D16" s="14">
        <f>SUMIFS(Data!N:N,Data!$F:$F,$B16)</f>
        <v>0</v>
      </c>
      <c r="E16" s="14">
        <f>SUMIFS(Data!O:O,Data!$F:$F,$B16)</f>
        <v>0</v>
      </c>
      <c r="F16" s="14">
        <f>SUMIFS(Data!P:P,Data!$F:$F,$B16)</f>
        <v>11.6175</v>
      </c>
      <c r="G16" s="14">
        <f>SUMIFS(Data!Q:Q,Data!$F:$F,$B16)</f>
        <v>0.24</v>
      </c>
      <c r="H16" s="12">
        <f>SUM(D16:G16)</f>
        <v>11.8575</v>
      </c>
      <c r="I16" s="7"/>
    </row>
    <row r="17" spans="2:9" ht="17" x14ac:dyDescent="0.35">
      <c r="B17" s="13" t="s">
        <v>37</v>
      </c>
      <c r="C17" s="20" t="s">
        <v>38</v>
      </c>
      <c r="D17" s="14">
        <f>SUMIFS(Data!N:N,Data!$F:$F,$B17)</f>
        <v>0</v>
      </c>
      <c r="E17" s="14">
        <f>SUMIFS(Data!O:O,Data!$F:$F,$B17)</f>
        <v>0</v>
      </c>
      <c r="F17" s="14">
        <f>SUMIFS(Data!P:P,Data!$F:$F,$B17)</f>
        <v>11.7</v>
      </c>
      <c r="G17" s="14">
        <f>SUMIFS(Data!Q:Q,Data!$F:$F,$B17)</f>
        <v>0</v>
      </c>
      <c r="H17" s="12">
        <f>SUM(D17:G17)</f>
        <v>11.7</v>
      </c>
      <c r="I17" s="7"/>
    </row>
    <row r="18" spans="2:9" ht="17" x14ac:dyDescent="0.35">
      <c r="B18" s="13" t="s">
        <v>224</v>
      </c>
      <c r="C18" s="20" t="s">
        <v>225</v>
      </c>
      <c r="D18" s="14">
        <f>SUMIFS(Data!N:N,Data!$F:$F,$B18)</f>
        <v>0.28236</v>
      </c>
      <c r="E18" s="14">
        <f>SUMIFS(Data!O:O,Data!$F:$F,$B18)</f>
        <v>0</v>
      </c>
      <c r="F18" s="14">
        <f>SUMIFS(Data!P:P,Data!$F:$F,$B18)</f>
        <v>9.33</v>
      </c>
      <c r="G18" s="14">
        <f>SUMIFS(Data!Q:Q,Data!$F:$F,$B18)</f>
        <v>1.23</v>
      </c>
      <c r="H18" s="12">
        <f>SUM(D18:G18)</f>
        <v>10.842360000000001</v>
      </c>
      <c r="I18" s="7"/>
    </row>
    <row r="19" spans="2:9" ht="17" x14ac:dyDescent="0.35">
      <c r="B19" s="13" t="s">
        <v>166</v>
      </c>
      <c r="C19" s="20" t="s">
        <v>167</v>
      </c>
      <c r="D19" s="14">
        <f>SUMIFS(Data!N:N,Data!$F:$F,$B19)</f>
        <v>0</v>
      </c>
      <c r="E19" s="14">
        <f>SUMIFS(Data!O:O,Data!$F:$F,$B19)</f>
        <v>0</v>
      </c>
      <c r="F19" s="14">
        <f>SUMIFS(Data!P:P,Data!$F:$F,$B19)</f>
        <v>9.9525000000000006</v>
      </c>
      <c r="G19" s="14">
        <f>SUMIFS(Data!Q:Q,Data!$F:$F,$B19)</f>
        <v>0</v>
      </c>
      <c r="H19" s="12">
        <f>SUM(D19:G19)</f>
        <v>9.9525000000000006</v>
      </c>
      <c r="I19" s="7"/>
    </row>
    <row r="20" spans="2:9" ht="17" x14ac:dyDescent="0.35">
      <c r="B20" s="13" t="s">
        <v>335</v>
      </c>
      <c r="C20" s="20" t="s">
        <v>336</v>
      </c>
      <c r="D20" s="14">
        <f>SUMIFS(Data!N:N,Data!$F:$F,$B20)</f>
        <v>0</v>
      </c>
      <c r="E20" s="14">
        <f>SUMIFS(Data!O:O,Data!$F:$F,$B20)</f>
        <v>0</v>
      </c>
      <c r="F20" s="14">
        <f>SUMIFS(Data!P:P,Data!$F:$F,$B20)</f>
        <v>9.8774999999999995</v>
      </c>
      <c r="G20" s="14">
        <f>SUMIFS(Data!Q:Q,Data!$F:$F,$B20)</f>
        <v>0</v>
      </c>
      <c r="H20" s="12">
        <f>SUM(D20:G20)</f>
        <v>9.8774999999999995</v>
      </c>
      <c r="I20" s="7"/>
    </row>
    <row r="21" spans="2:9" ht="17" x14ac:dyDescent="0.35">
      <c r="B21" s="13" t="s">
        <v>401</v>
      </c>
      <c r="C21" s="20" t="s">
        <v>402</v>
      </c>
      <c r="D21" s="14">
        <f>SUMIFS(Data!N:N,Data!$F:$F,$B21)</f>
        <v>0</v>
      </c>
      <c r="E21" s="14">
        <f>SUMIFS(Data!O:O,Data!$F:$F,$B21)</f>
        <v>0</v>
      </c>
      <c r="F21" s="14">
        <f>SUMIFS(Data!P:P,Data!$F:$F,$B21)</f>
        <v>9.5025000000000013</v>
      </c>
      <c r="G21" s="14">
        <f>SUMIFS(Data!Q:Q,Data!$F:$F,$B21)</f>
        <v>0</v>
      </c>
      <c r="H21" s="12">
        <f>SUM(D21:G21)</f>
        <v>9.5025000000000013</v>
      </c>
      <c r="I21" s="7"/>
    </row>
    <row r="22" spans="2:9" ht="17" x14ac:dyDescent="0.35">
      <c r="B22" s="13" t="s">
        <v>43</v>
      </c>
      <c r="C22" s="20" t="s">
        <v>44</v>
      </c>
      <c r="D22" s="14">
        <f>SUMIFS(Data!N:N,Data!$F:$F,$B22)</f>
        <v>0</v>
      </c>
      <c r="E22" s="14">
        <f>SUMIFS(Data!O:O,Data!$F:$F,$B22)</f>
        <v>0</v>
      </c>
      <c r="F22" s="14">
        <f>SUMIFS(Data!P:P,Data!$F:$F,$B22)</f>
        <v>8.6475000000000009</v>
      </c>
      <c r="G22" s="14">
        <f>SUMIFS(Data!Q:Q,Data!$F:$F,$B22)</f>
        <v>0</v>
      </c>
      <c r="H22" s="12">
        <f>SUM(D22:G22)</f>
        <v>8.6475000000000009</v>
      </c>
      <c r="I22" s="7"/>
    </row>
    <row r="23" spans="2:9" ht="17" x14ac:dyDescent="0.35">
      <c r="B23" s="13" t="s">
        <v>227</v>
      </c>
      <c r="C23" s="20" t="s">
        <v>228</v>
      </c>
      <c r="D23" s="14">
        <f>SUMIFS(Data!N:N,Data!$F:$F,$B23)</f>
        <v>0</v>
      </c>
      <c r="E23" s="14">
        <f>SUMIFS(Data!O:O,Data!$F:$F,$B23)</f>
        <v>0</v>
      </c>
      <c r="F23" s="14">
        <f>SUMIFS(Data!P:P,Data!$F:$F,$B23)</f>
        <v>8.3062500000000004</v>
      </c>
      <c r="G23" s="14">
        <f>SUMIFS(Data!Q:Q,Data!$F:$F,$B23)</f>
        <v>0.14399999999999999</v>
      </c>
      <c r="H23" s="12">
        <f>SUM(D23:G23)</f>
        <v>8.4502500000000005</v>
      </c>
      <c r="I23" s="7"/>
    </row>
    <row r="24" spans="2:9" ht="17" x14ac:dyDescent="0.35">
      <c r="B24" s="13" t="s">
        <v>185</v>
      </c>
      <c r="C24" s="20" t="s">
        <v>186</v>
      </c>
      <c r="D24" s="14">
        <f>SUMIFS(Data!N:N,Data!$F:$F,$B24)</f>
        <v>0</v>
      </c>
      <c r="E24" s="14">
        <f>SUMIFS(Data!O:O,Data!$F:$F,$B24)</f>
        <v>0</v>
      </c>
      <c r="F24" s="14">
        <f>SUMIFS(Data!P:P,Data!$F:$F,$B24)</f>
        <v>8.1750000000000007</v>
      </c>
      <c r="G24" s="14">
        <f>SUMIFS(Data!Q:Q,Data!$F:$F,$B24)</f>
        <v>0</v>
      </c>
      <c r="H24" s="12">
        <f>SUM(D24:G24)</f>
        <v>8.1750000000000007</v>
      </c>
      <c r="I24" s="7"/>
    </row>
    <row r="25" spans="2:9" ht="17" x14ac:dyDescent="0.35">
      <c r="B25" s="13" t="s">
        <v>345</v>
      </c>
      <c r="C25" s="20" t="s">
        <v>346</v>
      </c>
      <c r="D25" s="14">
        <f>SUMIFS(Data!N:N,Data!$F:$F,$B25)</f>
        <v>1.55406</v>
      </c>
      <c r="E25" s="14">
        <f>SUMIFS(Data!O:O,Data!$F:$F,$B25)</f>
        <v>0</v>
      </c>
      <c r="F25" s="14">
        <f>SUMIFS(Data!P:P,Data!$F:$F,$B25)</f>
        <v>4.9949999999999992</v>
      </c>
      <c r="G25" s="14">
        <f>SUMIFS(Data!Q:Q,Data!$F:$F,$B25)</f>
        <v>0.42</v>
      </c>
      <c r="H25" s="12">
        <f>SUM(D25:G25)</f>
        <v>6.9690599999999989</v>
      </c>
      <c r="I25" s="7"/>
    </row>
    <row r="26" spans="2:9" ht="17" x14ac:dyDescent="0.35">
      <c r="B26" s="13" t="s">
        <v>239</v>
      </c>
      <c r="C26" s="20" t="s">
        <v>240</v>
      </c>
      <c r="D26" s="14">
        <f>SUMIFS(Data!N:N,Data!$F:$F,$B26)</f>
        <v>0</v>
      </c>
      <c r="E26" s="14">
        <f>SUMIFS(Data!O:O,Data!$F:$F,$B26)</f>
        <v>0</v>
      </c>
      <c r="F26" s="14">
        <f>SUMIFS(Data!P:P,Data!$F:$F,$B26)</f>
        <v>6.6862500000000002</v>
      </c>
      <c r="G26" s="14">
        <f>SUMIFS(Data!Q:Q,Data!$F:$F,$B26)</f>
        <v>0.24</v>
      </c>
      <c r="H26" s="12">
        <f>SUM(D26:G26)</f>
        <v>6.9262500000000005</v>
      </c>
      <c r="I26" s="7"/>
    </row>
    <row r="27" spans="2:9" ht="17" x14ac:dyDescent="0.35">
      <c r="B27" s="13" t="s">
        <v>229</v>
      </c>
      <c r="C27" s="20" t="s">
        <v>230</v>
      </c>
      <c r="D27" s="14">
        <f>SUMIFS(Data!N:N,Data!$F:$F,$B27)</f>
        <v>0</v>
      </c>
      <c r="E27" s="14">
        <f>SUMIFS(Data!O:O,Data!$F:$F,$B27)</f>
        <v>0</v>
      </c>
      <c r="F27" s="14">
        <f>SUMIFS(Data!P:P,Data!$F:$F,$B27)</f>
        <v>6.7762499999999992</v>
      </c>
      <c r="G27" s="14">
        <f>SUMIFS(Data!Q:Q,Data!$F:$F,$B27)</f>
        <v>0</v>
      </c>
      <c r="H27" s="12">
        <f>SUM(D27:G27)</f>
        <v>6.7762499999999992</v>
      </c>
      <c r="I27" s="7"/>
    </row>
    <row r="28" spans="2:9" ht="17" x14ac:dyDescent="0.35">
      <c r="B28" s="13" t="s">
        <v>232</v>
      </c>
      <c r="C28" s="20" t="s">
        <v>233</v>
      </c>
      <c r="D28" s="14">
        <f>SUMIFS(Data!N:N,Data!$F:$F,$B28)</f>
        <v>0.10619999999999999</v>
      </c>
      <c r="E28" s="14">
        <f>SUMIFS(Data!O:O,Data!$F:$F,$B28)</f>
        <v>0</v>
      </c>
      <c r="F28" s="14">
        <f>SUMIFS(Data!P:P,Data!$F:$F,$B28)</f>
        <v>6.12</v>
      </c>
      <c r="G28" s="14">
        <f>SUMIFS(Data!Q:Q,Data!$F:$F,$B28)</f>
        <v>0</v>
      </c>
      <c r="H28" s="12">
        <f>SUM(D28:G28)</f>
        <v>6.2262000000000004</v>
      </c>
      <c r="I28" s="7"/>
    </row>
    <row r="29" spans="2:9" ht="17" x14ac:dyDescent="0.35">
      <c r="B29" s="13" t="s">
        <v>312</v>
      </c>
      <c r="C29" s="20" t="s">
        <v>313</v>
      </c>
      <c r="D29" s="14">
        <f>SUMIFS(Data!N:N,Data!$F:$F,$B29)</f>
        <v>0</v>
      </c>
      <c r="E29" s="14">
        <f>SUMIFS(Data!O:O,Data!$F:$F,$B29)</f>
        <v>0</v>
      </c>
      <c r="F29" s="14">
        <f>SUMIFS(Data!P:P,Data!$F:$F,$B29)</f>
        <v>5.8650000000000002</v>
      </c>
      <c r="G29" s="14">
        <f>SUMIFS(Data!Q:Q,Data!$F:$F,$B29)</f>
        <v>0</v>
      </c>
      <c r="H29" s="12">
        <f>SUM(D29:G29)</f>
        <v>5.8650000000000002</v>
      </c>
      <c r="I29" s="7"/>
    </row>
    <row r="30" spans="2:9" ht="17" x14ac:dyDescent="0.35">
      <c r="B30" s="13" t="s">
        <v>204</v>
      </c>
      <c r="C30" s="20" t="s">
        <v>205</v>
      </c>
      <c r="D30" s="14">
        <f>SUMIFS(Data!N:N,Data!$F:$F,$B30)</f>
        <v>0</v>
      </c>
      <c r="E30" s="14">
        <f>SUMIFS(Data!O:O,Data!$F:$F,$B30)</f>
        <v>0</v>
      </c>
      <c r="F30" s="14">
        <f>SUMIFS(Data!P:P,Data!$F:$F,$B30)</f>
        <v>5.7299999999999995</v>
      </c>
      <c r="G30" s="14">
        <f>SUMIFS(Data!Q:Q,Data!$F:$F,$B30)</f>
        <v>0</v>
      </c>
      <c r="H30" s="12">
        <f>SUM(D30:G30)</f>
        <v>5.7299999999999995</v>
      </c>
      <c r="I30" s="7"/>
    </row>
    <row r="31" spans="2:9" ht="17" x14ac:dyDescent="0.35">
      <c r="B31" s="13" t="s">
        <v>96</v>
      </c>
      <c r="C31" s="20" t="s">
        <v>97</v>
      </c>
      <c r="D31" s="14">
        <f>SUMIFS(Data!N:N,Data!$F:$F,$B31)</f>
        <v>0</v>
      </c>
      <c r="E31" s="14">
        <f>SUMIFS(Data!O:O,Data!$F:$F,$B31)</f>
        <v>0</v>
      </c>
      <c r="F31" s="14">
        <f>SUMIFS(Data!P:P,Data!$F:$F,$B31)</f>
        <v>5.5274999999999999</v>
      </c>
      <c r="G31" s="14">
        <f>SUMIFS(Data!Q:Q,Data!$F:$F,$B31)</f>
        <v>0</v>
      </c>
      <c r="H31" s="12">
        <f>SUM(D31:G31)</f>
        <v>5.5274999999999999</v>
      </c>
      <c r="I31" s="7"/>
    </row>
    <row r="32" spans="2:9" ht="17" x14ac:dyDescent="0.35">
      <c r="B32" s="13" t="s">
        <v>375</v>
      </c>
      <c r="C32" s="20" t="s">
        <v>376</v>
      </c>
      <c r="D32" s="14">
        <f>SUMIFS(Data!N:N,Data!$F:$F,$B32)</f>
        <v>0</v>
      </c>
      <c r="E32" s="14">
        <f>SUMIFS(Data!O:O,Data!$F:$F,$B32)</f>
        <v>0</v>
      </c>
      <c r="F32" s="14">
        <f>SUMIFS(Data!P:P,Data!$F:$F,$B32)</f>
        <v>5.3962500000000002</v>
      </c>
      <c r="G32" s="14">
        <f>SUMIFS(Data!Q:Q,Data!$F:$F,$B32)</f>
        <v>0</v>
      </c>
      <c r="H32" s="12">
        <f>SUM(D32:G32)</f>
        <v>5.3962500000000002</v>
      </c>
      <c r="I32" s="7"/>
    </row>
    <row r="33" spans="2:9" ht="17" x14ac:dyDescent="0.35">
      <c r="B33" s="13" t="s">
        <v>191</v>
      </c>
      <c r="C33" s="20" t="s">
        <v>192</v>
      </c>
      <c r="D33" s="14">
        <f>SUMIFS(Data!N:N,Data!$F:$F,$B33)</f>
        <v>0</v>
      </c>
      <c r="E33" s="14">
        <f>SUMIFS(Data!O:O,Data!$F:$F,$B33)</f>
        <v>0</v>
      </c>
      <c r="F33" s="14">
        <f>SUMIFS(Data!P:P,Data!$F:$F,$B33)</f>
        <v>5.3812499999999996</v>
      </c>
      <c r="G33" s="14">
        <f>SUMIFS(Data!Q:Q,Data!$F:$F,$B33)</f>
        <v>0</v>
      </c>
      <c r="H33" s="12">
        <f>SUM(D33:G33)</f>
        <v>5.3812499999999996</v>
      </c>
      <c r="I33" s="7"/>
    </row>
    <row r="34" spans="2:9" ht="17" x14ac:dyDescent="0.35">
      <c r="B34" s="13" t="s">
        <v>245</v>
      </c>
      <c r="C34" s="20" t="s">
        <v>246</v>
      </c>
      <c r="D34" s="14">
        <f>SUMIFS(Data!N:N,Data!$F:$F,$B34)</f>
        <v>0</v>
      </c>
      <c r="E34" s="14">
        <f>SUMIFS(Data!O:O,Data!$F:$F,$B34)</f>
        <v>0</v>
      </c>
      <c r="F34" s="14">
        <f>SUMIFS(Data!P:P,Data!$F:$F,$B34)</f>
        <v>5.01</v>
      </c>
      <c r="G34" s="14">
        <f>SUMIFS(Data!Q:Q,Data!$F:$F,$B34)</f>
        <v>0</v>
      </c>
      <c r="H34" s="12">
        <f>SUM(D34:G34)</f>
        <v>5.01</v>
      </c>
      <c r="I34" s="7"/>
    </row>
    <row r="35" spans="2:9" ht="17" x14ac:dyDescent="0.35">
      <c r="B35" s="13" t="s">
        <v>93</v>
      </c>
      <c r="C35" s="20" t="s">
        <v>94</v>
      </c>
      <c r="D35" s="14">
        <f>SUMIFS(Data!N:N,Data!$F:$F,$B35)</f>
        <v>0</v>
      </c>
      <c r="E35" s="14">
        <f>SUMIFS(Data!O:O,Data!$F:$F,$B35)</f>
        <v>0</v>
      </c>
      <c r="F35" s="14">
        <f>SUMIFS(Data!P:P,Data!$F:$F,$B35)</f>
        <v>4.2599999999999989</v>
      </c>
      <c r="G35" s="14">
        <f>SUMIFS(Data!Q:Q,Data!$F:$F,$B35)</f>
        <v>0.74399999999999999</v>
      </c>
      <c r="H35" s="12">
        <f>SUM(D35:G35)</f>
        <v>5.0039999999999987</v>
      </c>
      <c r="I35" s="7"/>
    </row>
    <row r="36" spans="2:9" ht="17" x14ac:dyDescent="0.35">
      <c r="B36" s="13" t="s">
        <v>242</v>
      </c>
      <c r="C36" s="20" t="s">
        <v>243</v>
      </c>
      <c r="D36" s="14">
        <f>SUMIFS(Data!N:N,Data!$F:$F,$B36)</f>
        <v>0</v>
      </c>
      <c r="E36" s="14">
        <f>SUMIFS(Data!O:O,Data!$F:$F,$B36)</f>
        <v>0</v>
      </c>
      <c r="F36" s="14">
        <f>SUMIFS(Data!P:P,Data!$F:$F,$B36)</f>
        <v>5.0025000000000004</v>
      </c>
      <c r="G36" s="14">
        <f>SUMIFS(Data!Q:Q,Data!$F:$F,$B36)</f>
        <v>0</v>
      </c>
      <c r="H36" s="12">
        <f>SUM(D36:G36)</f>
        <v>5.0025000000000004</v>
      </c>
      <c r="I36" s="7"/>
    </row>
    <row r="37" spans="2:9" ht="17" x14ac:dyDescent="0.35">
      <c r="B37" s="13" t="s">
        <v>398</v>
      </c>
      <c r="C37" s="20" t="s">
        <v>399</v>
      </c>
      <c r="D37" s="14">
        <f>SUMIFS(Data!N:N,Data!$F:$F,$B37)</f>
        <v>0</v>
      </c>
      <c r="E37" s="14">
        <f>SUMIFS(Data!O:O,Data!$F:$F,$B37)</f>
        <v>0</v>
      </c>
      <c r="F37" s="14">
        <f>SUMIFS(Data!P:P,Data!$F:$F,$B37)</f>
        <v>4.9574999999999996</v>
      </c>
      <c r="G37" s="14">
        <f>SUMIFS(Data!Q:Q,Data!$F:$F,$B37)</f>
        <v>0</v>
      </c>
      <c r="H37" s="12">
        <f>SUM(D37:G37)</f>
        <v>4.9574999999999996</v>
      </c>
      <c r="I37" s="7"/>
    </row>
    <row r="38" spans="2:9" ht="17" x14ac:dyDescent="0.35">
      <c r="B38" s="13" t="s">
        <v>329</v>
      </c>
      <c r="C38" s="20" t="s">
        <v>330</v>
      </c>
      <c r="D38" s="14">
        <f>SUMIFS(Data!N:N,Data!$F:$F,$B38)</f>
        <v>0</v>
      </c>
      <c r="E38" s="14">
        <f>SUMIFS(Data!O:O,Data!$F:$F,$B38)</f>
        <v>0</v>
      </c>
      <c r="F38" s="14">
        <f>SUMIFS(Data!P:P,Data!$F:$F,$B38)</f>
        <v>4.8975000000000009</v>
      </c>
      <c r="G38" s="14">
        <f>SUMIFS(Data!Q:Q,Data!$F:$F,$B38)</f>
        <v>2.4E-2</v>
      </c>
      <c r="H38" s="12">
        <f>SUM(D38:G38)</f>
        <v>4.9215000000000009</v>
      </c>
      <c r="I38" s="7"/>
    </row>
    <row r="39" spans="2:9" ht="17" x14ac:dyDescent="0.35">
      <c r="B39" s="13" t="s">
        <v>102</v>
      </c>
      <c r="C39" s="20" t="s">
        <v>103</v>
      </c>
      <c r="D39" s="14">
        <f>SUMIFS(Data!N:N,Data!$F:$F,$B39)</f>
        <v>2.36544</v>
      </c>
      <c r="E39" s="14">
        <f>SUMIFS(Data!O:O,Data!$F:$F,$B39)</f>
        <v>0</v>
      </c>
      <c r="F39" s="14">
        <f>SUMIFS(Data!P:P,Data!$F:$F,$B39)</f>
        <v>2.34</v>
      </c>
      <c r="G39" s="14">
        <f>SUMIFS(Data!Q:Q,Data!$F:$F,$B39)</f>
        <v>0.20699999999999999</v>
      </c>
      <c r="H39" s="12">
        <f>SUM(D39:G39)</f>
        <v>4.9124399999999993</v>
      </c>
      <c r="I39" s="7"/>
    </row>
    <row r="40" spans="2:9" ht="17" x14ac:dyDescent="0.35">
      <c r="B40" s="13" t="s">
        <v>79</v>
      </c>
      <c r="C40" s="20" t="s">
        <v>80</v>
      </c>
      <c r="D40" s="14">
        <f>SUMIFS(Data!N:N,Data!$F:$F,$B40)</f>
        <v>4.7577600000000002</v>
      </c>
      <c r="E40" s="14">
        <f>SUMIFS(Data!O:O,Data!$F:$F,$B40)</f>
        <v>0</v>
      </c>
      <c r="F40" s="14">
        <f>SUMIFS(Data!P:P,Data!$F:$F,$B40)</f>
        <v>0</v>
      </c>
      <c r="G40" s="14">
        <f>SUMIFS(Data!Q:Q,Data!$F:$F,$B40)</f>
        <v>0</v>
      </c>
      <c r="H40" s="12">
        <f>SUM(D40:G40)</f>
        <v>4.7577600000000002</v>
      </c>
      <c r="I40" s="7"/>
    </row>
    <row r="41" spans="2:9" ht="17" x14ac:dyDescent="0.35">
      <c r="B41" s="13" t="s">
        <v>142</v>
      </c>
      <c r="C41" s="20" t="s">
        <v>143</v>
      </c>
      <c r="D41" s="14">
        <f>SUMIFS(Data!N:N,Data!$F:$F,$B41)</f>
        <v>4.7577600000000002</v>
      </c>
      <c r="E41" s="14">
        <f>SUMIFS(Data!O:O,Data!$F:$F,$B41)</f>
        <v>0</v>
      </c>
      <c r="F41" s="14">
        <f>SUMIFS(Data!P:P,Data!$F:$F,$B41)</f>
        <v>0</v>
      </c>
      <c r="G41" s="14">
        <f>SUMIFS(Data!Q:Q,Data!$F:$F,$B41)</f>
        <v>0</v>
      </c>
      <c r="H41" s="12">
        <f>SUM(D41:G41)</f>
        <v>4.7577600000000002</v>
      </c>
      <c r="I41" s="7"/>
    </row>
    <row r="42" spans="2:9" ht="17" x14ac:dyDescent="0.35">
      <c r="B42" s="13" t="s">
        <v>405</v>
      </c>
      <c r="C42" s="20" t="s">
        <v>406</v>
      </c>
      <c r="D42" s="14">
        <f>SUMIFS(Data!N:N,Data!$F:$F,$B42)</f>
        <v>0</v>
      </c>
      <c r="E42" s="14">
        <f>SUMIFS(Data!O:O,Data!$F:$F,$B42)</f>
        <v>0</v>
      </c>
      <c r="F42" s="14">
        <f>SUMIFS(Data!P:P,Data!$F:$F,$B42)</f>
        <v>4.7174999999999994</v>
      </c>
      <c r="G42" s="14">
        <f>SUMIFS(Data!Q:Q,Data!$F:$F,$B42)</f>
        <v>0</v>
      </c>
      <c r="H42" s="12">
        <f>SUM(D42:G42)</f>
        <v>4.7174999999999994</v>
      </c>
      <c r="I42" s="7"/>
    </row>
    <row r="43" spans="2:9" ht="17" x14ac:dyDescent="0.35">
      <c r="B43" s="13" t="s">
        <v>302</v>
      </c>
      <c r="C43" s="20" t="s">
        <v>303</v>
      </c>
      <c r="D43" s="14">
        <f>SUMIFS(Data!N:N,Data!$F:$F,$B43)</f>
        <v>0</v>
      </c>
      <c r="E43" s="14">
        <f>SUMIFS(Data!O:O,Data!$F:$F,$B43)</f>
        <v>0</v>
      </c>
      <c r="F43" s="14">
        <f>SUMIFS(Data!P:P,Data!$F:$F,$B43)</f>
        <v>4.6912499999999993</v>
      </c>
      <c r="G43" s="14">
        <f>SUMIFS(Data!Q:Q,Data!$F:$F,$B43)</f>
        <v>0</v>
      </c>
      <c r="H43" s="12">
        <f>SUM(D43:G43)</f>
        <v>4.6912499999999993</v>
      </c>
      <c r="I43" s="7"/>
    </row>
    <row r="44" spans="2:9" ht="17" x14ac:dyDescent="0.35">
      <c r="B44" s="13" t="s">
        <v>415</v>
      </c>
      <c r="C44" s="20" t="s">
        <v>416</v>
      </c>
      <c r="D44" s="14">
        <f>SUMIFS(Data!N:N,Data!$F:$F,$B44)</f>
        <v>3.9600000000000003E-2</v>
      </c>
      <c r="E44" s="14">
        <f>SUMIFS(Data!O:O,Data!$F:$F,$B44)</f>
        <v>0</v>
      </c>
      <c r="F44" s="14">
        <f>SUMIFS(Data!P:P,Data!$F:$F,$B44)</f>
        <v>4.6275000000000004</v>
      </c>
      <c r="G44" s="14">
        <f>SUMIFS(Data!Q:Q,Data!$F:$F,$B44)</f>
        <v>0</v>
      </c>
      <c r="H44" s="12">
        <f>SUM(D44:G44)</f>
        <v>4.6671000000000005</v>
      </c>
      <c r="I44" s="7"/>
    </row>
    <row r="45" spans="2:9" ht="17" x14ac:dyDescent="0.35">
      <c r="B45" s="13" t="s">
        <v>182</v>
      </c>
      <c r="C45" s="20" t="s">
        <v>183</v>
      </c>
      <c r="D45" s="14">
        <f>SUMIFS(Data!N:N,Data!$F:$F,$B45)</f>
        <v>0.32568000000000003</v>
      </c>
      <c r="E45" s="14">
        <f>SUMIFS(Data!O:O,Data!$F:$F,$B45)</f>
        <v>0</v>
      </c>
      <c r="F45" s="14">
        <f>SUMIFS(Data!P:P,Data!$F:$F,$B45)</f>
        <v>2.6025</v>
      </c>
      <c r="G45" s="14">
        <f>SUMIFS(Data!Q:Q,Data!$F:$F,$B45)</f>
        <v>1.736</v>
      </c>
      <c r="H45" s="12">
        <f>SUM(D45:G45)</f>
        <v>4.66418</v>
      </c>
      <c r="I45" s="7"/>
    </row>
    <row r="46" spans="2:9" ht="17" x14ac:dyDescent="0.35">
      <c r="B46" s="13" t="s">
        <v>268</v>
      </c>
      <c r="C46" s="20" t="s">
        <v>269</v>
      </c>
      <c r="D46" s="14">
        <f>SUMIFS(Data!N:N,Data!$F:$F,$B46)</f>
        <v>0</v>
      </c>
      <c r="E46" s="14">
        <f>SUMIFS(Data!O:O,Data!$F:$F,$B46)</f>
        <v>0</v>
      </c>
      <c r="F46" s="14">
        <f>SUMIFS(Data!P:P,Data!$F:$F,$B46)</f>
        <v>4.6050000000000004</v>
      </c>
      <c r="G46" s="14">
        <f>SUMIFS(Data!Q:Q,Data!$F:$F,$B46)</f>
        <v>0</v>
      </c>
      <c r="H46" s="12">
        <f>SUM(D46:G46)</f>
        <v>4.6050000000000004</v>
      </c>
      <c r="I46" s="7"/>
    </row>
    <row r="47" spans="2:9" ht="17" x14ac:dyDescent="0.35">
      <c r="B47" s="13" t="s">
        <v>281</v>
      </c>
      <c r="C47" s="20" t="s">
        <v>282</v>
      </c>
      <c r="D47" s="14">
        <f>SUMIFS(Data!N:N,Data!$F:$F,$B47)</f>
        <v>0</v>
      </c>
      <c r="E47" s="14">
        <f>SUMIFS(Data!O:O,Data!$F:$F,$B47)</f>
        <v>0</v>
      </c>
      <c r="F47" s="14">
        <f>SUMIFS(Data!P:P,Data!$F:$F,$B47)</f>
        <v>4.5562500000000004</v>
      </c>
      <c r="G47" s="14">
        <f>SUMIFS(Data!Q:Q,Data!$F:$F,$B47)</f>
        <v>4.4400000000000002E-2</v>
      </c>
      <c r="H47" s="12">
        <f>SUM(D47:G47)</f>
        <v>4.6006500000000008</v>
      </c>
      <c r="I47" s="7"/>
    </row>
    <row r="48" spans="2:9" ht="17" x14ac:dyDescent="0.35">
      <c r="B48" s="13" t="s">
        <v>258</v>
      </c>
      <c r="C48" s="20" t="s">
        <v>259</v>
      </c>
      <c r="D48" s="14">
        <f>SUMIFS(Data!N:N,Data!$F:$F,$B48)</f>
        <v>0</v>
      </c>
      <c r="E48" s="14">
        <f>SUMIFS(Data!O:O,Data!$F:$F,$B48)</f>
        <v>0</v>
      </c>
      <c r="F48" s="14">
        <f>SUMIFS(Data!P:P,Data!$F:$F,$B48)</f>
        <v>4.3462499999999995</v>
      </c>
      <c r="G48" s="14">
        <f>SUMIFS(Data!Q:Q,Data!$F:$F,$B48)</f>
        <v>0.2064</v>
      </c>
      <c r="H48" s="12">
        <f>SUM(D48:G48)</f>
        <v>4.5526499999999999</v>
      </c>
      <c r="I48" s="7"/>
    </row>
    <row r="49" spans="2:9" ht="17" x14ac:dyDescent="0.35">
      <c r="B49" s="13" t="s">
        <v>148</v>
      </c>
      <c r="C49" s="20" t="s">
        <v>149</v>
      </c>
      <c r="D49" s="14">
        <f>SUMIFS(Data!N:N,Data!$F:$F,$B49)</f>
        <v>0</v>
      </c>
      <c r="E49" s="14">
        <f>SUMIFS(Data!O:O,Data!$F:$F,$B49)</f>
        <v>0</v>
      </c>
      <c r="F49" s="14">
        <f>SUMIFS(Data!P:P,Data!$F:$F,$B49)</f>
        <v>4.4512499999999982</v>
      </c>
      <c r="G49" s="14">
        <f>SUMIFS(Data!Q:Q,Data!$F:$F,$B49)</f>
        <v>0</v>
      </c>
      <c r="H49" s="12">
        <f>SUM(D49:G49)</f>
        <v>4.4512499999999982</v>
      </c>
      <c r="I49" s="7"/>
    </row>
    <row r="50" spans="2:9" ht="17" x14ac:dyDescent="0.35">
      <c r="B50" s="13" t="s">
        <v>61</v>
      </c>
      <c r="C50" s="20" t="s">
        <v>62</v>
      </c>
      <c r="D50" s="14">
        <f>SUMIFS(Data!N:N,Data!$F:$F,$B50)</f>
        <v>2.0142600000000002</v>
      </c>
      <c r="E50" s="14">
        <f>SUMIFS(Data!O:O,Data!$F:$F,$B50)</f>
        <v>0</v>
      </c>
      <c r="F50" s="14">
        <f>SUMIFS(Data!P:P,Data!$F:$F,$B50)</f>
        <v>2.0250000000000004</v>
      </c>
      <c r="G50" s="14">
        <f>SUMIFS(Data!Q:Q,Data!$F:$F,$B50)</f>
        <v>0</v>
      </c>
      <c r="H50" s="12">
        <f>SUM(D50:G50)</f>
        <v>4.0392600000000005</v>
      </c>
      <c r="I50" s="7"/>
    </row>
    <row r="51" spans="2:9" ht="17" x14ac:dyDescent="0.35">
      <c r="B51" s="13" t="s">
        <v>255</v>
      </c>
      <c r="C51" s="20" t="s">
        <v>256</v>
      </c>
      <c r="D51" s="14">
        <f>SUMIFS(Data!N:N,Data!$F:$F,$B51)</f>
        <v>0</v>
      </c>
      <c r="E51" s="14">
        <f>SUMIFS(Data!O:O,Data!$F:$F,$B51)</f>
        <v>0</v>
      </c>
      <c r="F51" s="14">
        <f>SUMIFS(Data!P:P,Data!$F:$F,$B51)</f>
        <v>3.8287499999999999</v>
      </c>
      <c r="G51" s="14">
        <f>SUMIFS(Data!Q:Q,Data!$F:$F,$B51)</f>
        <v>0</v>
      </c>
      <c r="H51" s="12">
        <f>SUM(D51:G51)</f>
        <v>3.8287499999999999</v>
      </c>
      <c r="I51" s="7"/>
    </row>
    <row r="52" spans="2:9" ht="17" x14ac:dyDescent="0.35">
      <c r="B52" s="13" t="s">
        <v>179</v>
      </c>
      <c r="C52" s="20" t="s">
        <v>180</v>
      </c>
      <c r="D52" s="14">
        <f>SUMIFS(Data!N:N,Data!$F:$F,$B52)</f>
        <v>3.7450799999999997</v>
      </c>
      <c r="E52" s="14">
        <f>SUMIFS(Data!O:O,Data!$F:$F,$B52)</f>
        <v>0</v>
      </c>
      <c r="F52" s="14">
        <f>SUMIFS(Data!P:P,Data!$F:$F,$B52)</f>
        <v>0</v>
      </c>
      <c r="G52" s="14">
        <f>SUMIFS(Data!Q:Q,Data!$F:$F,$B52)</f>
        <v>0</v>
      </c>
      <c r="H52" s="12">
        <f>SUM(D52:G52)</f>
        <v>3.7450799999999997</v>
      </c>
      <c r="I52" s="7"/>
    </row>
    <row r="53" spans="2:9" ht="17" x14ac:dyDescent="0.35">
      <c r="B53" s="13" t="s">
        <v>278</v>
      </c>
      <c r="C53" s="20" t="s">
        <v>279</v>
      </c>
      <c r="D53" s="14">
        <f>SUMIFS(Data!N:N,Data!$F:$F,$B53)</f>
        <v>0</v>
      </c>
      <c r="E53" s="14">
        <f>SUMIFS(Data!O:O,Data!$F:$F,$B53)</f>
        <v>0</v>
      </c>
      <c r="F53" s="14">
        <f>SUMIFS(Data!P:P,Data!$F:$F,$B53)</f>
        <v>3.0599999999999996</v>
      </c>
      <c r="G53" s="14">
        <f>SUMIFS(Data!Q:Q,Data!$F:$F,$B53)</f>
        <v>0.65400000000000003</v>
      </c>
      <c r="H53" s="12">
        <f>SUM(D53:G53)</f>
        <v>3.7139999999999995</v>
      </c>
      <c r="I53" s="7"/>
    </row>
    <row r="54" spans="2:9" ht="17" x14ac:dyDescent="0.35">
      <c r="B54" s="13" t="s">
        <v>175</v>
      </c>
      <c r="C54" s="20" t="s">
        <v>176</v>
      </c>
      <c r="D54" s="14">
        <f>SUMIFS(Data!N:N,Data!$F:$F,$B54)</f>
        <v>0.1416</v>
      </c>
      <c r="E54" s="14">
        <f>SUMIFS(Data!O:O,Data!$F:$F,$B54)</f>
        <v>0</v>
      </c>
      <c r="F54" s="14">
        <f>SUMIFS(Data!P:P,Data!$F:$F,$B54)</f>
        <v>3.54</v>
      </c>
      <c r="G54" s="14">
        <f>SUMIFS(Data!Q:Q,Data!$F:$F,$B54)</f>
        <v>0</v>
      </c>
      <c r="H54" s="12">
        <f>SUM(D54:G54)</f>
        <v>3.6816</v>
      </c>
      <c r="I54" s="7"/>
    </row>
    <row r="55" spans="2:9" ht="17" x14ac:dyDescent="0.35">
      <c r="B55" s="13" t="s">
        <v>57</v>
      </c>
      <c r="C55" s="20" t="s">
        <v>58</v>
      </c>
      <c r="D55" s="14">
        <f>SUMIFS(Data!N:N,Data!$F:$F,$B55)</f>
        <v>0</v>
      </c>
      <c r="E55" s="14">
        <f>SUMIFS(Data!O:O,Data!$F:$F,$B55)</f>
        <v>0</v>
      </c>
      <c r="F55" s="14">
        <f>SUMIFS(Data!P:P,Data!$F:$F,$B55)</f>
        <v>3.4312500000000004</v>
      </c>
      <c r="G55" s="14">
        <f>SUMIFS(Data!Q:Q,Data!$F:$F,$B55)</f>
        <v>0.06</v>
      </c>
      <c r="H55" s="12">
        <f>SUM(D55:G55)</f>
        <v>3.4912500000000004</v>
      </c>
      <c r="I55" s="7"/>
    </row>
    <row r="56" spans="2:9" ht="17" x14ac:dyDescent="0.35">
      <c r="B56" s="13" t="s">
        <v>349</v>
      </c>
      <c r="C56" s="20" t="s">
        <v>350</v>
      </c>
      <c r="D56" s="14">
        <f>SUMIFS(Data!N:N,Data!$F:$F,$B56)</f>
        <v>0</v>
      </c>
      <c r="E56" s="14">
        <f>SUMIFS(Data!O:O,Data!$F:$F,$B56)</f>
        <v>0</v>
      </c>
      <c r="F56" s="14">
        <f>SUMIFS(Data!P:P,Data!$F:$F,$B56)</f>
        <v>3.4762499999999998</v>
      </c>
      <c r="G56" s="14">
        <f>SUMIFS(Data!Q:Q,Data!$F:$F,$B56)</f>
        <v>0</v>
      </c>
      <c r="H56" s="12">
        <f>SUM(D56:G56)</f>
        <v>3.4762499999999998</v>
      </c>
      <c r="I56" s="7"/>
    </row>
    <row r="57" spans="2:9" ht="17" x14ac:dyDescent="0.35">
      <c r="B57" s="13" t="s">
        <v>40</v>
      </c>
      <c r="C57" s="20" t="s">
        <v>41</v>
      </c>
      <c r="D57" s="14">
        <f>SUMIFS(Data!N:N,Data!$F:$F,$B57)</f>
        <v>0.56196000000000002</v>
      </c>
      <c r="E57" s="14">
        <f>SUMIFS(Data!O:O,Data!$F:$F,$B57)</f>
        <v>0</v>
      </c>
      <c r="F57" s="14">
        <f>SUMIFS(Data!P:P,Data!$F:$F,$B57)</f>
        <v>2.6662499999999998</v>
      </c>
      <c r="G57" s="14">
        <f>SUMIFS(Data!Q:Q,Data!$F:$F,$B57)</f>
        <v>0.06</v>
      </c>
      <c r="H57" s="12">
        <f>SUM(D57:G57)</f>
        <v>3.2882099999999999</v>
      </c>
      <c r="I57" s="7"/>
    </row>
    <row r="58" spans="2:9" ht="17" x14ac:dyDescent="0.35">
      <c r="B58" s="13" t="s">
        <v>248</v>
      </c>
      <c r="C58" s="20" t="s">
        <v>249</v>
      </c>
      <c r="D58" s="14">
        <f>SUMIFS(Data!N:N,Data!$F:$F,$B58)</f>
        <v>0</v>
      </c>
      <c r="E58" s="14">
        <f>SUMIFS(Data!O:O,Data!$F:$F,$B58)</f>
        <v>0</v>
      </c>
      <c r="F58" s="14">
        <f>SUMIFS(Data!P:P,Data!$F:$F,$B58)</f>
        <v>3.2362500000000005</v>
      </c>
      <c r="G58" s="14">
        <f>SUMIFS(Data!Q:Q,Data!$F:$F,$B58)</f>
        <v>0.03</v>
      </c>
      <c r="H58" s="12">
        <f>SUM(D58:G58)</f>
        <v>3.2662500000000003</v>
      </c>
      <c r="I58" s="7"/>
    </row>
    <row r="59" spans="2:9" ht="17" x14ac:dyDescent="0.35">
      <c r="B59" s="13" t="s">
        <v>123</v>
      </c>
      <c r="C59" s="20" t="s">
        <v>124</v>
      </c>
      <c r="D59" s="14">
        <f>SUMIFS(Data!N:N,Data!$F:$F,$B59)</f>
        <v>0</v>
      </c>
      <c r="E59" s="14">
        <f>SUMIFS(Data!O:O,Data!$F:$F,$B59)</f>
        <v>0</v>
      </c>
      <c r="F59" s="14">
        <f>SUMIFS(Data!P:P,Data!$F:$F,$B59)</f>
        <v>3.1274999999999999</v>
      </c>
      <c r="G59" s="14">
        <f>SUMIFS(Data!Q:Q,Data!$F:$F,$B59)</f>
        <v>0</v>
      </c>
      <c r="H59" s="12">
        <f>SUM(D59:G59)</f>
        <v>3.1274999999999999</v>
      </c>
      <c r="I59" s="7"/>
    </row>
    <row r="60" spans="2:9" ht="17" x14ac:dyDescent="0.35">
      <c r="B60" s="13" t="s">
        <v>163</v>
      </c>
      <c r="C60" s="20" t="s">
        <v>164</v>
      </c>
      <c r="D60" s="14">
        <f>SUMIFS(Data!N:N,Data!$F:$F,$B60)</f>
        <v>0</v>
      </c>
      <c r="E60" s="14">
        <f>SUMIFS(Data!O:O,Data!$F:$F,$B60)</f>
        <v>0</v>
      </c>
      <c r="F60" s="14">
        <f>SUMIFS(Data!P:P,Data!$F:$F,$B60)</f>
        <v>3.1087500000000001</v>
      </c>
      <c r="G60" s="14">
        <f>SUMIFS(Data!Q:Q,Data!$F:$F,$B60)</f>
        <v>0</v>
      </c>
      <c r="H60" s="12">
        <f>SUM(D60:G60)</f>
        <v>3.1087500000000001</v>
      </c>
      <c r="I60" s="7"/>
    </row>
    <row r="61" spans="2:9" ht="17" x14ac:dyDescent="0.35">
      <c r="B61" s="13" t="s">
        <v>439</v>
      </c>
      <c r="C61" s="20" t="s">
        <v>440</v>
      </c>
      <c r="D61" s="14">
        <f>SUMIFS(Data!N:N,Data!$F:$F,$B61)</f>
        <v>0</v>
      </c>
      <c r="E61" s="14">
        <f>SUMIFS(Data!O:O,Data!$F:$F,$B61)</f>
        <v>0</v>
      </c>
      <c r="F61" s="14">
        <f>SUMIFS(Data!P:P,Data!$F:$F,$B61)</f>
        <v>2.8574999999999999</v>
      </c>
      <c r="G61" s="14">
        <f>SUMIFS(Data!Q:Q,Data!$F:$F,$B61)</f>
        <v>0.2072</v>
      </c>
      <c r="H61" s="12">
        <f>SUM(D61:G61)</f>
        <v>3.0646999999999998</v>
      </c>
      <c r="I61" s="7"/>
    </row>
    <row r="62" spans="2:9" ht="17" x14ac:dyDescent="0.35">
      <c r="B62" s="13" t="s">
        <v>133</v>
      </c>
      <c r="C62" s="20" t="s">
        <v>134</v>
      </c>
      <c r="D62" s="14">
        <f>SUMIFS(Data!N:N,Data!$F:$F,$B62)</f>
        <v>0</v>
      </c>
      <c r="E62" s="14">
        <f>SUMIFS(Data!O:O,Data!$F:$F,$B62)</f>
        <v>0</v>
      </c>
      <c r="F62" s="14">
        <f>SUMIFS(Data!P:P,Data!$F:$F,$B62)</f>
        <v>2.3774999999999999</v>
      </c>
      <c r="G62" s="14">
        <f>SUMIFS(Data!Q:Q,Data!$F:$F,$B62)</f>
        <v>0.41400000000000003</v>
      </c>
      <c r="H62" s="12">
        <f>SUM(D62:G62)</f>
        <v>2.7915000000000001</v>
      </c>
      <c r="I62" s="7"/>
    </row>
    <row r="63" spans="2:9" ht="17" x14ac:dyDescent="0.35">
      <c r="B63" s="13" t="s">
        <v>287</v>
      </c>
      <c r="C63" s="20" t="s">
        <v>288</v>
      </c>
      <c r="D63" s="14">
        <f>SUMIFS(Data!N:N,Data!$F:$F,$B63)</f>
        <v>0</v>
      </c>
      <c r="E63" s="14">
        <f>SUMIFS(Data!O:O,Data!$F:$F,$B63)</f>
        <v>0</v>
      </c>
      <c r="F63" s="14">
        <f>SUMIFS(Data!P:P,Data!$F:$F,$B63)</f>
        <v>2.5912499999999996</v>
      </c>
      <c r="G63" s="14">
        <f>SUMIFS(Data!Q:Q,Data!$F:$F,$B63)</f>
        <v>0</v>
      </c>
      <c r="H63" s="12">
        <f>SUM(D63:G63)</f>
        <v>2.5912499999999996</v>
      </c>
      <c r="I63" s="7"/>
    </row>
    <row r="64" spans="2:9" ht="17" x14ac:dyDescent="0.35">
      <c r="B64" s="13" t="s">
        <v>372</v>
      </c>
      <c r="C64" s="20" t="s">
        <v>373</v>
      </c>
      <c r="D64" s="14">
        <f>SUMIFS(Data!N:N,Data!$F:$F,$B64)</f>
        <v>0</v>
      </c>
      <c r="E64" s="14">
        <f>SUMIFS(Data!O:O,Data!$F:$F,$B64)</f>
        <v>0</v>
      </c>
      <c r="F64" s="14">
        <f>SUMIFS(Data!P:P,Data!$F:$F,$B64)</f>
        <v>2.415</v>
      </c>
      <c r="G64" s="14">
        <f>SUMIFS(Data!Q:Q,Data!$F:$F,$B64)</f>
        <v>0</v>
      </c>
      <c r="H64" s="12">
        <f>SUM(D64:G64)</f>
        <v>2.415</v>
      </c>
      <c r="I64" s="7"/>
    </row>
    <row r="65" spans="2:9" ht="17" x14ac:dyDescent="0.35">
      <c r="B65" s="13" t="s">
        <v>395</v>
      </c>
      <c r="C65" s="20" t="s">
        <v>396</v>
      </c>
      <c r="D65" s="14">
        <f>SUMIFS(Data!N:N,Data!$F:$F,$B65)</f>
        <v>0</v>
      </c>
      <c r="E65" s="14">
        <f>SUMIFS(Data!O:O,Data!$F:$F,$B65)</f>
        <v>0</v>
      </c>
      <c r="F65" s="14">
        <f>SUMIFS(Data!P:P,Data!$F:$F,$B65)</f>
        <v>2.3512499999999998</v>
      </c>
      <c r="G65" s="14">
        <f>SUMIFS(Data!Q:Q,Data!$F:$F,$B65)</f>
        <v>0</v>
      </c>
      <c r="H65" s="12">
        <f>SUM(D65:G65)</f>
        <v>2.3512499999999998</v>
      </c>
      <c r="I65" s="7"/>
    </row>
    <row r="66" spans="2:9" ht="17" x14ac:dyDescent="0.35">
      <c r="B66" s="13" t="s">
        <v>261</v>
      </c>
      <c r="C66" s="20" t="s">
        <v>262</v>
      </c>
      <c r="D66" s="14">
        <f>SUMIFS(Data!N:N,Data!$F:$F,$B66)</f>
        <v>0</v>
      </c>
      <c r="E66" s="14">
        <f>SUMIFS(Data!O:O,Data!$F:$F,$B66)</f>
        <v>0</v>
      </c>
      <c r="F66" s="14">
        <f>SUMIFS(Data!P:P,Data!$F:$F,$B66)</f>
        <v>2.2725</v>
      </c>
      <c r="G66" s="14">
        <f>SUMIFS(Data!Q:Q,Data!$F:$F,$B66)</f>
        <v>0</v>
      </c>
      <c r="H66" s="12">
        <f>SUM(D66:G66)</f>
        <v>2.2725</v>
      </c>
      <c r="I66" s="7"/>
    </row>
    <row r="67" spans="2:9" ht="17" x14ac:dyDescent="0.35">
      <c r="B67" s="13" t="s">
        <v>426</v>
      </c>
      <c r="C67" s="20" t="s">
        <v>427</v>
      </c>
      <c r="D67" s="14">
        <f>SUMIFS(Data!N:N,Data!$F:$F,$B67)</f>
        <v>0</v>
      </c>
      <c r="E67" s="14">
        <f>SUMIFS(Data!O:O,Data!$F:$F,$B67)</f>
        <v>0</v>
      </c>
      <c r="F67" s="14">
        <f>SUMIFS(Data!P:P,Data!$F:$F,$B67)</f>
        <v>2.25</v>
      </c>
      <c r="G67" s="14">
        <f>SUMIFS(Data!Q:Q,Data!$F:$F,$B67)</f>
        <v>0</v>
      </c>
      <c r="H67" s="12">
        <f>SUM(D67:G67)</f>
        <v>2.25</v>
      </c>
      <c r="I67" s="7"/>
    </row>
    <row r="68" spans="2:9" ht="17" x14ac:dyDescent="0.35">
      <c r="B68" s="13" t="s">
        <v>422</v>
      </c>
      <c r="C68" s="20" t="s">
        <v>423</v>
      </c>
      <c r="D68" s="14">
        <f>SUMIFS(Data!N:N,Data!$F:$F,$B68)</f>
        <v>0</v>
      </c>
      <c r="E68" s="14">
        <f>SUMIFS(Data!O:O,Data!$F:$F,$B68)</f>
        <v>0</v>
      </c>
      <c r="F68" s="14">
        <f>SUMIFS(Data!P:P,Data!$F:$F,$B68)</f>
        <v>2.2199999999999998</v>
      </c>
      <c r="G68" s="14">
        <f>SUMIFS(Data!Q:Q,Data!$F:$F,$B68)</f>
        <v>0</v>
      </c>
      <c r="H68" s="12">
        <f>SUM(D68:G68)</f>
        <v>2.2199999999999998</v>
      </c>
      <c r="I68" s="7"/>
    </row>
    <row r="69" spans="2:9" ht="17" x14ac:dyDescent="0.35">
      <c r="B69" s="13" t="s">
        <v>188</v>
      </c>
      <c r="C69" s="20" t="s">
        <v>189</v>
      </c>
      <c r="D69" s="14">
        <f>SUMIFS(Data!N:N,Data!$F:$F,$B69)</f>
        <v>0</v>
      </c>
      <c r="E69" s="14">
        <f>SUMIFS(Data!O:O,Data!$F:$F,$B69)</f>
        <v>0</v>
      </c>
      <c r="F69" s="14">
        <f>SUMIFS(Data!P:P,Data!$F:$F,$B69)</f>
        <v>2.2162500000000001</v>
      </c>
      <c r="G69" s="14">
        <f>SUMIFS(Data!Q:Q,Data!$F:$F,$B69)</f>
        <v>0</v>
      </c>
      <c r="H69" s="12">
        <f>SUM(D69:G69)</f>
        <v>2.2162500000000001</v>
      </c>
      <c r="I69" s="7"/>
    </row>
    <row r="70" spans="2:9" ht="17" x14ac:dyDescent="0.35">
      <c r="B70" s="13" t="s">
        <v>272</v>
      </c>
      <c r="C70" s="20" t="s">
        <v>273</v>
      </c>
      <c r="D70" s="14">
        <f>SUMIFS(Data!N:N,Data!$F:$F,$B70)</f>
        <v>0</v>
      </c>
      <c r="E70" s="14">
        <f>SUMIFS(Data!O:O,Data!$F:$F,$B70)</f>
        <v>0</v>
      </c>
      <c r="F70" s="14">
        <f>SUMIFS(Data!P:P,Data!$F:$F,$B70)</f>
        <v>2.2125000000000004</v>
      </c>
      <c r="G70" s="14">
        <f>SUMIFS(Data!Q:Q,Data!$F:$F,$B70)</f>
        <v>0</v>
      </c>
      <c r="H70" s="12">
        <f>SUM(D70:G70)</f>
        <v>2.2125000000000004</v>
      </c>
      <c r="I70" s="7"/>
    </row>
    <row r="71" spans="2:9" ht="17" x14ac:dyDescent="0.35">
      <c r="B71" s="13" t="s">
        <v>429</v>
      </c>
      <c r="C71" s="20" t="s">
        <v>430</v>
      </c>
      <c r="D71" s="14">
        <f>SUMIFS(Data!N:N,Data!$F:$F,$B71)</f>
        <v>0</v>
      </c>
      <c r="E71" s="14">
        <f>SUMIFS(Data!O:O,Data!$F:$F,$B71)</f>
        <v>0</v>
      </c>
      <c r="F71" s="14">
        <f>SUMIFS(Data!P:P,Data!$F:$F,$B71)</f>
        <v>2.2050000000000001</v>
      </c>
      <c r="G71" s="14">
        <f>SUMIFS(Data!Q:Q,Data!$F:$F,$B71)</f>
        <v>0</v>
      </c>
      <c r="H71" s="12">
        <f>SUM(D71:G71)</f>
        <v>2.2050000000000001</v>
      </c>
      <c r="I71" s="7"/>
    </row>
    <row r="72" spans="2:9" ht="17" x14ac:dyDescent="0.35">
      <c r="B72" s="13" t="s">
        <v>378</v>
      </c>
      <c r="C72" s="20" t="s">
        <v>379</v>
      </c>
      <c r="D72" s="14">
        <f>SUMIFS(Data!N:N,Data!$F:$F,$B72)</f>
        <v>0</v>
      </c>
      <c r="E72" s="14">
        <f>SUMIFS(Data!O:O,Data!$F:$F,$B72)</f>
        <v>0</v>
      </c>
      <c r="F72" s="14">
        <f>SUMIFS(Data!P:P,Data!$F:$F,$B72)</f>
        <v>2.1749999999999998</v>
      </c>
      <c r="G72" s="14">
        <f>SUMIFS(Data!Q:Q,Data!$F:$F,$B72)</f>
        <v>0</v>
      </c>
      <c r="H72" s="12">
        <f>SUM(D72:G72)</f>
        <v>2.1749999999999998</v>
      </c>
      <c r="I72" s="7"/>
    </row>
    <row r="73" spans="2:9" ht="17" x14ac:dyDescent="0.35">
      <c r="B73" s="13" t="s">
        <v>388</v>
      </c>
      <c r="C73" s="20" t="s">
        <v>389</v>
      </c>
      <c r="D73" s="14">
        <f>SUMIFS(Data!N:N,Data!$F:$F,$B73)</f>
        <v>0</v>
      </c>
      <c r="E73" s="14">
        <f>SUMIFS(Data!O:O,Data!$F:$F,$B73)</f>
        <v>0</v>
      </c>
      <c r="F73" s="14">
        <f>SUMIFS(Data!P:P,Data!$F:$F,$B73)</f>
        <v>2.1074999999999999</v>
      </c>
      <c r="G73" s="14">
        <f>SUMIFS(Data!Q:Q,Data!$F:$F,$B73)</f>
        <v>0</v>
      </c>
      <c r="H73" s="12">
        <f>SUM(D73:G73)</f>
        <v>2.1074999999999999</v>
      </c>
      <c r="I73" s="7"/>
    </row>
    <row r="74" spans="2:9" ht="17" x14ac:dyDescent="0.35">
      <c r="B74" s="13" t="s">
        <v>355</v>
      </c>
      <c r="C74" s="20" t="s">
        <v>356</v>
      </c>
      <c r="D74" s="14">
        <f>SUMIFS(Data!N:N,Data!$F:$F,$B74)</f>
        <v>0</v>
      </c>
      <c r="E74" s="14">
        <f>SUMIFS(Data!O:O,Data!$F:$F,$B74)</f>
        <v>0</v>
      </c>
      <c r="F74" s="14">
        <f>SUMIFS(Data!P:P,Data!$F:$F,$B74)</f>
        <v>1.8</v>
      </c>
      <c r="G74" s="14">
        <f>SUMIFS(Data!Q:Q,Data!$F:$F,$B74)</f>
        <v>0.27</v>
      </c>
      <c r="H74" s="12">
        <f>SUM(D74:G74)</f>
        <v>2.0700000000000003</v>
      </c>
      <c r="I74" s="7"/>
    </row>
    <row r="75" spans="2:9" ht="17" x14ac:dyDescent="0.35">
      <c r="B75" s="13" t="s">
        <v>352</v>
      </c>
      <c r="C75" s="20" t="s">
        <v>353</v>
      </c>
      <c r="D75" s="14">
        <f>SUMIFS(Data!N:N,Data!$F:$F,$B75)</f>
        <v>0</v>
      </c>
      <c r="E75" s="14">
        <f>SUMIFS(Data!O:O,Data!$F:$F,$B75)</f>
        <v>0</v>
      </c>
      <c r="F75" s="14">
        <f>SUMIFS(Data!P:P,Data!$F:$F,$B75)</f>
        <v>1.75875</v>
      </c>
      <c r="G75" s="14">
        <f>SUMIFS(Data!Q:Q,Data!$F:$F,$B75)</f>
        <v>0.29555999999999999</v>
      </c>
      <c r="H75" s="12">
        <f>SUM(D75:G75)</f>
        <v>2.0543100000000001</v>
      </c>
      <c r="I75" s="7"/>
    </row>
    <row r="76" spans="2:9" ht="17" x14ac:dyDescent="0.35">
      <c r="B76" s="13" t="s">
        <v>27</v>
      </c>
      <c r="C76" s="20" t="s">
        <v>28</v>
      </c>
      <c r="D76" s="14">
        <f>SUMIFS(Data!N:N,Data!$F:$F,$B76)</f>
        <v>0</v>
      </c>
      <c r="E76" s="14">
        <f>SUMIFS(Data!O:O,Data!$F:$F,$B76)</f>
        <v>0</v>
      </c>
      <c r="F76" s="14">
        <f>SUMIFS(Data!P:P,Data!$F:$F,$B76)</f>
        <v>2.0249999999999999</v>
      </c>
      <c r="G76" s="14">
        <f>SUMIFS(Data!Q:Q,Data!$F:$F,$B76)</f>
        <v>0</v>
      </c>
      <c r="H76" s="12">
        <f>SUM(D76:G76)</f>
        <v>2.0249999999999999</v>
      </c>
      <c r="I76" s="7"/>
    </row>
    <row r="77" spans="2:9" ht="17" x14ac:dyDescent="0.35">
      <c r="B77" s="13" t="s">
        <v>446</v>
      </c>
      <c r="C77" s="20" t="s">
        <v>447</v>
      </c>
      <c r="D77" s="14">
        <f>SUMIFS(Data!N:N,Data!$F:$F,$B77)</f>
        <v>0</v>
      </c>
      <c r="E77" s="14">
        <f>SUMIFS(Data!O:O,Data!$F:$F,$B77)</f>
        <v>0</v>
      </c>
      <c r="F77" s="14">
        <f>SUMIFS(Data!P:P,Data!$F:$F,$B77)</f>
        <v>1.9987499999999998</v>
      </c>
      <c r="G77" s="14">
        <f>SUMIFS(Data!Q:Q,Data!$F:$F,$B77)</f>
        <v>0</v>
      </c>
      <c r="H77" s="12">
        <f>SUM(D77:G77)</f>
        <v>1.9987499999999998</v>
      </c>
      <c r="I77" s="7"/>
    </row>
    <row r="78" spans="2:9" ht="17" x14ac:dyDescent="0.35">
      <c r="B78" s="13" t="s">
        <v>197</v>
      </c>
      <c r="C78" s="20" t="s">
        <v>198</v>
      </c>
      <c r="D78" s="14">
        <f>SUMIFS(Data!N:N,Data!$F:$F,$B78)</f>
        <v>0</v>
      </c>
      <c r="E78" s="14">
        <f>SUMIFS(Data!O:O,Data!$F:$F,$B78)</f>
        <v>0</v>
      </c>
      <c r="F78" s="14">
        <f>SUMIFS(Data!P:P,Data!$F:$F,$B78)</f>
        <v>1.68</v>
      </c>
      <c r="G78" s="14">
        <f>SUMIFS(Data!Q:Q,Data!$F:$F,$B78)</f>
        <v>0.3</v>
      </c>
      <c r="H78" s="12">
        <f>SUM(D78:G78)</f>
        <v>1.98</v>
      </c>
      <c r="I78" s="7"/>
    </row>
    <row r="79" spans="2:9" ht="17" x14ac:dyDescent="0.35">
      <c r="B79" s="13" t="s">
        <v>362</v>
      </c>
      <c r="C79" s="20" t="s">
        <v>363</v>
      </c>
      <c r="D79" s="14">
        <f>SUMIFS(Data!N:N,Data!$F:$F,$B79)</f>
        <v>0</v>
      </c>
      <c r="E79" s="14">
        <f>SUMIFS(Data!O:O,Data!$F:$F,$B79)</f>
        <v>0</v>
      </c>
      <c r="F79" s="14">
        <f>SUMIFS(Data!P:P,Data!$F:$F,$B79)</f>
        <v>1.7212499999999999</v>
      </c>
      <c r="G79" s="14">
        <f>SUMIFS(Data!Q:Q,Data!$F:$F,$B79)</f>
        <v>0.192</v>
      </c>
      <c r="H79" s="12">
        <f>SUM(D79:G79)</f>
        <v>1.9132499999999999</v>
      </c>
      <c r="I79" s="7"/>
    </row>
    <row r="80" spans="2:9" ht="17" x14ac:dyDescent="0.35">
      <c r="B80" s="13" t="s">
        <v>194</v>
      </c>
      <c r="C80" s="20" t="s">
        <v>195</v>
      </c>
      <c r="D80" s="14">
        <f>SUMIFS(Data!N:N,Data!$F:$F,$B80)</f>
        <v>0</v>
      </c>
      <c r="E80" s="14">
        <f>SUMIFS(Data!O:O,Data!$F:$F,$B80)</f>
        <v>0</v>
      </c>
      <c r="F80" s="14">
        <f>SUMIFS(Data!P:P,Data!$F:$F,$B80)</f>
        <v>1.8825000000000003</v>
      </c>
      <c r="G80" s="14">
        <f>SUMIFS(Data!Q:Q,Data!$F:$F,$B80)</f>
        <v>0</v>
      </c>
      <c r="H80" s="12">
        <f>SUM(D80:G80)</f>
        <v>1.8825000000000003</v>
      </c>
      <c r="I80" s="7"/>
    </row>
    <row r="81" spans="2:9" ht="17" x14ac:dyDescent="0.35">
      <c r="B81" s="13" t="s">
        <v>408</v>
      </c>
      <c r="C81" s="20" t="s">
        <v>409</v>
      </c>
      <c r="D81" s="14">
        <f>SUMIFS(Data!N:N,Data!$F:$F,$B81)</f>
        <v>0</v>
      </c>
      <c r="E81" s="14">
        <f>SUMIFS(Data!O:O,Data!$F:$F,$B81)</f>
        <v>0</v>
      </c>
      <c r="F81" s="14">
        <f>SUMIFS(Data!P:P,Data!$F:$F,$B81)</f>
        <v>1.69875</v>
      </c>
      <c r="G81" s="14">
        <f>SUMIFS(Data!Q:Q,Data!$F:$F,$B81)</f>
        <v>0.18</v>
      </c>
      <c r="H81" s="12">
        <f>SUM(D81:G81)</f>
        <v>1.8787499999999999</v>
      </c>
      <c r="I81" s="7"/>
    </row>
    <row r="82" spans="2:9" ht="17" x14ac:dyDescent="0.35">
      <c r="B82" s="13" t="s">
        <v>275</v>
      </c>
      <c r="C82" s="20" t="s">
        <v>276</v>
      </c>
      <c r="D82" s="14">
        <f>SUMIFS(Data!N:N,Data!$F:$F,$B82)</f>
        <v>0</v>
      </c>
      <c r="E82" s="14">
        <f>SUMIFS(Data!O:O,Data!$F:$F,$B82)</f>
        <v>0</v>
      </c>
      <c r="F82" s="14">
        <f>SUMIFS(Data!P:P,Data!$F:$F,$B82)</f>
        <v>1.64625</v>
      </c>
      <c r="G82" s="14">
        <f>SUMIFS(Data!Q:Q,Data!$F:$F,$B82)</f>
        <v>0.192</v>
      </c>
      <c r="H82" s="12">
        <f>SUM(D82:G82)</f>
        <v>1.8382499999999999</v>
      </c>
      <c r="I82" s="7"/>
    </row>
    <row r="83" spans="2:9" ht="17" x14ac:dyDescent="0.35">
      <c r="B83" s="13" t="s">
        <v>432</v>
      </c>
      <c r="C83" s="20" t="s">
        <v>433</v>
      </c>
      <c r="D83" s="14">
        <f>SUMIFS(Data!N:N,Data!$F:$F,$B83)</f>
        <v>0</v>
      </c>
      <c r="E83" s="14">
        <f>SUMIFS(Data!O:O,Data!$F:$F,$B83)</f>
        <v>0</v>
      </c>
      <c r="F83" s="14">
        <f>SUMIFS(Data!P:P,Data!$F:$F,$B83)</f>
        <v>1.81125</v>
      </c>
      <c r="G83" s="14">
        <f>SUMIFS(Data!Q:Q,Data!$F:$F,$B83)</f>
        <v>0</v>
      </c>
      <c r="H83" s="12">
        <f>SUM(D83:G83)</f>
        <v>1.81125</v>
      </c>
      <c r="I83" s="7"/>
    </row>
    <row r="84" spans="2:9" ht="17" x14ac:dyDescent="0.35">
      <c r="B84" s="13" t="s">
        <v>298</v>
      </c>
      <c r="C84" s="20" t="s">
        <v>299</v>
      </c>
      <c r="D84" s="14">
        <f>SUMIFS(Data!N:N,Data!$F:$F,$B84)</f>
        <v>0</v>
      </c>
      <c r="E84" s="14">
        <f>SUMIFS(Data!O:O,Data!$F:$F,$B84)</f>
        <v>0</v>
      </c>
      <c r="F84" s="14">
        <f>SUMIFS(Data!P:P,Data!$F:$F,$B84)</f>
        <v>1.38375</v>
      </c>
      <c r="G84" s="14">
        <f>SUMIFS(Data!Q:Q,Data!$F:$F,$B84)</f>
        <v>0.312</v>
      </c>
      <c r="H84" s="12">
        <f>SUM(D84:G84)</f>
        <v>1.6957500000000001</v>
      </c>
      <c r="I84" s="7"/>
    </row>
    <row r="85" spans="2:9" ht="17" x14ac:dyDescent="0.35">
      <c r="B85" s="13" t="s">
        <v>99</v>
      </c>
      <c r="C85" s="20" t="s">
        <v>100</v>
      </c>
      <c r="D85" s="14">
        <f>SUMIFS(Data!N:N,Data!$F:$F,$B85)</f>
        <v>0</v>
      </c>
      <c r="E85" s="14">
        <f>SUMIFS(Data!O:O,Data!$F:$F,$B85)</f>
        <v>0</v>
      </c>
      <c r="F85" s="14">
        <f>SUMIFS(Data!P:P,Data!$F:$F,$B85)</f>
        <v>1.4812500000000006</v>
      </c>
      <c r="G85" s="14">
        <f>SUMIFS(Data!Q:Q,Data!$F:$F,$B85)</f>
        <v>0</v>
      </c>
      <c r="H85" s="12">
        <f>SUM(D85:G85)</f>
        <v>1.4812500000000006</v>
      </c>
      <c r="I85" s="7"/>
    </row>
    <row r="86" spans="2:9" ht="17" x14ac:dyDescent="0.35">
      <c r="B86" s="13" t="s">
        <v>15</v>
      </c>
      <c r="C86" s="20" t="s">
        <v>16</v>
      </c>
      <c r="D86" s="14">
        <f>SUMIFS(Data!N:N,Data!$F:$F,$B86)</f>
        <v>0</v>
      </c>
      <c r="E86" s="14">
        <f>SUMIFS(Data!O:O,Data!$F:$F,$B86)</f>
        <v>0</v>
      </c>
      <c r="F86" s="14">
        <f>SUMIFS(Data!P:P,Data!$F:$F,$B86)</f>
        <v>1.1099999999999999</v>
      </c>
      <c r="G86" s="14">
        <f>SUMIFS(Data!Q:Q,Data!$F:$F,$B86)</f>
        <v>0.36119999999999997</v>
      </c>
      <c r="H86" s="12">
        <f>SUM(D86:G86)</f>
        <v>1.4711999999999998</v>
      </c>
      <c r="I86" s="7"/>
    </row>
    <row r="87" spans="2:9" ht="17" x14ac:dyDescent="0.35">
      <c r="B87" s="13" t="s">
        <v>66</v>
      </c>
      <c r="C87" s="20" t="s">
        <v>67</v>
      </c>
      <c r="D87" s="14">
        <f>SUMIFS(Data!N:N,Data!$F:$F,$B87)</f>
        <v>0.25134000000000001</v>
      </c>
      <c r="E87" s="14">
        <f>SUMIFS(Data!O:O,Data!$F:$F,$B87)</f>
        <v>0</v>
      </c>
      <c r="F87" s="14">
        <f>SUMIFS(Data!P:P,Data!$F:$F,$B87)</f>
        <v>0.53249999999999997</v>
      </c>
      <c r="G87" s="14">
        <f>SUMIFS(Data!Q:Q,Data!$F:$F,$B87)</f>
        <v>0.57240000000000002</v>
      </c>
      <c r="H87" s="12">
        <f>SUM(D87:G87)</f>
        <v>1.3562400000000001</v>
      </c>
      <c r="I87" s="7"/>
    </row>
    <row r="88" spans="2:9" ht="17" x14ac:dyDescent="0.35">
      <c r="B88" s="13" t="s">
        <v>264</v>
      </c>
      <c r="C88" s="20" t="s">
        <v>265</v>
      </c>
      <c r="D88" s="14">
        <f>SUMIFS(Data!N:N,Data!$F:$F,$B88)</f>
        <v>1.1151000000000002</v>
      </c>
      <c r="E88" s="14">
        <f>SUMIFS(Data!O:O,Data!$F:$F,$B88)</f>
        <v>0</v>
      </c>
      <c r="F88" s="14">
        <f>SUMIFS(Data!P:P,Data!$F:$F,$B88)</f>
        <v>8.6249999999999993E-2</v>
      </c>
      <c r="G88" s="14">
        <f>SUMIFS(Data!Q:Q,Data!$F:$F,$B88)</f>
        <v>0</v>
      </c>
      <c r="H88" s="12">
        <f>SUM(D88:G88)</f>
        <v>1.2013500000000001</v>
      </c>
      <c r="I88" s="7"/>
    </row>
    <row r="89" spans="2:9" ht="17" x14ac:dyDescent="0.35">
      <c r="B89" s="13" t="s">
        <v>111</v>
      </c>
      <c r="C89" s="20" t="s">
        <v>112</v>
      </c>
      <c r="D89" s="14">
        <f>SUMIFS(Data!N:N,Data!$F:$F,$B89)</f>
        <v>0</v>
      </c>
      <c r="E89" s="14">
        <f>SUMIFS(Data!O:O,Data!$F:$F,$B89)</f>
        <v>0</v>
      </c>
      <c r="F89" s="14">
        <f>SUMIFS(Data!P:P,Data!$F:$F,$B89)</f>
        <v>1.2</v>
      </c>
      <c r="G89" s="14">
        <f>SUMIFS(Data!Q:Q,Data!$F:$F,$B89)</f>
        <v>0</v>
      </c>
      <c r="H89" s="12">
        <f>SUM(D89:G89)</f>
        <v>1.2</v>
      </c>
      <c r="I89" s="7"/>
    </row>
    <row r="90" spans="2:9" ht="17" x14ac:dyDescent="0.35">
      <c r="B90" s="13" t="s">
        <v>105</v>
      </c>
      <c r="C90" s="20" t="s">
        <v>106</v>
      </c>
      <c r="D90" s="14">
        <f>SUMIFS(Data!N:N,Data!$F:$F,$B90)</f>
        <v>0.96743999999999997</v>
      </c>
      <c r="E90" s="14">
        <f>SUMIFS(Data!O:O,Data!$F:$F,$B90)</f>
        <v>0</v>
      </c>
      <c r="F90" s="14">
        <f>SUMIFS(Data!P:P,Data!$F:$F,$B90)</f>
        <v>0.20624999999999999</v>
      </c>
      <c r="G90" s="14">
        <f>SUMIFS(Data!Q:Q,Data!$F:$F,$B90)</f>
        <v>0</v>
      </c>
      <c r="H90" s="12">
        <f>SUM(D90:G90)</f>
        <v>1.1736899999999999</v>
      </c>
      <c r="I90" s="7"/>
    </row>
    <row r="91" spans="2:9" ht="17" x14ac:dyDescent="0.35">
      <c r="B91" s="13" t="s">
        <v>145</v>
      </c>
      <c r="C91" s="20" t="s">
        <v>146</v>
      </c>
      <c r="D91" s="14">
        <f>SUMIFS(Data!N:N,Data!$F:$F,$B91)</f>
        <v>0</v>
      </c>
      <c r="E91" s="14">
        <f>SUMIFS(Data!O:O,Data!$F:$F,$B91)</f>
        <v>0</v>
      </c>
      <c r="F91" s="14">
        <f>SUMIFS(Data!P:P,Data!$F:$F,$B91)</f>
        <v>0.87750000000000006</v>
      </c>
      <c r="G91" s="14">
        <f>SUMIFS(Data!Q:Q,Data!$F:$F,$B91)</f>
        <v>0</v>
      </c>
      <c r="H91" s="12">
        <f>SUM(D91:G91)</f>
        <v>0.87750000000000006</v>
      </c>
      <c r="I91" s="7"/>
    </row>
    <row r="92" spans="2:9" ht="17" x14ac:dyDescent="0.35">
      <c r="B92" s="13" t="s">
        <v>130</v>
      </c>
      <c r="C92" s="20" t="s">
        <v>131</v>
      </c>
      <c r="D92" s="14">
        <f>SUMIFS(Data!N:N,Data!$F:$F,$B92)</f>
        <v>0</v>
      </c>
      <c r="E92" s="14">
        <f>SUMIFS(Data!O:O,Data!$F:$F,$B92)</f>
        <v>0</v>
      </c>
      <c r="F92" s="14">
        <f>SUMIFS(Data!P:P,Data!$F:$F,$B92)</f>
        <v>0.81750000000000012</v>
      </c>
      <c r="G92" s="14">
        <f>SUMIFS(Data!Q:Q,Data!$F:$F,$B92)</f>
        <v>0</v>
      </c>
      <c r="H92" s="12">
        <f>SUM(D92:G92)</f>
        <v>0.81750000000000012</v>
      </c>
      <c r="I92" s="7"/>
    </row>
    <row r="93" spans="2:9" ht="17" x14ac:dyDescent="0.35">
      <c r="B93" s="13" t="s">
        <v>449</v>
      </c>
      <c r="C93" s="20" t="s">
        <v>450</v>
      </c>
      <c r="D93" s="14">
        <f>SUMIFS(Data!N:N,Data!$F:$F,$B93)</f>
        <v>0</v>
      </c>
      <c r="E93" s="14">
        <f>SUMIFS(Data!O:O,Data!$F:$F,$B93)</f>
        <v>0</v>
      </c>
      <c r="F93" s="14">
        <f>SUMIFS(Data!P:P,Data!$F:$F,$B93)</f>
        <v>0.61875000000000002</v>
      </c>
      <c r="G93" s="14">
        <f>SUMIFS(Data!Q:Q,Data!$F:$F,$B93)</f>
        <v>0</v>
      </c>
      <c r="H93" s="12">
        <f>SUM(D93:G93)</f>
        <v>0.61875000000000002</v>
      </c>
      <c r="I93" s="7"/>
    </row>
    <row r="94" spans="2:9" ht="17" x14ac:dyDescent="0.35">
      <c r="B94" s="13" t="s">
        <v>160</v>
      </c>
      <c r="C94" s="20" t="s">
        <v>161</v>
      </c>
      <c r="D94" s="14">
        <f>SUMIFS(Data!N:N,Data!$F:$F,$B94)</f>
        <v>0</v>
      </c>
      <c r="E94" s="14">
        <f>SUMIFS(Data!O:O,Data!$F:$F,$B94)</f>
        <v>0</v>
      </c>
      <c r="F94" s="14">
        <f>SUMIFS(Data!P:P,Data!$F:$F,$B94)</f>
        <v>0.56999999999999995</v>
      </c>
      <c r="G94" s="14">
        <f>SUMIFS(Data!Q:Q,Data!$F:$F,$B94)</f>
        <v>0</v>
      </c>
      <c r="H94" s="12">
        <f>SUM(D94:G94)</f>
        <v>0.56999999999999995</v>
      </c>
      <c r="I94" s="7"/>
    </row>
    <row r="95" spans="2:9" ht="17" x14ac:dyDescent="0.35">
      <c r="B95" s="13" t="s">
        <v>72</v>
      </c>
      <c r="C95" s="20" t="s">
        <v>73</v>
      </c>
      <c r="D95" s="14">
        <f>SUMIFS(Data!N:N,Data!$F:$F,$B95)</f>
        <v>0</v>
      </c>
      <c r="E95" s="14">
        <f>SUMIFS(Data!O:O,Data!$F:$F,$B95)</f>
        <v>0</v>
      </c>
      <c r="F95" s="14">
        <f>SUMIFS(Data!P:P,Data!$F:$F,$B95)</f>
        <v>0.55500000000000005</v>
      </c>
      <c r="G95" s="14">
        <f>SUMIFS(Data!Q:Q,Data!$F:$F,$B95)</f>
        <v>0</v>
      </c>
      <c r="H95" s="12">
        <f>SUM(D95:G95)</f>
        <v>0.55500000000000005</v>
      </c>
      <c r="I95" s="7"/>
    </row>
    <row r="96" spans="2:9" ht="17" x14ac:dyDescent="0.35">
      <c r="B96" s="13" t="s">
        <v>54</v>
      </c>
      <c r="C96" s="20" t="s">
        <v>55</v>
      </c>
      <c r="D96" s="14">
        <f>SUMIFS(Data!N:N,Data!$F:$F,$B96)</f>
        <v>0</v>
      </c>
      <c r="E96" s="14">
        <f>SUMIFS(Data!O:O,Data!$F:$F,$B96)</f>
        <v>0</v>
      </c>
      <c r="F96" s="14">
        <f>SUMIFS(Data!P:P,Data!$F:$F,$B96)</f>
        <v>0.52124999999999999</v>
      </c>
      <c r="G96" s="14">
        <f>SUMIFS(Data!Q:Q,Data!$F:$F,$B96)</f>
        <v>0</v>
      </c>
      <c r="H96" s="12">
        <f>SUM(D96:G96)</f>
        <v>0.52124999999999999</v>
      </c>
      <c r="I96" s="7"/>
    </row>
    <row r="97" spans="2:9" ht="17" x14ac:dyDescent="0.35">
      <c r="B97" s="13" t="s">
        <v>210</v>
      </c>
      <c r="C97" s="20" t="s">
        <v>211</v>
      </c>
      <c r="D97" s="14">
        <f>SUMIFS(Data!N:N,Data!$F:$F,$B97)</f>
        <v>0</v>
      </c>
      <c r="E97" s="14">
        <f>SUMIFS(Data!O:O,Data!$F:$F,$B97)</f>
        <v>0</v>
      </c>
      <c r="F97" s="14">
        <f>SUMIFS(Data!P:P,Data!$F:$F,$B97)</f>
        <v>0.39750000000000002</v>
      </c>
      <c r="G97" s="14">
        <f>SUMIFS(Data!Q:Q,Data!$F:$F,$B97)</f>
        <v>0.12</v>
      </c>
      <c r="H97" s="12">
        <f>SUM(D97:G97)</f>
        <v>0.51750000000000007</v>
      </c>
      <c r="I97" s="7"/>
    </row>
    <row r="98" spans="2:9" ht="17" x14ac:dyDescent="0.35">
      <c r="B98" s="13" t="s">
        <v>114</v>
      </c>
      <c r="C98" s="20" t="s">
        <v>115</v>
      </c>
      <c r="D98" s="14">
        <f>SUMIFS(Data!N:N,Data!$F:$F,$B98)</f>
        <v>0</v>
      </c>
      <c r="E98" s="14">
        <f>SUMIFS(Data!O:O,Data!$F:$F,$B98)</f>
        <v>0</v>
      </c>
      <c r="F98" s="14">
        <f>SUMIFS(Data!P:P,Data!$F:$F,$B98)</f>
        <v>0.34875000000000006</v>
      </c>
      <c r="G98" s="14">
        <f>SUMIFS(Data!Q:Q,Data!$F:$F,$B98)</f>
        <v>0.06</v>
      </c>
      <c r="H98" s="12">
        <f>SUM(D98:G98)</f>
        <v>0.40875000000000006</v>
      </c>
      <c r="I98" s="7"/>
    </row>
    <row r="99" spans="2:9" ht="17" x14ac:dyDescent="0.35">
      <c r="B99" s="13" t="s">
        <v>108</v>
      </c>
      <c r="C99" s="20" t="s">
        <v>109</v>
      </c>
      <c r="D99" s="14">
        <f>SUMIFS(Data!N:N,Data!$F:$F,$B99)</f>
        <v>0.15840000000000001</v>
      </c>
      <c r="E99" s="14">
        <f>SUMIFS(Data!O:O,Data!$F:$F,$B99)</f>
        <v>0</v>
      </c>
      <c r="F99" s="14">
        <f>SUMIFS(Data!P:P,Data!$F:$F,$B99)</f>
        <v>0.21375</v>
      </c>
      <c r="G99" s="14">
        <f>SUMIFS(Data!Q:Q,Data!$F:$F,$B99)</f>
        <v>0</v>
      </c>
      <c r="H99" s="12">
        <f>SUM(D99:G99)</f>
        <v>0.37214999999999998</v>
      </c>
      <c r="I99" s="7"/>
    </row>
    <row r="100" spans="2:9" ht="17" x14ac:dyDescent="0.35">
      <c r="B100" s="13" t="s">
        <v>381</v>
      </c>
      <c r="C100" s="20" t="s">
        <v>382</v>
      </c>
      <c r="D100" s="14">
        <f>SUMIFS(Data!N:N,Data!$F:$F,$B100)</f>
        <v>0</v>
      </c>
      <c r="E100" s="14">
        <f>SUMIFS(Data!O:O,Data!$F:$F,$B100)</f>
        <v>0</v>
      </c>
      <c r="F100" s="14">
        <f>SUMIFS(Data!P:P,Data!$F:$F,$B100)</f>
        <v>0.36</v>
      </c>
      <c r="G100" s="14">
        <f>SUMIFS(Data!Q:Q,Data!$F:$F,$B100)</f>
        <v>0</v>
      </c>
      <c r="H100" s="12">
        <f>SUM(D100:G100)</f>
        <v>0.36</v>
      </c>
      <c r="I100" s="7"/>
    </row>
    <row r="101" spans="2:9" ht="17" x14ac:dyDescent="0.35">
      <c r="B101" s="13" t="s">
        <v>338</v>
      </c>
      <c r="C101" s="20" t="s">
        <v>339</v>
      </c>
      <c r="D101" s="14">
        <f>SUMIFS(Data!N:N,Data!$F:$F,$B101)</f>
        <v>0</v>
      </c>
      <c r="E101" s="14">
        <f>SUMIFS(Data!O:O,Data!$F:$F,$B101)</f>
        <v>0</v>
      </c>
      <c r="F101" s="14">
        <f>SUMIFS(Data!P:P,Data!$F:$F,$B101)</f>
        <v>0.36</v>
      </c>
      <c r="G101" s="14">
        <f>SUMIFS(Data!Q:Q,Data!$F:$F,$B101)</f>
        <v>0</v>
      </c>
      <c r="H101" s="12">
        <f>SUM(D101:G101)</f>
        <v>0.36</v>
      </c>
      <c r="I101" s="7"/>
    </row>
    <row r="102" spans="2:9" ht="17" x14ac:dyDescent="0.35">
      <c r="B102" s="13" t="s">
        <v>322</v>
      </c>
      <c r="C102" s="20" t="s">
        <v>323</v>
      </c>
      <c r="D102" s="14">
        <f>SUMIFS(Data!N:N,Data!$F:$F,$B102)</f>
        <v>0</v>
      </c>
      <c r="E102" s="14">
        <f>SUMIFS(Data!O:O,Data!$F:$F,$B102)</f>
        <v>0</v>
      </c>
      <c r="F102" s="14">
        <f>SUMIFS(Data!P:P,Data!$F:$F,$B102)</f>
        <v>0.28125</v>
      </c>
      <c r="G102" s="14">
        <f>SUMIFS(Data!Q:Q,Data!$F:$F,$B102)</f>
        <v>0</v>
      </c>
      <c r="H102" s="12">
        <f>SUM(D102:G102)</f>
        <v>0.28125</v>
      </c>
      <c r="I102" s="7"/>
    </row>
    <row r="103" spans="2:9" ht="17" x14ac:dyDescent="0.35">
      <c r="B103" s="13" t="s">
        <v>207</v>
      </c>
      <c r="C103" s="20" t="s">
        <v>208</v>
      </c>
      <c r="D103" s="14">
        <f>SUMIFS(Data!N:N,Data!$F:$F,$B103)</f>
        <v>0.12390000000000001</v>
      </c>
      <c r="E103" s="14">
        <f>SUMIFS(Data!O:O,Data!$F:$F,$B103)</f>
        <v>0</v>
      </c>
      <c r="F103" s="14">
        <f>SUMIFS(Data!P:P,Data!$F:$F,$B103)</f>
        <v>0.15000000000000002</v>
      </c>
      <c r="G103" s="14">
        <f>SUMIFS(Data!Q:Q,Data!$F:$F,$B103)</f>
        <v>0</v>
      </c>
      <c r="H103" s="12">
        <f>SUM(D103:G103)</f>
        <v>0.27390000000000003</v>
      </c>
      <c r="I103" s="7"/>
    </row>
    <row r="104" spans="2:9" ht="17" x14ac:dyDescent="0.35">
      <c r="B104" s="13" t="s">
        <v>251</v>
      </c>
      <c r="C104" s="20" t="s">
        <v>252</v>
      </c>
      <c r="D104" s="14">
        <f>SUMIFS(Data!N:N,Data!$F:$F,$B104)</f>
        <v>0</v>
      </c>
      <c r="E104" s="14">
        <f>SUMIFS(Data!O:O,Data!$F:$F,$B104)</f>
        <v>0</v>
      </c>
      <c r="F104" s="14">
        <f>SUMIFS(Data!P:P,Data!$F:$F,$B104)</f>
        <v>0.24000000000000002</v>
      </c>
      <c r="G104" s="14">
        <f>SUMIFS(Data!Q:Q,Data!$F:$F,$B104)</f>
        <v>0</v>
      </c>
      <c r="H104" s="12">
        <f>SUM(D104:G104)</f>
        <v>0.24000000000000002</v>
      </c>
      <c r="I104" s="7"/>
    </row>
    <row r="105" spans="2:9" ht="17" x14ac:dyDescent="0.35">
      <c r="B105" s="13" t="s">
        <v>76</v>
      </c>
      <c r="C105" s="20" t="s">
        <v>77</v>
      </c>
      <c r="D105" s="14">
        <f>SUMIFS(Data!N:N,Data!$F:$F,$B105)</f>
        <v>0</v>
      </c>
      <c r="E105" s="14">
        <f>SUMIFS(Data!O:O,Data!$F:$F,$B105)</f>
        <v>0</v>
      </c>
      <c r="F105" s="14">
        <f>SUMIFS(Data!P:P,Data!$F:$F,$B105)</f>
        <v>0.23625000000000002</v>
      </c>
      <c r="G105" s="14">
        <f>SUMIFS(Data!Q:Q,Data!$F:$F,$B105)</f>
        <v>0</v>
      </c>
      <c r="H105" s="12">
        <f>SUM(D105:G105)</f>
        <v>0.23625000000000002</v>
      </c>
      <c r="I105" s="7"/>
    </row>
    <row r="106" spans="2:9" ht="17" x14ac:dyDescent="0.35">
      <c r="B106" s="13" t="s">
        <v>221</v>
      </c>
      <c r="C106" s="20" t="s">
        <v>222</v>
      </c>
      <c r="D106" s="14">
        <f>SUMIFS(Data!N:N,Data!$F:$F,$B106)</f>
        <v>0.11681999999999999</v>
      </c>
      <c r="E106" s="14">
        <f>SUMIFS(Data!O:O,Data!$F:$F,$B106)</f>
        <v>0</v>
      </c>
      <c r="F106" s="14">
        <f>SUMIFS(Data!P:P,Data!$F:$F,$B106)</f>
        <v>0.1125</v>
      </c>
      <c r="G106" s="14">
        <f>SUMIFS(Data!Q:Q,Data!$F:$F,$B106)</f>
        <v>0</v>
      </c>
      <c r="H106" s="12">
        <f>SUM(D106:G106)</f>
        <v>0.22932</v>
      </c>
      <c r="I106" s="7"/>
    </row>
    <row r="107" spans="2:9" ht="17" x14ac:dyDescent="0.35">
      <c r="B107" s="13" t="s">
        <v>341</v>
      </c>
      <c r="C107" s="20" t="s">
        <v>342</v>
      </c>
      <c r="D107" s="14">
        <f>SUMIFS(Data!N:N,Data!$F:$F,$B107)</f>
        <v>0.1782</v>
      </c>
      <c r="E107" s="14">
        <f>SUMIFS(Data!O:O,Data!$F:$F,$B107)</f>
        <v>0</v>
      </c>
      <c r="F107" s="14">
        <f>SUMIFS(Data!P:P,Data!$F:$F,$B107)</f>
        <v>0.03</v>
      </c>
      <c r="G107" s="14">
        <f>SUMIFS(Data!Q:Q,Data!$F:$F,$B107)</f>
        <v>0</v>
      </c>
      <c r="H107" s="12">
        <f>SUM(D107:G107)</f>
        <v>0.2082</v>
      </c>
      <c r="I107" s="7"/>
    </row>
    <row r="108" spans="2:9" ht="17" x14ac:dyDescent="0.35">
      <c r="B108" s="13" t="s">
        <v>326</v>
      </c>
      <c r="C108" s="20" t="s">
        <v>327</v>
      </c>
      <c r="D108" s="14">
        <f>SUMIFS(Data!N:N,Data!$F:$F,$B108)</f>
        <v>0</v>
      </c>
      <c r="E108" s="14">
        <f>SUMIFS(Data!O:O,Data!$F:$F,$B108)</f>
        <v>0</v>
      </c>
      <c r="F108" s="14">
        <f>SUMIFS(Data!P:P,Data!$F:$F,$B108)</f>
        <v>0.16875000000000001</v>
      </c>
      <c r="G108" s="14">
        <f>SUMIFS(Data!Q:Q,Data!$F:$F,$B108)</f>
        <v>0</v>
      </c>
      <c r="H108" s="12">
        <f>SUM(D108:G108)</f>
        <v>0.16875000000000001</v>
      </c>
      <c r="I108" s="7"/>
    </row>
    <row r="109" spans="2:9" ht="17" x14ac:dyDescent="0.35">
      <c r="B109" s="13" t="s">
        <v>69</v>
      </c>
      <c r="C109" s="20" t="s">
        <v>70</v>
      </c>
      <c r="D109" s="14">
        <f>SUMIFS(Data!N:N,Data!$F:$F,$B109)</f>
        <v>0</v>
      </c>
      <c r="E109" s="14">
        <f>SUMIFS(Data!O:O,Data!$F:$F,$B109)</f>
        <v>0</v>
      </c>
      <c r="F109" s="14">
        <f>SUMIFS(Data!P:P,Data!$F:$F,$B109)</f>
        <v>0.1575</v>
      </c>
      <c r="G109" s="14">
        <f>SUMIFS(Data!Q:Q,Data!$F:$F,$B109)</f>
        <v>0</v>
      </c>
      <c r="H109" s="12">
        <f>SUM(D109:G109)</f>
        <v>0.1575</v>
      </c>
      <c r="I109" s="7"/>
    </row>
    <row r="110" spans="2:9" ht="17" x14ac:dyDescent="0.35">
      <c r="B110" s="13" t="s">
        <v>284</v>
      </c>
      <c r="C110" s="20" t="s">
        <v>285</v>
      </c>
      <c r="D110" s="14">
        <f>SUMIFS(Data!N:N,Data!$F:$F,$B110)</f>
        <v>0</v>
      </c>
      <c r="E110" s="14">
        <f>SUMIFS(Data!O:O,Data!$F:$F,$B110)</f>
        <v>0</v>
      </c>
      <c r="F110" s="14">
        <f>SUMIFS(Data!P:P,Data!$F:$F,$B110)</f>
        <v>0.15375</v>
      </c>
      <c r="G110" s="14">
        <f>SUMIFS(Data!Q:Q,Data!$F:$F,$B110)</f>
        <v>0</v>
      </c>
      <c r="H110" s="12">
        <f>SUM(D110:G110)</f>
        <v>0.15375</v>
      </c>
      <c r="I110" s="7"/>
    </row>
    <row r="111" spans="2:9" ht="17" x14ac:dyDescent="0.35">
      <c r="B111" s="13" t="s">
        <v>305</v>
      </c>
      <c r="C111" s="20" t="s">
        <v>306</v>
      </c>
      <c r="D111" s="14">
        <f>SUMIFS(Data!N:N,Data!$F:$F,$B111)</f>
        <v>0</v>
      </c>
      <c r="E111" s="14">
        <f>SUMIFS(Data!O:O,Data!$F:$F,$B111)</f>
        <v>0</v>
      </c>
      <c r="F111" s="14">
        <f>SUMIFS(Data!P:P,Data!$F:$F,$B111)</f>
        <v>0.12375</v>
      </c>
      <c r="G111" s="14">
        <f>SUMIFS(Data!Q:Q,Data!$F:$F,$B111)</f>
        <v>0.03</v>
      </c>
      <c r="H111" s="12">
        <f>SUM(D111:G111)</f>
        <v>0.15375</v>
      </c>
      <c r="I111" s="7"/>
    </row>
    <row r="112" spans="2:9" ht="17" x14ac:dyDescent="0.35">
      <c r="B112" s="13" t="s">
        <v>213</v>
      </c>
      <c r="C112" s="20" t="s">
        <v>214</v>
      </c>
      <c r="D112" s="14">
        <f>SUMIFS(Data!N:N,Data!$F:$F,$B112)</f>
        <v>0</v>
      </c>
      <c r="E112" s="14">
        <f>SUMIFS(Data!O:O,Data!$F:$F,$B112)</f>
        <v>0</v>
      </c>
      <c r="F112" s="14">
        <f>SUMIFS(Data!P:P,Data!$F:$F,$B112)</f>
        <v>0.14624999999999999</v>
      </c>
      <c r="G112" s="14">
        <f>SUMIFS(Data!Q:Q,Data!$F:$F,$B112)</f>
        <v>0</v>
      </c>
      <c r="H112" s="12">
        <f>SUM(D112:G112)</f>
        <v>0.14624999999999999</v>
      </c>
      <c r="I112" s="7"/>
    </row>
    <row r="113" spans="2:9" ht="17" x14ac:dyDescent="0.35">
      <c r="B113" s="13" t="s">
        <v>120</v>
      </c>
      <c r="C113" s="20" t="s">
        <v>121</v>
      </c>
      <c r="D113" s="14">
        <f>SUMIFS(Data!N:N,Data!$F:$F,$B113)</f>
        <v>0</v>
      </c>
      <c r="E113" s="14">
        <f>SUMIFS(Data!O:O,Data!$F:$F,$B113)</f>
        <v>0</v>
      </c>
      <c r="F113" s="14">
        <f>SUMIFS(Data!P:P,Data!$F:$F,$B113)</f>
        <v>0.14624999999999999</v>
      </c>
      <c r="G113" s="14">
        <f>SUMIFS(Data!Q:Q,Data!$F:$F,$B113)</f>
        <v>0</v>
      </c>
      <c r="H113" s="12">
        <f>SUM(D113:G113)</f>
        <v>0.14624999999999999</v>
      </c>
      <c r="I113" s="7"/>
    </row>
    <row r="114" spans="2:9" ht="17" x14ac:dyDescent="0.35">
      <c r="B114" s="13" t="s">
        <v>151</v>
      </c>
      <c r="C114" s="20" t="s">
        <v>152</v>
      </c>
      <c r="D114" s="14">
        <f>SUMIFS(Data!N:N,Data!$F:$F,$B114)</f>
        <v>0.1416</v>
      </c>
      <c r="E114" s="14">
        <f>SUMIFS(Data!O:O,Data!$F:$F,$B114)</f>
        <v>0</v>
      </c>
      <c r="F114" s="14">
        <f>SUMIFS(Data!P:P,Data!$F:$F,$B114)</f>
        <v>0</v>
      </c>
      <c r="G114" s="14">
        <f>SUMIFS(Data!Q:Q,Data!$F:$F,$B114)</f>
        <v>0</v>
      </c>
      <c r="H114" s="12">
        <f>SUM(D114:G114)</f>
        <v>0.1416</v>
      </c>
      <c r="I114" s="7"/>
    </row>
    <row r="115" spans="2:9" ht="17" x14ac:dyDescent="0.35">
      <c r="B115" s="13" t="s">
        <v>294</v>
      </c>
      <c r="C115" s="20" t="s">
        <v>295</v>
      </c>
      <c r="D115" s="14">
        <f>SUMIFS(Data!N:N,Data!$F:$F,$B115)</f>
        <v>0</v>
      </c>
      <c r="E115" s="14">
        <f>SUMIFS(Data!O:O,Data!$F:$F,$B115)</f>
        <v>0</v>
      </c>
      <c r="F115" s="14">
        <f>SUMIFS(Data!P:P,Data!$F:$F,$B115)</f>
        <v>0.1275</v>
      </c>
      <c r="G115" s="14">
        <f>SUMIFS(Data!Q:Q,Data!$F:$F,$B115)</f>
        <v>0</v>
      </c>
      <c r="H115" s="12">
        <f>SUM(D115:G115)</f>
        <v>0.1275</v>
      </c>
      <c r="I115" s="7"/>
    </row>
    <row r="116" spans="2:9" ht="17" x14ac:dyDescent="0.35">
      <c r="B116" s="13" t="s">
        <v>319</v>
      </c>
      <c r="C116" s="20" t="s">
        <v>320</v>
      </c>
      <c r="D116" s="14">
        <f>SUMIFS(Data!N:N,Data!$F:$F,$B116)</f>
        <v>0</v>
      </c>
      <c r="E116" s="14">
        <f>SUMIFS(Data!O:O,Data!$F:$F,$B116)</f>
        <v>0</v>
      </c>
      <c r="F116" s="14">
        <f>SUMIFS(Data!P:P,Data!$F:$F,$B116)</f>
        <v>0.1125</v>
      </c>
      <c r="G116" s="14">
        <f>SUMIFS(Data!Q:Q,Data!$F:$F,$B116)</f>
        <v>0</v>
      </c>
      <c r="H116" s="12">
        <f>SUM(D116:G116)</f>
        <v>0.1125</v>
      </c>
      <c r="I116" s="7"/>
    </row>
    <row r="117" spans="2:9" ht="17" x14ac:dyDescent="0.35">
      <c r="B117" s="13" t="s">
        <v>332</v>
      </c>
      <c r="C117" s="20" t="s">
        <v>333</v>
      </c>
      <c r="D117" s="14">
        <f>SUMIFS(Data!N:N,Data!$F:$F,$B117)</f>
        <v>0</v>
      </c>
      <c r="E117" s="14">
        <f>SUMIFS(Data!O:O,Data!$F:$F,$B117)</f>
        <v>0</v>
      </c>
      <c r="F117" s="14">
        <f>SUMIFS(Data!P:P,Data!$F:$F,$B117)</f>
        <v>0.1125</v>
      </c>
      <c r="G117" s="14">
        <f>SUMIFS(Data!Q:Q,Data!$F:$F,$B117)</f>
        <v>0</v>
      </c>
      <c r="H117" s="12">
        <f>SUM(D117:G117)</f>
        <v>0.1125</v>
      </c>
      <c r="I117" s="7"/>
    </row>
    <row r="118" spans="2:9" ht="17" x14ac:dyDescent="0.35">
      <c r="B118" s="13" t="s">
        <v>384</v>
      </c>
      <c r="C118" s="20" t="s">
        <v>385</v>
      </c>
      <c r="D118" s="14">
        <f>SUMIFS(Data!N:N,Data!$F:$F,$B118)</f>
        <v>0</v>
      </c>
      <c r="E118" s="14">
        <f>SUMIFS(Data!O:O,Data!$F:$F,$B118)</f>
        <v>0</v>
      </c>
      <c r="F118" s="14">
        <f>SUMIFS(Data!P:P,Data!$F:$F,$B118)</f>
        <v>0.09</v>
      </c>
      <c r="G118" s="14">
        <f>SUMIFS(Data!Q:Q,Data!$F:$F,$B118)</f>
        <v>0</v>
      </c>
      <c r="H118" s="12">
        <f>SUM(D118:G118)</f>
        <v>0.09</v>
      </c>
      <c r="I118" s="7"/>
    </row>
    <row r="119" spans="2:9" ht="17" x14ac:dyDescent="0.35">
      <c r="B119" s="13" t="s">
        <v>391</v>
      </c>
      <c r="C119" s="20" t="s">
        <v>392</v>
      </c>
      <c r="D119" s="14">
        <f>SUMIFS(Data!N:N,Data!$F:$F,$B119)</f>
        <v>8.2500000000000004E-2</v>
      </c>
      <c r="E119" s="14">
        <f>SUMIFS(Data!O:O,Data!$F:$F,$B119)</f>
        <v>0</v>
      </c>
      <c r="F119" s="14">
        <f>SUMIFS(Data!P:P,Data!$F:$F,$B119)</f>
        <v>0</v>
      </c>
      <c r="G119" s="14">
        <f>SUMIFS(Data!Q:Q,Data!$F:$F,$B119)</f>
        <v>0</v>
      </c>
      <c r="H119" s="12">
        <f>SUM(D119:G119)</f>
        <v>8.2500000000000004E-2</v>
      </c>
      <c r="I119" s="7"/>
    </row>
    <row r="120" spans="2:9" ht="17" x14ac:dyDescent="0.35">
      <c r="B120" s="13" t="s">
        <v>358</v>
      </c>
      <c r="C120" s="20" t="s">
        <v>359</v>
      </c>
      <c r="D120" s="14">
        <f>SUMIFS(Data!N:N,Data!$F:$F,$B120)</f>
        <v>7.7880000000000005E-2</v>
      </c>
      <c r="E120" s="14">
        <f>SUMIFS(Data!O:O,Data!$F:$F,$B120)</f>
        <v>0</v>
      </c>
      <c r="F120" s="14">
        <f>SUMIFS(Data!P:P,Data!$F:$F,$B120)</f>
        <v>0</v>
      </c>
      <c r="G120" s="14">
        <f>SUMIFS(Data!Q:Q,Data!$F:$F,$B120)</f>
        <v>0</v>
      </c>
      <c r="H120" s="12">
        <f>SUM(D120:G120)</f>
        <v>7.7880000000000005E-2</v>
      </c>
      <c r="I120" s="7"/>
    </row>
    <row r="121" spans="2:9" ht="17" x14ac:dyDescent="0.35">
      <c r="B121" s="13" t="s">
        <v>369</v>
      </c>
      <c r="C121" s="20" t="s">
        <v>370</v>
      </c>
      <c r="D121" s="14">
        <f>SUMIFS(Data!N:N,Data!$F:$F,$B121)</f>
        <v>0</v>
      </c>
      <c r="E121" s="14">
        <f>SUMIFS(Data!O:O,Data!$F:$F,$B121)</f>
        <v>0</v>
      </c>
      <c r="F121" s="14">
        <f>SUMIFS(Data!P:P,Data!$F:$F,$B121)</f>
        <v>5.6250000000000001E-2</v>
      </c>
      <c r="G121" s="14">
        <f>SUMIFS(Data!Q:Q,Data!$F:$F,$B121)</f>
        <v>0</v>
      </c>
      <c r="H121" s="12">
        <f>SUM(D121:G121)</f>
        <v>5.6250000000000001E-2</v>
      </c>
      <c r="I121" s="7"/>
    </row>
    <row r="122" spans="2:9" ht="17" x14ac:dyDescent="0.35">
      <c r="B122" s="13" t="s">
        <v>418</v>
      </c>
      <c r="C122" s="20" t="s">
        <v>419</v>
      </c>
      <c r="D122" s="14">
        <f>SUMIFS(Data!N:N,Data!$F:$F,$B122)</f>
        <v>0</v>
      </c>
      <c r="E122" s="14">
        <f>SUMIFS(Data!O:O,Data!$F:$F,$B122)</f>
        <v>0</v>
      </c>
      <c r="F122" s="14">
        <f>SUMIFS(Data!P:P,Data!$F:$F,$B122)</f>
        <v>4.8750000000000002E-2</v>
      </c>
      <c r="G122" s="14">
        <f>SUMIFS(Data!Q:Q,Data!$F:$F,$B122)</f>
        <v>0</v>
      </c>
      <c r="H122" s="12">
        <f>SUM(D122:G122)</f>
        <v>4.8750000000000002E-2</v>
      </c>
      <c r="I122" s="7"/>
    </row>
    <row r="123" spans="2:9" ht="17" x14ac:dyDescent="0.35">
      <c r="B123" s="13" t="s">
        <v>365</v>
      </c>
      <c r="C123" s="20" t="s">
        <v>366</v>
      </c>
      <c r="D123" s="14">
        <f>SUMIFS(Data!N:N,Data!$F:$F,$B123)</f>
        <v>0</v>
      </c>
      <c r="E123" s="14">
        <f>SUMIFS(Data!O:O,Data!$F:$F,$B123)</f>
        <v>0</v>
      </c>
      <c r="F123" s="14">
        <f>SUMIFS(Data!P:P,Data!$F:$F,$B123)</f>
        <v>4.4999999999999998E-2</v>
      </c>
      <c r="G123" s="14">
        <f>SUMIFS(Data!Q:Q,Data!$F:$F,$B123)</f>
        <v>0</v>
      </c>
      <c r="H123" s="12">
        <f>SUM(D123:G123)</f>
        <v>4.4999999999999998E-2</v>
      </c>
      <c r="I123" s="7"/>
    </row>
    <row r="124" spans="2:9" ht="17" x14ac:dyDescent="0.35">
      <c r="B124" s="13" t="s">
        <v>169</v>
      </c>
      <c r="C124" s="20" t="s">
        <v>170</v>
      </c>
      <c r="D124" s="14">
        <f>SUMIFS(Data!N:N,Data!$F:$F,$B124)</f>
        <v>0</v>
      </c>
      <c r="E124" s="14">
        <f>SUMIFS(Data!O:O,Data!$F:$F,$B124)</f>
        <v>0</v>
      </c>
      <c r="F124" s="14">
        <f>SUMIFS(Data!P:P,Data!$F:$F,$B124)</f>
        <v>3.7499999999999999E-2</v>
      </c>
      <c r="G124" s="14">
        <f>SUMIFS(Data!Q:Q,Data!$F:$F,$B124)</f>
        <v>0</v>
      </c>
      <c r="H124" s="12">
        <f>SUM(D124:G124)</f>
        <v>3.7499999999999999E-2</v>
      </c>
      <c r="I124" s="7"/>
    </row>
    <row r="125" spans="2:9" ht="17" x14ac:dyDescent="0.35">
      <c r="B125" s="13" t="s">
        <v>140</v>
      </c>
      <c r="C125" s="20" t="s">
        <v>141</v>
      </c>
      <c r="D125" s="14">
        <f>SUMIFS(Data!N:N,Data!$F:$F,$B125)</f>
        <v>0</v>
      </c>
      <c r="E125" s="14">
        <f>SUMIFS(Data!O:O,Data!$F:$F,$B125)</f>
        <v>0</v>
      </c>
      <c r="F125" s="14">
        <f>SUMIFS(Data!P:P,Data!$F:$F,$B125)</f>
        <v>0.03</v>
      </c>
      <c r="G125" s="14">
        <f>SUMIFS(Data!Q:Q,Data!$F:$F,$B125)</f>
        <v>0</v>
      </c>
      <c r="H125" s="12">
        <f>SUM(D125:G125)</f>
        <v>0.03</v>
      </c>
      <c r="I125" s="7"/>
    </row>
    <row r="126" spans="2:9" ht="17" x14ac:dyDescent="0.35">
      <c r="B126" s="13" t="s">
        <v>453</v>
      </c>
      <c r="C126" s="20" t="s">
        <v>454</v>
      </c>
      <c r="D126" s="14">
        <f>SUMIFS(Data!N:N,Data!$F:$F,$B126)</f>
        <v>0</v>
      </c>
      <c r="E126" s="14">
        <f>SUMIFS(Data!O:O,Data!$F:$F,$B126)</f>
        <v>0</v>
      </c>
      <c r="F126" s="14">
        <f>SUMIFS(Data!P:P,Data!$F:$F,$B126)</f>
        <v>0</v>
      </c>
      <c r="G126" s="14">
        <f>SUMIFS(Data!Q:Q,Data!$F:$F,$B126)</f>
        <v>2.4E-2</v>
      </c>
      <c r="H126" s="12">
        <f>SUM(D126:G126)</f>
        <v>2.4E-2</v>
      </c>
      <c r="I126" s="7"/>
    </row>
    <row r="127" spans="2:9" ht="17" x14ac:dyDescent="0.35">
      <c r="B127" s="13" t="s">
        <v>442</v>
      </c>
      <c r="C127" s="20" t="s">
        <v>443</v>
      </c>
      <c r="D127" s="14">
        <f>SUMIFS(Data!N:N,Data!$F:$F,$B127)</f>
        <v>0</v>
      </c>
      <c r="E127" s="14">
        <f>SUMIFS(Data!O:O,Data!$F:$F,$B127)</f>
        <v>0</v>
      </c>
      <c r="F127" s="14">
        <f>SUMIFS(Data!P:P,Data!$F:$F,$B127)</f>
        <v>1.4999999999999999E-2</v>
      </c>
      <c r="G127" s="14">
        <f>SUMIFS(Data!Q:Q,Data!$F:$F,$B127)</f>
        <v>0</v>
      </c>
      <c r="H127" s="12">
        <f>SUM(D127:G127)</f>
        <v>1.4999999999999999E-2</v>
      </c>
      <c r="I127" s="7"/>
    </row>
    <row r="128" spans="2:9" ht="17" x14ac:dyDescent="0.35">
      <c r="B128" s="13" t="s">
        <v>436</v>
      </c>
      <c r="C128" s="20" t="s">
        <v>437</v>
      </c>
      <c r="D128" s="14">
        <f>SUMIFS(Data!N:N,Data!$F:$F,$B128)</f>
        <v>0</v>
      </c>
      <c r="E128" s="14">
        <f>SUMIFS(Data!O:O,Data!$F:$F,$B128)</f>
        <v>0</v>
      </c>
      <c r="F128" s="14">
        <f>SUMIFS(Data!P:P,Data!$F:$F,$B128)</f>
        <v>1.125E-2</v>
      </c>
      <c r="G128" s="14">
        <f>SUMIFS(Data!Q:Q,Data!$F:$F,$B128)</f>
        <v>0</v>
      </c>
      <c r="H128" s="12">
        <f>SUM(D128:G128)</f>
        <v>1.125E-2</v>
      </c>
      <c r="I128" s="7"/>
    </row>
    <row r="129" spans="2:9" ht="17" x14ac:dyDescent="0.35">
      <c r="B129" s="13" t="s">
        <v>235</v>
      </c>
      <c r="C129" s="20" t="s">
        <v>236</v>
      </c>
      <c r="D129" s="14">
        <f>SUMIFS(Data!N:N,Data!$F:$F,$B129)</f>
        <v>7.0800000000000004E-3</v>
      </c>
      <c r="E129" s="14">
        <f>SUMIFS(Data!O:O,Data!$F:$F,$B129)</f>
        <v>0</v>
      </c>
      <c r="F129" s="14">
        <f>SUMIFS(Data!P:P,Data!$F:$F,$B129)</f>
        <v>0</v>
      </c>
      <c r="G129" s="14">
        <f>SUMIFS(Data!Q:Q,Data!$F:$F,$B129)</f>
        <v>0</v>
      </c>
      <c r="H129" s="12">
        <f>SUM(D129:G129)</f>
        <v>7.0800000000000004E-3</v>
      </c>
      <c r="I129" s="7"/>
    </row>
    <row r="130" spans="2:9" x14ac:dyDescent="0.35">
      <c r="B130" s="9"/>
      <c r="C130" s="9"/>
      <c r="D130" s="10"/>
      <c r="E130" s="10"/>
      <c r="F130" s="10"/>
      <c r="G130" s="10"/>
      <c r="H130" s="11"/>
    </row>
  </sheetData>
  <sortState xmlns:xlrd2="http://schemas.microsoft.com/office/spreadsheetml/2017/richdata2" ref="B3:H129">
    <sortCondition descending="1" ref="H3:H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Shideh Chegini</cp:lastModifiedBy>
  <dcterms:modified xsi:type="dcterms:W3CDTF">2026-09-22T12:11:32Z</dcterms:modified>
</cp:coreProperties>
</file>